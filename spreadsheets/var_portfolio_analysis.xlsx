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rices" sheetId="3" state="visible" r:id="rId5"/>
    <sheet name="Returns" sheetId="4" state="visible" r:id="rId6"/>
    <sheet name="Returns_Helper" sheetId="5" state="visible" r:id="rId7"/>
    <sheet name="Risk_Metrics" sheetId="6" state="visible" r:id="rId8"/>
    <sheet name="Correlation" sheetId="7" state="visible" r:id="rId9"/>
    <sheet name="Optimization" sheetId="8" state="visible" r:id="rId10"/>
    <sheet name="Backte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<sst xmlns="http://schemas.openxmlformats.org/spreadsheetml/2006/main" count="359" uniqueCount="216">
  <si>
    <t xml:space="preserve">Portfolio risk analysis: VaR, Expected Shortfall and optimisation</t>
  </si>
  <si>
    <t xml:space="preserve">9 Brazilian stocks, equal weights, daily data from 2019-08-30 to 2021-08-27. All figures below are live links to the calculation sheets.</t>
  </si>
  <si>
    <t xml:space="preserve">Metric</t>
  </si>
  <si>
    <t xml:space="preserve">Value</t>
  </si>
  <si>
    <t xml:space="preserve">Where it comes from</t>
  </si>
  <si>
    <t xml:space="preserve">Portfolio value (R$)</t>
  </si>
  <si>
    <t xml:space="preserve">Inputs</t>
  </si>
  <si>
    <t xml:space="preserve">Daily returns used</t>
  </si>
  <si>
    <t xml:space="preserve">Risk_Metrics</t>
  </si>
  <si>
    <t xml:space="preserve">Daily volatility, equal-weight portfolio</t>
  </si>
  <si>
    <t xml:space="preserve">VaR 95% (historical)</t>
  </si>
  <si>
    <t xml:space="preserve">VaR 95% (R$)</t>
  </si>
  <si>
    <t xml:space="preserve">Expected Shortfall 95%</t>
  </si>
  <si>
    <t xml:space="preserve">Expected Shortfall 95% (R$)</t>
  </si>
  <si>
    <t xml:space="preserve">VaR 95% excluding the crash window</t>
  </si>
  <si>
    <t xml:space="preserve">Expected Shortfall 95% excluding the crash window</t>
  </si>
  <si>
    <t xml:space="preserve">Share of days in the crash window</t>
  </si>
  <si>
    <t xml:space="preserve">Share of the worst 5% days inside the crash window</t>
  </si>
  <si>
    <t xml:space="preserve">Maximum drawdown (peak to trough)</t>
  </si>
  <si>
    <t xml:space="preserve">Average volatility of the 9 stocks</t>
  </si>
  <si>
    <t xml:space="preserve">Average pair correlation: full period</t>
  </si>
  <si>
    <t xml:space="preserve">Correlation</t>
  </si>
  <si>
    <t xml:space="preserve">Average pair correlation: excluding crash</t>
  </si>
  <si>
    <t xml:space="preserve">Average pair correlation: crash window only</t>
  </si>
  <si>
    <t xml:space="preserve">Daily volatility, minimum-variance portfolio</t>
  </si>
  <si>
    <t xml:space="preserve">Optimization</t>
  </si>
  <si>
    <t xml:space="preserve">Volatility vs. equal weights</t>
  </si>
  <si>
    <t xml:space="preserve">Largest weight in the minimum-variance portfolio</t>
  </si>
  <si>
    <t xml:space="preserve">Daily volatility, 30% cap portfolio</t>
  </si>
  <si>
    <t xml:space="preserve">Out-of-sample volatility vs. equal weights</t>
  </si>
  <si>
    <t xml:space="preserve">Backtest: violations in period 2</t>
  </si>
  <si>
    <t xml:space="preserve">Backtest</t>
  </si>
  <si>
    <t xml:space="preserve">Backtest: observed violation rate (5% expected)</t>
  </si>
  <si>
    <t xml:space="preserve">Backtest: Kupiec p-value</t>
  </si>
  <si>
    <t xml:space="preserve">Sheet guide</t>
  </si>
  <si>
    <t xml:space="preserve">Parameters you can change (portfolio value, confidence level, crash window, ...).</t>
  </si>
  <si>
    <t xml:space="preserve">Prices</t>
  </si>
  <si>
    <t xml:space="preserve">Daily closing prices (hardcoded inputs).</t>
  </si>
  <si>
    <t xml:space="preserve">Returns</t>
  </si>
  <si>
    <t xml:space="preserve">Daily returns, portfolio series, index, drawdown.</t>
  </si>
  <si>
    <t xml:space="preserve">Returns_Helper</t>
  </si>
  <si>
    <t xml:space="preserve">Series excluding / inside the crash window (support for statistics).</t>
  </si>
  <si>
    <t xml:space="preserve">Volatility, VaR, Expected Shortfall, crash effect, drawdown, risk by stock.</t>
  </si>
  <si>
    <t xml:space="preserve">Correlation matrices: full period, excluding the crash, crash only.</t>
  </si>
  <si>
    <t xml:space="preserve">Minimum-variance weights, covariance matrix, Solver steps, out-of-sample check.</t>
  </si>
  <si>
    <t xml:space="preserve">VaR backtest with Kupiec test.</t>
  </si>
  <si>
    <t xml:space="preserve">Educational analysis based on two years of historical data. It is not investment advice.</t>
  </si>
  <si>
    <t xml:space="preserve">Inputs and assumptions</t>
  </si>
  <si>
    <t xml:space="preserve">Blue cells are hardcoded inputs; change them and every sheet recalculates.</t>
  </si>
  <si>
    <t xml:space="preserve">Parameter</t>
  </si>
  <si>
    <t xml:space="preserve">Comment</t>
  </si>
  <si>
    <t xml:space="preserve">Hypothetical portfolio used to convert percentages into R$.</t>
  </si>
  <si>
    <t xml:space="preserve">Tail probability (1 - confidence level)</t>
  </si>
  <si>
    <t xml:space="preserve">5% = 95% confidence level for VaR and Expected Shortfall.</t>
  </si>
  <si>
    <t xml:space="preserve">Crash window start</t>
  </si>
  <si>
    <t xml:space="preserve">Start of the Covid-19 crash window used in the 'with / without crash' comparison.</t>
  </si>
  <si>
    <t xml:space="preserve">Crash window end</t>
  </si>
  <si>
    <t xml:space="preserve">End of the crash window.</t>
  </si>
  <si>
    <t xml:space="preserve">Trading days per year</t>
  </si>
  <si>
    <t xml:space="preserve">Used to annualise daily volatility (x SQRT(252)).</t>
  </si>
  <si>
    <t xml:space="preserve">Training period end</t>
  </si>
  <si>
    <t xml:space="preserve">Last day used to estimate VaR / weights in the out-of-sample and backtest checks.</t>
  </si>
  <si>
    <t xml:space="preserve">Backtest window (trading days)</t>
  </si>
  <si>
    <t xml:space="preserve">Length of each period in the backtest (same as the course exercise).</t>
  </si>
  <si>
    <t xml:space="preserve">Weight cap in constrained scenario</t>
  </si>
  <si>
    <t xml:space="preserve">Maximum weight per stock in the '30% cap' optimisation scenario.</t>
  </si>
  <si>
    <t xml:space="preserve">Date excluded as series break (Lojas Americanas)</t>
  </si>
  <si>
    <t xml:space="preserve">-59.8% in one day while the other stocks moved between -4.1% and +0.5%.</t>
  </si>
  <si>
    <t xml:space="preserve">Colour legend</t>
  </si>
  <si>
    <t xml:space="preserve">Blue font</t>
  </si>
  <si>
    <t xml:space="preserve">Hardcoded input (prices, optimiser weights, parameters)</t>
  </si>
  <si>
    <t xml:space="preserve">Black font</t>
  </si>
  <si>
    <t xml:space="preserve">Formula calculated in the same sheet</t>
  </si>
  <si>
    <t xml:space="preserve">Green font</t>
  </si>
  <si>
    <t xml:space="preserve">Formula linking to another sheet</t>
  </si>
  <si>
    <t xml:space="preserve">Yellow fill</t>
  </si>
  <si>
    <t xml:space="preserve">Key assumption you can change</t>
  </si>
  <si>
    <t xml:space="preserve">Daily closing prices (R$)</t>
  </si>
  <si>
    <t xml:space="preserve">Source: Yahoo Finance Brazil, as provided in the course exercise. Hardcoded inputs.</t>
  </si>
  <si>
    <t xml:space="preserve">Date</t>
  </si>
  <si>
    <t xml:space="preserve">Arezzo&amp;Co</t>
  </si>
  <si>
    <t xml:space="preserve">B3</t>
  </si>
  <si>
    <t xml:space="preserve">Klabin</t>
  </si>
  <si>
    <t xml:space="preserve">Localiza</t>
  </si>
  <si>
    <t xml:space="preserve">Lojas Americanas</t>
  </si>
  <si>
    <t xml:space="preserve">Multiplan</t>
  </si>
  <si>
    <t xml:space="preserve">Petrobras</t>
  </si>
  <si>
    <t xml:space="preserve">SulAmerica</t>
  </si>
  <si>
    <t xml:space="preserve">Vale</t>
  </si>
  <si>
    <t xml:space="preserve">Daily returns and portfolio series</t>
  </si>
  <si>
    <t xml:space="preserve">Return = price today / price yesterday - 1. Portfolio columns use the weight rows of the 'Optimization' sheet.</t>
  </si>
  <si>
    <t xml:space="preserve">Portfolio: equal weights</t>
  </si>
  <si>
    <t xml:space="preserve">Portfolio: min. variance</t>
  </si>
  <si>
    <t xml:space="preserve">Portfolio: min. variance, 30% cap</t>
  </si>
  <si>
    <t xml:space="preserve">Portfolio: min. variance (trained to training end)</t>
  </si>
  <si>
    <t xml:space="preserve">In crash window (1 = yes)</t>
  </si>
  <si>
    <t xml:space="preserve">Portfolio index (equal weights, base 100)</t>
  </si>
  <si>
    <t xml:space="preserve">Running peak</t>
  </si>
  <si>
    <t xml:space="preserve">Drawdown</t>
  </si>
  <si>
    <t xml:space="preserve">Lojas Americanas excl. series-break day</t>
  </si>
  <si>
    <t xml:space="preserve">Peak recovered (1 = yes)</t>
  </si>
  <si>
    <t xml:space="preserve">Equal-weight portfolio excl. series-break day</t>
  </si>
  <si>
    <t xml:space="preserve">Helper series for the 'excluding crash' and 'crash only' calculations</t>
  </si>
  <si>
    <t xml:space="preserve">Cells are blank (text) when the day is outside / inside the crash window, so statistics functions ignore them.</t>
  </si>
  <si>
    <t xml:space="preserve">Arezzo&amp;Co (excl. crash)</t>
  </si>
  <si>
    <t xml:space="preserve">B3 (excl. crash)</t>
  </si>
  <si>
    <t xml:space="preserve">Klabin (excl. crash)</t>
  </si>
  <si>
    <t xml:space="preserve">Localiza (excl. crash)</t>
  </si>
  <si>
    <t xml:space="preserve">Lojas Americanas (excl. crash)</t>
  </si>
  <si>
    <t xml:space="preserve">Multiplan (excl. crash)</t>
  </si>
  <si>
    <t xml:space="preserve">Petrobras (excl. crash)</t>
  </si>
  <si>
    <t xml:space="preserve">SulAmerica (excl. crash)</t>
  </si>
  <si>
    <t xml:space="preserve">Vale (excl. crash)</t>
  </si>
  <si>
    <t xml:space="preserve">Arezzo&amp;Co (crash only)</t>
  </si>
  <si>
    <t xml:space="preserve">B3 (crash only)</t>
  </si>
  <si>
    <t xml:space="preserve">Klabin (crash only)</t>
  </si>
  <si>
    <t xml:space="preserve">Localiza (crash only)</t>
  </si>
  <si>
    <t xml:space="preserve">Lojas Americanas (crash only)</t>
  </si>
  <si>
    <t xml:space="preserve">Multiplan (crash only)</t>
  </si>
  <si>
    <t xml:space="preserve">Petrobras (crash only)</t>
  </si>
  <si>
    <t xml:space="preserve">SulAmerica (crash only)</t>
  </si>
  <si>
    <t xml:space="preserve">Vale (crash only)</t>
  </si>
  <si>
    <t xml:space="preserve">Equal-weight portfolio (excl. crash)</t>
  </si>
  <si>
    <t xml:space="preserve">Risk metrics: equal-weight portfolio</t>
  </si>
  <si>
    <t xml:space="preserve">VaR and Expected Shortfall use the historical method (percentile of actual daily returns).</t>
  </si>
  <si>
    <t xml:space="preserve">1. Portfolio risk, full period</t>
  </si>
  <si>
    <t xml:space="preserve">Daily volatility (standard deviation)</t>
  </si>
  <si>
    <t xml:space="preserve">STDEV is the sample standard deviation.</t>
  </si>
  <si>
    <t xml:space="preserve">Annualised volatility</t>
  </si>
  <si>
    <t xml:space="preserve">Loss exceeded only on the worst 5% of days.</t>
  </si>
  <si>
    <t xml:space="preserve">Average loss on the days that exceed the VaR.</t>
  </si>
  <si>
    <t xml:space="preserve">Number of daily returns</t>
  </si>
  <si>
    <t xml:space="preserve">Days in the tail (return &lt;= VaR)</t>
  </si>
  <si>
    <t xml:space="preserve">2. Weight of the crash window (Feb-Apr 2020)</t>
  </si>
  <si>
    <t xml:space="preserve">Days inside the crash window</t>
  </si>
  <si>
    <t xml:space="preserve">Share of all days</t>
  </si>
  <si>
    <t xml:space="preserve">Tail days that fall inside the crash window</t>
  </si>
  <si>
    <t xml:space="preserve">Share of tail days inside the crash window</t>
  </si>
  <si>
    <t xml:space="preserve">A small share of days concentrates most of the worst days.</t>
  </si>
  <si>
    <t xml:space="preserve">Days used excluding the crash window</t>
  </si>
  <si>
    <t xml:space="preserve">Change in Expected Shortfall without the crash</t>
  </si>
  <si>
    <t xml:space="preserve">3. Drawdown of the equal-weight portfolio</t>
  </si>
  <si>
    <t xml:space="preserve">Maximum drawdown</t>
  </si>
  <si>
    <t xml:space="preserve">Trough date</t>
  </si>
  <si>
    <t xml:space="preserve">&lt;- position of the trough in the Returns table (helper)</t>
  </si>
  <si>
    <t xml:space="preserve">Index at trough</t>
  </si>
  <si>
    <t xml:space="preserve">Peak index before the trough</t>
  </si>
  <si>
    <t xml:space="preserve">Peak date</t>
  </si>
  <si>
    <t xml:space="preserve">Date the previous peak was recovered</t>
  </si>
  <si>
    <t xml:space="preserve">4. Risk by stock (daily returns)</t>
  </si>
  <si>
    <t xml:space="preserve">Stock</t>
  </si>
  <si>
    <t xml:space="preserve">Weight (equal)</t>
  </si>
  <si>
    <t xml:space="preserve">Daily volatility</t>
  </si>
  <si>
    <t xml:space="preserve">VaR 95%</t>
  </si>
  <si>
    <t xml:space="preserve">Average of the 9 stocks</t>
  </si>
  <si>
    <t xml:space="preserve">Equal-weight portfolio</t>
  </si>
  <si>
    <t xml:space="preserve">Diversification gain (portfolio vs. average stock)</t>
  </si>
  <si>
    <t xml:space="preserve">5. Sensitivity: excluding the Lojas Americanas series-break day</t>
  </si>
  <si>
    <t xml:space="preserve">Lojas Americanas daily volatility, excluding the break day</t>
  </si>
  <si>
    <t xml:space="preserve">Portfolio VaR 95%, excluding the break day</t>
  </si>
  <si>
    <t xml:space="preserve">Portfolio Expected Shortfall 95%, excluding the break day</t>
  </si>
  <si>
    <t xml:space="preserve">Correlation matrices (Pearson, daily returns)</t>
  </si>
  <si>
    <t xml:space="preserve">Excluding / crash-only matrices use helper series; Excel ignores the blank cells pair-wise.</t>
  </si>
  <si>
    <t xml:space="preserve">1. Full period</t>
  </si>
  <si>
    <t xml:space="preserve">Average pair correlation</t>
  </si>
  <si>
    <t xml:space="preserve">2. Excluding the crash window (Feb-Apr 2020)</t>
  </si>
  <si>
    <t xml:space="preserve">3. Crash window only (Feb-Apr 2020)</t>
  </si>
  <si>
    <t xml:space="preserve">Portfolio optimisation (minimum variance)</t>
  </si>
  <si>
    <t xml:space="preserve">Weights in blue are inputs (optimiser output). Every metric next to them is a live formula.</t>
  </si>
  <si>
    <t xml:space="preserve">Scenario</t>
  </si>
  <si>
    <t xml:space="preserve">Sum of weights</t>
  </si>
  <si>
    <t xml:space="preserve">Portfolio variance</t>
  </si>
  <si>
    <t xml:space="preserve">ES 95% (R$)</t>
  </si>
  <si>
    <t xml:space="preserve">Largest weight</t>
  </si>
  <si>
    <t xml:space="preserve">Equal weights</t>
  </si>
  <si>
    <t xml:space="preserve">Minimum variance (long only)</t>
  </si>
  <si>
    <t xml:space="preserve">Minimum variance, 30% cap per stock</t>
  </si>
  <si>
    <t xml:space="preserve">Minimum variance fitted only to the training period</t>
  </si>
  <si>
    <t xml:space="preserve">Reference: minimum variance fitted without the crash window</t>
  </si>
  <si>
    <t xml:space="preserve">Check: the 30% cap scenario respects the cap</t>
  </si>
  <si>
    <t xml:space="preserve">Covariance matrix of daily returns (sample)</t>
  </si>
  <si>
    <t xml:space="preserve">How to reproduce the optimal weights with Excel Solver</t>
  </si>
  <si>
    <t xml:space="preserve">1. Data &gt; Solver. Set Objective: cell M8 (portfolio variance of the 'Minimum variance' row). To: Min.</t>
  </si>
  <si>
    <t xml:space="preserve">2. By Changing Variable Cells: C8:K8.</t>
  </si>
  <si>
    <t xml:space="preserve">3. Subject to the Constraints: L8 = 1 (weights sum to 100%) and C8:K8 &gt;= 0 (no short selling). Tick 'Make Unconstrained Variables Non-Negative'.</t>
  </si>
  <si>
    <t xml:space="preserve">4. Solving method: GRG Nonlinear. For the capped scenario use row 9 and add the constraint C9:K9 &lt;= Inputs!C11.</t>
  </si>
  <si>
    <t xml:space="preserve">5. The blue weights above were obtained with a quadratic optimiser in Python (code/build_workbook.py), which solves the same problem.</t>
  </si>
  <si>
    <t xml:space="preserve">Out-of-sample check: weights fitted on the training period, tested afterwards</t>
  </si>
  <si>
    <t xml:space="preserve">Last training row (position of the training end date)</t>
  </si>
  <si>
    <t xml:space="preserve">Portfolio</t>
  </si>
  <si>
    <t xml:space="preserve">Training-period volatility</t>
  </si>
  <si>
    <t xml:space="preserve">Test-period volatility</t>
  </si>
  <si>
    <t xml:space="preserve">Test-period VaR 95%</t>
  </si>
  <si>
    <t xml:space="preserve">Minimum variance fitted to the training period</t>
  </si>
  <si>
    <t xml:space="preserve">Test-period volatility vs. equal weights</t>
  </si>
  <si>
    <t xml:space="preserve">Backtest of the VaR (course exercise, with a Kupiec test)</t>
  </si>
  <si>
    <t xml:space="preserve">VaR estimated on period 1 is compared with the actual returns of period 2.</t>
  </si>
  <si>
    <t xml:space="preserve">Window length (days)</t>
  </si>
  <si>
    <t xml:space="preserve">Last day of period 1</t>
  </si>
  <si>
    <t xml:space="preserve">Position of that day in the return series</t>
  </si>
  <si>
    <t xml:space="preserve">Total number of daily returns</t>
  </si>
  <si>
    <t xml:space="preserve">Period 1: first day</t>
  </si>
  <si>
    <t xml:space="preserve">Period 1: last day</t>
  </si>
  <si>
    <t xml:space="preserve">Period 2: first day</t>
  </si>
  <si>
    <t xml:space="preserve">Period 2: last day</t>
  </si>
  <si>
    <t xml:space="preserve">VaR 95% estimated on period 1</t>
  </si>
  <si>
    <t xml:space="preserve">5th percentile actually observed in period 2</t>
  </si>
  <si>
    <t xml:space="preserve">VaR 95% in R$ (period 1)</t>
  </si>
  <si>
    <t xml:space="preserve">Days in period 2 with a loss beyond the period-1 VaR (violations)</t>
  </si>
  <si>
    <t xml:space="preserve">Expected number of violations</t>
  </si>
  <si>
    <t xml:space="preserve">Observed violation rate</t>
  </si>
  <si>
    <t xml:space="preserve">Expected violation rate</t>
  </si>
  <si>
    <t xml:space="preserve">Kupiec likelihood-ratio statistic</t>
  </si>
  <si>
    <t xml:space="preserve">p-value (chi-square, 1 degree of freedom)</t>
  </si>
  <si>
    <t xml:space="preserve">Conclusion</t>
  </si>
  <si>
    <t xml:space="preserve">Reading: the VaR estimated on a window that contains the crash turned out too conservative for the following year (far fewer violations than the 5% expected).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</si>
</sst>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R$ &quot;#,##0;&quot;-R$ &quot;#,##0;\-"/>
    <numFmt numFmtId="166" formatCode="0"/>
    <numFmt numFmtId="167" formatCode="0.00%;\-0.00%;\-"/>
    <numFmt numFmtId="168" formatCode="0.0%"/>
    <numFmt numFmtId="169" formatCode="0.00"/>
    <numFmt numFmtId="170" formatCode="0.0000"/>
    <numFmt numFmtId="171" formatCode="yyyy\-mm\-dd"/>
    <numFmt numFmtId="172" formatCode="0%"/>
    <numFmt numFmtId="173" formatCode="#,##0.00"/>
    <numFmt numFmtId="174" formatCode="0.000000"/>
    <numFmt numFmtId="17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B5" s="4" t="s">
        <v>5</v>
      </c>
      <c r="C5" s="5" t="n">
        <f aca="false">Inputs!$C$4</f>
        <v>1000000</v>
      </c>
      <c r="D5" s="6" t="s">
        <v>6</v>
      </c>
    </row>
    <row r="6" customFormat="false" ht="15" hidden="false" customHeight="false" outlineLevel="0" collapsed="false">
      <c r="B6" s="4" t="s">
        <v>7</v>
      </c>
      <c r="C6" s="7" t="n">
        <f aca="false">Risk_Metrics!C11</f>
        <v>491</v>
      </c>
      <c r="D6" s="6" t="s">
        <v>8</v>
      </c>
    </row>
    <row r="7" customFormat="false" ht="15" hidden="false" customHeight="false" outlineLevel="0" collapsed="false">
      <c r="B7" s="4" t="s">
        <v>9</v>
      </c>
      <c r="C7" s="8" t="n">
        <f aca="false">Risk_Metrics!C5</f>
        <v>0.0236007398241233</v>
      </c>
      <c r="D7" s="6" t="s">
        <v>8</v>
      </c>
    </row>
    <row r="8" customFormat="false" ht="15" hidden="false" customHeight="false" outlineLevel="0" collapsed="false">
      <c r="B8" s="4" t="s">
        <v>10</v>
      </c>
      <c r="C8" s="8" t="n">
        <f aca="false">Risk_Metrics!C7</f>
        <v>-0.0255950792039459</v>
      </c>
      <c r="D8" s="6" t="s">
        <v>8</v>
      </c>
    </row>
    <row r="9" customFormat="false" ht="15" hidden="false" customHeight="false" outlineLevel="0" collapsed="false">
      <c r="B9" s="4" t="s">
        <v>11</v>
      </c>
      <c r="C9" s="5" t="n">
        <f aca="false">Risk_Metrics!C9</f>
        <v>-25595.0792039459</v>
      </c>
      <c r="D9" s="6" t="s">
        <v>8</v>
      </c>
    </row>
    <row r="10" customFormat="false" ht="15" hidden="false" customHeight="false" outlineLevel="0" collapsed="false">
      <c r="B10" s="4" t="s">
        <v>12</v>
      </c>
      <c r="C10" s="8" t="n">
        <f aca="false">Risk_Metrics!C8</f>
        <v>-0.0608115591806127</v>
      </c>
      <c r="D10" s="6" t="s">
        <v>8</v>
      </c>
    </row>
    <row r="11" customFormat="false" ht="15" hidden="false" customHeight="false" outlineLevel="0" collapsed="false">
      <c r="B11" s="4" t="s">
        <v>13</v>
      </c>
      <c r="C11" s="5" t="n">
        <f aca="false">Risk_Metrics!C10</f>
        <v>-60811.5591806127</v>
      </c>
      <c r="D11" s="6" t="s">
        <v>8</v>
      </c>
    </row>
    <row r="12" customFormat="false" ht="15" hidden="false" customHeight="false" outlineLevel="0" collapsed="false">
      <c r="B12" s="4" t="s">
        <v>14</v>
      </c>
      <c r="C12" s="8" t="n">
        <f aca="false">Risk_Metrics!C20</f>
        <v>-0.0199743506694271</v>
      </c>
      <c r="D12" s="6" t="s">
        <v>8</v>
      </c>
    </row>
    <row r="13" customFormat="false" ht="15" hidden="false" customHeight="false" outlineLevel="0" collapsed="false">
      <c r="B13" s="4" t="s">
        <v>15</v>
      </c>
      <c r="C13" s="8" t="n">
        <f aca="false">Risk_Metrics!C21</f>
        <v>-0.0299531009128765</v>
      </c>
      <c r="D13" s="6" t="s">
        <v>8</v>
      </c>
    </row>
    <row r="14" customFormat="false" ht="15" hidden="false" customHeight="false" outlineLevel="0" collapsed="false">
      <c r="B14" s="4" t="s">
        <v>16</v>
      </c>
      <c r="C14" s="9" t="n">
        <f aca="false">Risk_Metrics!C17</f>
        <v>0.0936863543788187</v>
      </c>
      <c r="D14" s="6" t="s">
        <v>8</v>
      </c>
    </row>
    <row r="15" customFormat="false" ht="15" hidden="false" customHeight="false" outlineLevel="0" collapsed="false">
      <c r="B15" s="4" t="s">
        <v>17</v>
      </c>
      <c r="C15" s="9" t="n">
        <f aca="false">Risk_Metrics!C19</f>
        <v>0.56</v>
      </c>
      <c r="D15" s="6" t="s">
        <v>8</v>
      </c>
    </row>
    <row r="16" customFormat="false" ht="15" hidden="false" customHeight="false" outlineLevel="0" collapsed="false">
      <c r="B16" s="4" t="s">
        <v>18</v>
      </c>
      <c r="C16" s="9" t="n">
        <f aca="false">Risk_Metrics!C27</f>
        <v>-0.472346632289662</v>
      </c>
      <c r="D16" s="6" t="s">
        <v>8</v>
      </c>
    </row>
    <row r="17" customFormat="false" ht="15" hidden="false" customHeight="false" outlineLevel="0" collapsed="false">
      <c r="B17" s="4" t="s">
        <v>19</v>
      </c>
      <c r="C17" s="8" t="n">
        <f aca="false">Risk_Metrics!D45</f>
        <v>0.032435973171986</v>
      </c>
      <c r="D17" s="6" t="s">
        <v>8</v>
      </c>
    </row>
    <row r="18" customFormat="false" ht="15" hidden="false" customHeight="false" outlineLevel="0" collapsed="false">
      <c r="B18" s="4" t="s">
        <v>20</v>
      </c>
      <c r="C18" s="10" t="n">
        <f aca="false">Correlation!C14</f>
        <v>0.464264900809374</v>
      </c>
      <c r="D18" s="6" t="s">
        <v>21</v>
      </c>
    </row>
    <row r="19" customFormat="false" ht="15" hidden="false" customHeight="false" outlineLevel="0" collapsed="false">
      <c r="B19" s="4" t="s">
        <v>22</v>
      </c>
      <c r="C19" s="10" t="n">
        <f aca="false">Correlation!C28</f>
        <v>0.232669996365189</v>
      </c>
      <c r="D19" s="6" t="s">
        <v>21</v>
      </c>
    </row>
    <row r="20" customFormat="false" ht="15" hidden="false" customHeight="false" outlineLevel="0" collapsed="false">
      <c r="B20" s="4" t="s">
        <v>23</v>
      </c>
      <c r="C20" s="10" t="n">
        <f aca="false">Correlation!C42</f>
        <v>0.724101209392259</v>
      </c>
      <c r="D20" s="6" t="s">
        <v>21</v>
      </c>
    </row>
    <row r="21" customFormat="false" ht="15" hidden="false" customHeight="false" outlineLevel="0" collapsed="false">
      <c r="B21" s="4" t="s">
        <v>24</v>
      </c>
      <c r="C21" s="8" t="n">
        <f aca="false">Optimization!N8</f>
        <v>0.0197821103388626</v>
      </c>
      <c r="D21" s="6" t="s">
        <v>25</v>
      </c>
    </row>
    <row r="22" customFormat="false" ht="15" hidden="false" customHeight="false" outlineLevel="0" collapsed="false">
      <c r="B22" s="4" t="s">
        <v>26</v>
      </c>
      <c r="C22" s="9" t="n">
        <f aca="false">Optimization!O8</f>
        <v>-0.161801261897625</v>
      </c>
      <c r="D22" s="6" t="s">
        <v>25</v>
      </c>
    </row>
    <row r="23" customFormat="false" ht="15" hidden="false" customHeight="false" outlineLevel="0" collapsed="false">
      <c r="B23" s="4" t="s">
        <v>27</v>
      </c>
      <c r="C23" s="9" t="n">
        <f aca="false">Optimization!T8</f>
        <v>0.448644617595115</v>
      </c>
      <c r="D23" s="6" t="s">
        <v>25</v>
      </c>
    </row>
    <row r="24" customFormat="false" ht="15" hidden="false" customHeight="false" outlineLevel="0" collapsed="false">
      <c r="B24" s="4" t="s">
        <v>28</v>
      </c>
      <c r="C24" s="8" t="n">
        <f aca="false">Optimization!N9</f>
        <v>0.020146545089345</v>
      </c>
      <c r="D24" s="6" t="s">
        <v>25</v>
      </c>
    </row>
    <row r="25" customFormat="false" ht="15" hidden="false" customHeight="false" outlineLevel="0" collapsed="false">
      <c r="B25" s="4" t="s">
        <v>29</v>
      </c>
      <c r="C25" s="9" t="n">
        <f aca="false">Optimization!D39</f>
        <v>-0.105455012174215</v>
      </c>
      <c r="D25" s="6" t="s">
        <v>25</v>
      </c>
    </row>
    <row r="26" customFormat="false" ht="15" hidden="false" customHeight="false" outlineLevel="0" collapsed="false">
      <c r="B26" s="4" t="s">
        <v>30</v>
      </c>
      <c r="C26" s="7" t="n">
        <f aca="false">Backtest!C18</f>
        <v>3</v>
      </c>
      <c r="D26" s="6" t="s">
        <v>31</v>
      </c>
    </row>
    <row r="27" customFormat="false" ht="15" hidden="false" customHeight="false" outlineLevel="0" collapsed="false">
      <c r="B27" s="4" t="s">
        <v>32</v>
      </c>
      <c r="C27" s="9" t="n">
        <f aca="false">Backtest!C20</f>
        <v>0.0122448979591837</v>
      </c>
      <c r="D27" s="6" t="s">
        <v>31</v>
      </c>
    </row>
    <row r="28" customFormat="false" ht="15" hidden="false" customHeight="false" outlineLevel="0" collapsed="false">
      <c r="B28" s="4" t="s">
        <v>33</v>
      </c>
      <c r="C28" s="11" t="n">
        <f aca="false">Backtest!C24</f>
        <v>0.00124566253505739</v>
      </c>
      <c r="D28" s="6" t="s">
        <v>31</v>
      </c>
    </row>
    <row r="30" customFormat="false" ht="15" hidden="false" customHeight="false" outlineLevel="0" collapsed="false">
      <c r="B30" s="12" t="s">
        <v>34</v>
      </c>
      <c r="C30" s="13"/>
      <c r="D30" s="13"/>
    </row>
    <row r="31" customFormat="false" ht="15" hidden="false" customHeight="false" outlineLevel="0" collapsed="false">
      <c r="B31" s="14" t="s">
        <v>6</v>
      </c>
      <c r="C31" s="4" t="s">
        <v>35</v>
      </c>
    </row>
    <row r="32" customFormat="false" ht="15" hidden="false" customHeight="false" outlineLevel="0" collapsed="false">
      <c r="B32" s="14" t="s">
        <v>36</v>
      </c>
      <c r="C32" s="4" t="s">
        <v>37</v>
      </c>
    </row>
    <row r="33" customFormat="false" ht="15" hidden="false" customHeight="false" outlineLevel="0" collapsed="false">
      <c r="B33" s="14" t="s">
        <v>38</v>
      </c>
      <c r="C33" s="4" t="s">
        <v>39</v>
      </c>
    </row>
    <row r="34" customFormat="false" ht="15" hidden="false" customHeight="false" outlineLevel="0" collapsed="false">
      <c r="B34" s="14" t="s">
        <v>40</v>
      </c>
      <c r="C34" s="4" t="s">
        <v>41</v>
      </c>
    </row>
    <row r="35" customFormat="false" ht="15" hidden="false" customHeight="false" outlineLevel="0" collapsed="false">
      <c r="B35" s="14" t="s">
        <v>8</v>
      </c>
      <c r="C35" s="4" t="s">
        <v>42</v>
      </c>
    </row>
    <row r="36" customFormat="false" ht="15" hidden="false" customHeight="false" outlineLevel="0" collapsed="false">
      <c r="B36" s="14" t="s">
        <v>21</v>
      </c>
      <c r="C36" s="4" t="s">
        <v>43</v>
      </c>
    </row>
    <row r="37" customFormat="false" ht="15" hidden="false" customHeight="false" outlineLevel="0" collapsed="false">
      <c r="B37" s="14" t="s">
        <v>25</v>
      </c>
      <c r="C37" s="4" t="s">
        <v>44</v>
      </c>
    </row>
    <row r="38" customFormat="false" ht="15" hidden="false" customHeight="false" outlineLevel="0" collapsed="false">
      <c r="B38" s="14" t="s">
        <v>31</v>
      </c>
      <c r="C38" s="4" t="s">
        <v>45</v>
      </c>
    </row>
    <row r="40" customFormat="false" ht="15" hidden="false" customHeight="false" outlineLevel="0" collapsed="false">
      <c r="B4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30" hidden="false" customHeight="true" outlineLevel="0" collapsed="false">
      <c r="B3" s="3" t="s">
        <v>49</v>
      </c>
      <c r="C3" s="3" t="s">
        <v>3</v>
      </c>
      <c r="D3" s="3" t="s">
        <v>50</v>
      </c>
    </row>
    <row r="4" customFormat="false" ht="15" hidden="false" customHeight="false" outlineLevel="0" collapsed="false">
      <c r="B4" s="4" t="s">
        <v>5</v>
      </c>
      <c r="C4" s="15" t="n">
        <v>1000000</v>
      </c>
      <c r="D4" s="6" t="s">
        <v>51</v>
      </c>
    </row>
    <row r="5" customFormat="false" ht="15" hidden="false" customHeight="false" outlineLevel="0" collapsed="false">
      <c r="B5" s="4" t="s">
        <v>52</v>
      </c>
      <c r="C5" s="16" t="n">
        <v>0.05</v>
      </c>
      <c r="D5" s="6" t="s">
        <v>53</v>
      </c>
    </row>
    <row r="6" customFormat="false" ht="15" hidden="false" customHeight="false" outlineLevel="0" collapsed="false">
      <c r="B6" s="4" t="s">
        <v>54</v>
      </c>
      <c r="C6" s="17" t="n">
        <v>43881</v>
      </c>
      <c r="D6" s="6" t="s">
        <v>55</v>
      </c>
    </row>
    <row r="7" customFormat="false" ht="15" hidden="false" customHeight="false" outlineLevel="0" collapsed="false">
      <c r="B7" s="4" t="s">
        <v>56</v>
      </c>
      <c r="C7" s="17" t="n">
        <v>43951</v>
      </c>
      <c r="D7" s="6" t="s">
        <v>57</v>
      </c>
    </row>
    <row r="8" customFormat="false" ht="15" hidden="false" customHeight="false" outlineLevel="0" collapsed="false">
      <c r="B8" s="4" t="s">
        <v>58</v>
      </c>
      <c r="C8" s="18" t="n">
        <v>252</v>
      </c>
      <c r="D8" s="6" t="s">
        <v>59</v>
      </c>
    </row>
    <row r="9" customFormat="false" ht="15" hidden="false" customHeight="false" outlineLevel="0" collapsed="false">
      <c r="B9" s="4" t="s">
        <v>60</v>
      </c>
      <c r="C9" s="17" t="n">
        <v>44069</v>
      </c>
      <c r="D9" s="6" t="s">
        <v>61</v>
      </c>
    </row>
    <row r="10" customFormat="false" ht="15" hidden="false" customHeight="false" outlineLevel="0" collapsed="false">
      <c r="B10" s="4" t="s">
        <v>62</v>
      </c>
      <c r="C10" s="18" t="n">
        <v>245</v>
      </c>
      <c r="D10" s="6" t="s">
        <v>63</v>
      </c>
    </row>
    <row r="11" customFormat="false" ht="15" hidden="false" customHeight="false" outlineLevel="0" collapsed="false">
      <c r="B11" s="4" t="s">
        <v>64</v>
      </c>
      <c r="C11" s="19" t="n">
        <v>0.3</v>
      </c>
      <c r="D11" s="6" t="s">
        <v>65</v>
      </c>
    </row>
    <row r="12" customFormat="false" ht="15" hidden="false" customHeight="false" outlineLevel="0" collapsed="false">
      <c r="B12" s="4" t="s">
        <v>66</v>
      </c>
      <c r="C12" s="17" t="n">
        <v>44383</v>
      </c>
      <c r="D12" s="6" t="s">
        <v>67</v>
      </c>
    </row>
    <row r="15" customFormat="false" ht="15" hidden="false" customHeight="false" outlineLevel="0" collapsed="false">
      <c r="B15" s="14" t="s">
        <v>68</v>
      </c>
    </row>
    <row r="16" customFormat="false" ht="15" hidden="false" customHeight="false" outlineLevel="0" collapsed="false">
      <c r="B16" s="20" t="s">
        <v>69</v>
      </c>
      <c r="C16" s="4" t="s">
        <v>70</v>
      </c>
    </row>
    <row r="17" customFormat="false" ht="15" hidden="false" customHeight="false" outlineLevel="0" collapsed="false">
      <c r="B17" s="4" t="s">
        <v>71</v>
      </c>
      <c r="C17" s="4" t="s">
        <v>72</v>
      </c>
    </row>
    <row r="18" customFormat="false" ht="15" hidden="false" customHeight="false" outlineLevel="0" collapsed="false">
      <c r="B18" s="21" t="s">
        <v>73</v>
      </c>
      <c r="C18" s="4" t="s">
        <v>74</v>
      </c>
    </row>
    <row r="19" customFormat="false" ht="15" hidden="false" customHeight="false" outlineLevel="0" collapsed="false">
      <c r="B19" s="22" t="s">
        <v>75</v>
      </c>
      <c r="C19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30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</row>
    <row r="4" customFormat="false" ht="15" hidden="false" customHeight="false" outlineLevel="0" collapsed="false">
      <c r="A4" s="23" t="n">
        <v>43707</v>
      </c>
      <c r="B4" s="24" t="n">
        <v>49.48</v>
      </c>
      <c r="C4" s="24" t="n">
        <v>14.933333</v>
      </c>
      <c r="D4" s="24" t="n">
        <v>15.06</v>
      </c>
      <c r="E4" s="24" t="n">
        <v>44.799999</v>
      </c>
      <c r="F4" s="24" t="n">
        <v>18.666086</v>
      </c>
      <c r="G4" s="24" t="n">
        <v>25.99</v>
      </c>
      <c r="H4" s="24" t="n">
        <v>25.5</v>
      </c>
      <c r="I4" s="24" t="n">
        <v>44.84446</v>
      </c>
      <c r="J4" s="24" t="n">
        <v>45.57</v>
      </c>
    </row>
    <row r="5" customFormat="false" ht="15" hidden="false" customHeight="false" outlineLevel="0" collapsed="false">
      <c r="A5" s="23" t="n">
        <v>43710</v>
      </c>
      <c r="B5" s="24" t="n">
        <v>48.200001</v>
      </c>
      <c r="C5" s="24" t="n">
        <v>14.646666</v>
      </c>
      <c r="D5" s="24" t="n">
        <v>14.97</v>
      </c>
      <c r="E5" s="24" t="n">
        <v>44.666664</v>
      </c>
      <c r="F5" s="24" t="n">
        <v>18.53653</v>
      </c>
      <c r="G5" s="24" t="n">
        <v>26.200001</v>
      </c>
      <c r="H5" s="24" t="n">
        <v>25.299999</v>
      </c>
      <c r="I5" s="24" t="n">
        <v>44.585297</v>
      </c>
      <c r="J5" s="24" t="n">
        <v>46.009998</v>
      </c>
    </row>
    <row r="6" customFormat="false" ht="15" hidden="false" customHeight="false" outlineLevel="0" collapsed="false">
      <c r="A6" s="23" t="n">
        <v>43711</v>
      </c>
      <c r="B6" s="24" t="n">
        <v>47.599998</v>
      </c>
      <c r="C6" s="24" t="n">
        <v>14.583333</v>
      </c>
      <c r="D6" s="24" t="n">
        <v>14.8</v>
      </c>
      <c r="E6" s="24" t="n">
        <v>44.342857</v>
      </c>
      <c r="F6" s="24" t="n">
        <v>18.566427</v>
      </c>
      <c r="G6" s="24" t="n">
        <v>26.040001</v>
      </c>
      <c r="H6" s="24" t="n">
        <v>25.6</v>
      </c>
      <c r="I6" s="24" t="n">
        <v>42.715618</v>
      </c>
      <c r="J6" s="24" t="n">
        <v>45.52</v>
      </c>
    </row>
    <row r="7" customFormat="false" ht="15" hidden="false" customHeight="false" outlineLevel="0" collapsed="false">
      <c r="A7" s="23" t="n">
        <v>43712</v>
      </c>
      <c r="B7" s="24" t="n">
        <v>48.09</v>
      </c>
      <c r="C7" s="24" t="n">
        <v>14.876666</v>
      </c>
      <c r="D7" s="24" t="n">
        <v>15.1</v>
      </c>
      <c r="E7" s="24" t="n">
        <v>44.933334</v>
      </c>
      <c r="F7" s="24" t="n">
        <v>18.975029</v>
      </c>
      <c r="G7" s="24" t="n">
        <v>26.299999</v>
      </c>
      <c r="H7" s="24" t="n">
        <v>26.26</v>
      </c>
      <c r="I7" s="24" t="n">
        <v>43.317249</v>
      </c>
      <c r="J7" s="24" t="n">
        <v>46.52</v>
      </c>
    </row>
    <row r="8" customFormat="false" ht="15" hidden="false" customHeight="false" outlineLevel="0" collapsed="false">
      <c r="A8" s="23" t="n">
        <v>43713</v>
      </c>
      <c r="B8" s="24" t="n">
        <v>48.43</v>
      </c>
      <c r="C8" s="24" t="n">
        <v>15.1</v>
      </c>
      <c r="D8" s="24" t="n">
        <v>14.99</v>
      </c>
      <c r="E8" s="24" t="n">
        <v>45</v>
      </c>
      <c r="F8" s="24" t="n">
        <v>18.915234</v>
      </c>
      <c r="G8" s="24" t="n">
        <v>26.57</v>
      </c>
      <c r="H8" s="24" t="n">
        <v>26.389999</v>
      </c>
      <c r="I8" s="24" t="n">
        <v>43.502365</v>
      </c>
      <c r="J8" s="24" t="n">
        <v>46.52</v>
      </c>
    </row>
    <row r="9" customFormat="false" ht="15" hidden="false" customHeight="false" outlineLevel="0" collapsed="false">
      <c r="A9" s="23" t="n">
        <v>43714</v>
      </c>
      <c r="B9" s="24" t="n">
        <v>47.990002</v>
      </c>
      <c r="C9" s="24" t="n">
        <v>15.3</v>
      </c>
      <c r="D9" s="24" t="n">
        <v>15</v>
      </c>
      <c r="E9" s="24" t="n">
        <v>44.599998</v>
      </c>
      <c r="F9" s="24" t="n">
        <v>18.68602</v>
      </c>
      <c r="G9" s="24" t="n">
        <v>26.299999</v>
      </c>
      <c r="H9" s="24" t="n">
        <v>26.52</v>
      </c>
      <c r="I9" s="24" t="n">
        <v>42.613808</v>
      </c>
      <c r="J9" s="24" t="n">
        <v>46.450001</v>
      </c>
    </row>
    <row r="10" customFormat="false" ht="15" hidden="false" customHeight="false" outlineLevel="0" collapsed="false">
      <c r="A10" s="23" t="n">
        <v>43717</v>
      </c>
      <c r="B10" s="24" t="n">
        <v>47.93</v>
      </c>
      <c r="C10" s="24" t="n">
        <v>14.606666</v>
      </c>
      <c r="D10" s="24" t="n">
        <v>15.2</v>
      </c>
      <c r="E10" s="24" t="n">
        <v>43.352379</v>
      </c>
      <c r="F10" s="24" t="n">
        <v>18.387041</v>
      </c>
      <c r="G10" s="24" t="n">
        <v>25.540001</v>
      </c>
      <c r="H10" s="24" t="n">
        <v>26.93</v>
      </c>
      <c r="I10" s="24" t="n">
        <v>41.419804</v>
      </c>
      <c r="J10" s="24" t="n">
        <v>47.889999</v>
      </c>
    </row>
    <row r="11" customFormat="false" ht="15" hidden="false" customHeight="false" outlineLevel="0" collapsed="false">
      <c r="A11" s="23" t="n">
        <v>43718</v>
      </c>
      <c r="B11" s="24" t="n">
        <v>47.810001</v>
      </c>
      <c r="C11" s="24" t="n">
        <v>14.633333</v>
      </c>
      <c r="D11" s="24" t="n">
        <v>15.09</v>
      </c>
      <c r="E11" s="24" t="n">
        <v>42.75238</v>
      </c>
      <c r="F11" s="24" t="n">
        <v>17.799055</v>
      </c>
      <c r="G11" s="24" t="n">
        <v>26.07</v>
      </c>
      <c r="H11" s="24" t="n">
        <v>27.1</v>
      </c>
      <c r="I11" s="24" t="n">
        <v>41.651199</v>
      </c>
      <c r="J11" s="24" t="n">
        <v>48.240002</v>
      </c>
    </row>
    <row r="12" customFormat="false" ht="15" hidden="false" customHeight="false" outlineLevel="0" collapsed="false">
      <c r="A12" s="23" t="n">
        <v>43719</v>
      </c>
      <c r="B12" s="24" t="n">
        <v>49.459999</v>
      </c>
      <c r="C12" s="24" t="n">
        <v>14.843333</v>
      </c>
      <c r="D12" s="24" t="n">
        <v>15.22</v>
      </c>
      <c r="E12" s="24" t="n">
        <v>43.476189</v>
      </c>
      <c r="F12" s="24" t="n">
        <v>18.725882</v>
      </c>
      <c r="G12" s="24" t="n">
        <v>27.049999</v>
      </c>
      <c r="H12" s="24" t="n">
        <v>26.870001</v>
      </c>
      <c r="I12" s="24" t="n">
        <v>42.511993</v>
      </c>
      <c r="J12" s="24" t="n">
        <v>47.950001</v>
      </c>
    </row>
    <row r="13" customFormat="false" ht="15" hidden="false" customHeight="false" outlineLevel="0" collapsed="false">
      <c r="A13" s="23" t="n">
        <v>43720</v>
      </c>
      <c r="B13" s="24" t="n">
        <v>48.700001</v>
      </c>
      <c r="C13" s="24" t="n">
        <v>14.826666</v>
      </c>
      <c r="D13" s="24" t="n">
        <v>15.28</v>
      </c>
      <c r="E13" s="24" t="n">
        <v>43.285713</v>
      </c>
      <c r="F13" s="24" t="n">
        <v>18.795643</v>
      </c>
      <c r="G13" s="24" t="n">
        <v>26.860001</v>
      </c>
      <c r="H13" s="24" t="n">
        <v>27.059999</v>
      </c>
      <c r="I13" s="24" t="n">
        <v>42.391666</v>
      </c>
      <c r="J13" s="24" t="n">
        <v>49.689999</v>
      </c>
    </row>
    <row r="14" customFormat="false" ht="15" hidden="false" customHeight="false" outlineLevel="0" collapsed="false">
      <c r="A14" s="23" t="n">
        <v>43721</v>
      </c>
      <c r="B14" s="24" t="n">
        <v>48.099998</v>
      </c>
      <c r="C14" s="24" t="n">
        <v>14.333333</v>
      </c>
      <c r="D14" s="24" t="n">
        <v>15.31</v>
      </c>
      <c r="E14" s="24" t="n">
        <v>41.904762</v>
      </c>
      <c r="F14" s="24" t="n">
        <v>18.377075</v>
      </c>
      <c r="G14" s="24" t="n">
        <v>25.950001</v>
      </c>
      <c r="H14" s="24" t="n">
        <v>26.879999</v>
      </c>
      <c r="I14" s="24" t="n">
        <v>42.576782</v>
      </c>
      <c r="J14" s="24" t="n">
        <v>49.790001</v>
      </c>
    </row>
    <row r="15" customFormat="false" ht="15" hidden="false" customHeight="false" outlineLevel="0" collapsed="false">
      <c r="A15" s="23" t="n">
        <v>43724</v>
      </c>
      <c r="B15" s="24" t="n">
        <v>48.209999</v>
      </c>
      <c r="C15" s="24" t="n">
        <v>14.356666</v>
      </c>
      <c r="D15" s="24" t="n">
        <v>15.32</v>
      </c>
      <c r="E15" s="24" t="n">
        <v>42.133331</v>
      </c>
      <c r="F15" s="24" t="n">
        <v>18.616257</v>
      </c>
      <c r="G15" s="24" t="n">
        <v>26.33</v>
      </c>
      <c r="H15" s="24" t="n">
        <v>28.059999</v>
      </c>
      <c r="I15" s="24" t="n">
        <v>42.549015</v>
      </c>
      <c r="J15" s="24" t="n">
        <v>48.59</v>
      </c>
    </row>
    <row r="16" customFormat="false" ht="15" hidden="false" customHeight="false" outlineLevel="0" collapsed="false">
      <c r="A16" s="23" t="n">
        <v>43725</v>
      </c>
      <c r="B16" s="24" t="n">
        <v>49.080002</v>
      </c>
      <c r="C16" s="24" t="n">
        <v>14.706666</v>
      </c>
      <c r="D16" s="24" t="n">
        <v>15.39</v>
      </c>
      <c r="E16" s="24" t="n">
        <v>42.380951</v>
      </c>
      <c r="F16" s="24" t="n">
        <v>19.084654</v>
      </c>
      <c r="G16" s="24" t="n">
        <v>26.959999</v>
      </c>
      <c r="H16" s="24" t="n">
        <v>27.690001</v>
      </c>
      <c r="I16" s="24" t="n">
        <v>42.845203</v>
      </c>
      <c r="J16" s="24" t="n">
        <v>48.900002</v>
      </c>
    </row>
    <row r="17" customFormat="false" ht="15" hidden="false" customHeight="false" outlineLevel="0" collapsed="false">
      <c r="A17" s="23" t="n">
        <v>43726</v>
      </c>
      <c r="B17" s="24" t="n">
        <v>49.299999</v>
      </c>
      <c r="C17" s="24" t="n">
        <v>14.973333</v>
      </c>
      <c r="D17" s="24" t="n">
        <v>15.53</v>
      </c>
      <c r="E17" s="24" t="n">
        <v>42.980953</v>
      </c>
      <c r="F17" s="24" t="n">
        <v>19.084654</v>
      </c>
      <c r="G17" s="24" t="n">
        <v>27.209999</v>
      </c>
      <c r="H17" s="24" t="n">
        <v>27.219999</v>
      </c>
      <c r="I17" s="24" t="n">
        <v>42.715618</v>
      </c>
      <c r="J17" s="24" t="n">
        <v>48.400002</v>
      </c>
    </row>
    <row r="18" customFormat="false" ht="15" hidden="false" customHeight="false" outlineLevel="0" collapsed="false">
      <c r="A18" s="23" t="n">
        <v>43727</v>
      </c>
      <c r="B18" s="24" t="n">
        <v>49.75</v>
      </c>
      <c r="C18" s="24" t="n">
        <v>14.86</v>
      </c>
      <c r="D18" s="24" t="n">
        <v>15.55</v>
      </c>
      <c r="E18" s="24" t="n">
        <v>43.685715</v>
      </c>
      <c r="F18" s="24" t="n">
        <v>19.602879</v>
      </c>
      <c r="G18" s="24" t="n">
        <v>28.17</v>
      </c>
      <c r="H18" s="24" t="n">
        <v>27.290001</v>
      </c>
      <c r="I18" s="24" t="n">
        <v>42.493481</v>
      </c>
      <c r="J18" s="24" t="n">
        <v>48.32</v>
      </c>
    </row>
    <row r="19" customFormat="false" ht="15" hidden="false" customHeight="false" outlineLevel="0" collapsed="false">
      <c r="A19" s="23" t="n">
        <v>43728</v>
      </c>
      <c r="B19" s="24" t="n">
        <v>50.259998</v>
      </c>
      <c r="C19" s="24" t="n">
        <v>15.106666</v>
      </c>
      <c r="D19" s="24" t="n">
        <v>15.25</v>
      </c>
      <c r="E19" s="24" t="n">
        <v>43.780952</v>
      </c>
      <c r="F19" s="24" t="n">
        <v>19.632776</v>
      </c>
      <c r="G19" s="24" t="n">
        <v>28.700001</v>
      </c>
      <c r="H19" s="24" t="n">
        <v>27</v>
      </c>
      <c r="I19" s="24" t="n">
        <v>42.474968</v>
      </c>
      <c r="J19" s="24" t="n">
        <v>48.419998</v>
      </c>
    </row>
    <row r="20" customFormat="false" ht="15" hidden="false" customHeight="false" outlineLevel="0" collapsed="false">
      <c r="A20" s="23" t="n">
        <v>43731</v>
      </c>
      <c r="B20" s="24" t="n">
        <v>49.009998</v>
      </c>
      <c r="C20" s="24" t="n">
        <v>14.953333</v>
      </c>
      <c r="D20" s="24" t="n">
        <v>15.37</v>
      </c>
      <c r="E20" s="24" t="n">
        <v>42.323811</v>
      </c>
      <c r="F20" s="24" t="n">
        <v>19.48329</v>
      </c>
      <c r="G20" s="24" t="n">
        <v>28.700001</v>
      </c>
      <c r="H20" s="24" t="n">
        <v>27.48</v>
      </c>
      <c r="I20" s="24" t="n">
        <v>41.651199</v>
      </c>
      <c r="J20" s="24" t="n">
        <v>48.099998</v>
      </c>
    </row>
    <row r="21" customFormat="false" ht="15" hidden="false" customHeight="false" outlineLevel="0" collapsed="false">
      <c r="A21" s="23" t="n">
        <v>43732</v>
      </c>
      <c r="B21" s="24" t="n">
        <v>49</v>
      </c>
      <c r="C21" s="24" t="n">
        <v>14.766666</v>
      </c>
      <c r="D21" s="24" t="n">
        <v>15.2</v>
      </c>
      <c r="E21" s="24" t="n">
        <v>41.523808</v>
      </c>
      <c r="F21" s="24" t="n">
        <v>19.752367</v>
      </c>
      <c r="G21" s="24" t="n">
        <v>28.57</v>
      </c>
      <c r="H21" s="24" t="n">
        <v>27.27</v>
      </c>
      <c r="I21" s="24" t="n">
        <v>41.123619</v>
      </c>
      <c r="J21" s="24" t="n">
        <v>46.93</v>
      </c>
    </row>
    <row r="22" customFormat="false" ht="15" hidden="false" customHeight="false" outlineLevel="0" collapsed="false">
      <c r="A22" s="23" t="n">
        <v>43733</v>
      </c>
      <c r="B22" s="24" t="n">
        <v>48.919998</v>
      </c>
      <c r="C22" s="24" t="n">
        <v>14.67</v>
      </c>
      <c r="D22" s="24" t="n">
        <v>15.29</v>
      </c>
      <c r="E22" s="24" t="n">
        <v>42.514286</v>
      </c>
      <c r="F22" s="24" t="n">
        <v>19.971617</v>
      </c>
      <c r="G22" s="24" t="n">
        <v>28.43</v>
      </c>
      <c r="H22" s="24" t="n">
        <v>27.34</v>
      </c>
      <c r="I22" s="24" t="n">
        <v>42.215805</v>
      </c>
      <c r="J22" s="24" t="n">
        <v>47.860001</v>
      </c>
    </row>
    <row r="23" customFormat="false" ht="15" hidden="false" customHeight="false" outlineLevel="0" collapsed="false">
      <c r="A23" s="23" t="n">
        <v>43734</v>
      </c>
      <c r="B23" s="24" t="n">
        <v>49.490002</v>
      </c>
      <c r="C23" s="24" t="n">
        <v>14.923333</v>
      </c>
      <c r="D23" s="24" t="n">
        <v>15.22</v>
      </c>
      <c r="E23" s="24" t="n">
        <v>42.257141</v>
      </c>
      <c r="F23" s="24" t="n">
        <v>19.951685</v>
      </c>
      <c r="G23" s="24" t="n">
        <v>28.700001</v>
      </c>
      <c r="H23" s="24" t="n">
        <v>27.700001</v>
      </c>
      <c r="I23" s="24" t="n">
        <v>42.678596</v>
      </c>
      <c r="J23" s="24" t="n">
        <v>47.860001</v>
      </c>
    </row>
    <row r="24" customFormat="false" ht="15" hidden="false" customHeight="false" outlineLevel="0" collapsed="false">
      <c r="A24" s="23" t="n">
        <v>43735</v>
      </c>
      <c r="B24" s="24" t="n">
        <v>49.380001</v>
      </c>
      <c r="C24" s="24" t="n">
        <v>14.793333</v>
      </c>
      <c r="D24" s="24" t="n">
        <v>15.14</v>
      </c>
      <c r="E24" s="24" t="n">
        <v>42.05714</v>
      </c>
      <c r="F24" s="24" t="n">
        <v>19.822128</v>
      </c>
      <c r="G24" s="24" t="n">
        <v>28.58</v>
      </c>
      <c r="H24" s="24" t="n">
        <v>27.66</v>
      </c>
      <c r="I24" s="24" t="n">
        <v>43.687481</v>
      </c>
      <c r="J24" s="24" t="n">
        <v>47.66</v>
      </c>
    </row>
    <row r="25" customFormat="false" ht="15" hidden="false" customHeight="false" outlineLevel="0" collapsed="false">
      <c r="A25" s="23" t="n">
        <v>43738</v>
      </c>
      <c r="B25" s="24" t="n">
        <v>49.52</v>
      </c>
      <c r="C25" s="24" t="n">
        <v>14.543333</v>
      </c>
      <c r="D25" s="24" t="n">
        <v>15.39</v>
      </c>
      <c r="E25" s="24" t="n">
        <v>43.295238</v>
      </c>
      <c r="F25" s="24" t="n">
        <v>19.89189</v>
      </c>
      <c r="G25" s="24" t="n">
        <v>28.85</v>
      </c>
      <c r="H25" s="24" t="n">
        <v>27.549999</v>
      </c>
      <c r="I25" s="24" t="n">
        <v>44.159531</v>
      </c>
      <c r="J25" s="24" t="n">
        <v>47.75</v>
      </c>
    </row>
    <row r="26" customFormat="false" ht="15" hidden="false" customHeight="false" outlineLevel="0" collapsed="false">
      <c r="A26" s="23" t="n">
        <v>43739</v>
      </c>
      <c r="B26" s="24" t="n">
        <v>49.68</v>
      </c>
      <c r="C26" s="24" t="n">
        <v>14.59</v>
      </c>
      <c r="D26" s="24" t="n">
        <v>15.17</v>
      </c>
      <c r="E26" s="24" t="n">
        <v>42.295238</v>
      </c>
      <c r="F26" s="24" t="n">
        <v>19.652708</v>
      </c>
      <c r="G26" s="24" t="n">
        <v>27.99</v>
      </c>
      <c r="H26" s="24" t="n">
        <v>27.51</v>
      </c>
      <c r="I26" s="24" t="n">
        <v>44.103992</v>
      </c>
      <c r="J26" s="24" t="n">
        <v>47.709999</v>
      </c>
    </row>
    <row r="27" customFormat="false" ht="15" hidden="false" customHeight="false" outlineLevel="0" collapsed="false">
      <c r="A27" s="23" t="n">
        <v>43740</v>
      </c>
      <c r="B27" s="24" t="n">
        <v>51.150002</v>
      </c>
      <c r="C27" s="24" t="n">
        <v>14.366666</v>
      </c>
      <c r="D27" s="24" t="n">
        <v>14.94</v>
      </c>
      <c r="E27" s="24" t="n">
        <v>40.666664</v>
      </c>
      <c r="F27" s="24" t="n">
        <v>19.353731</v>
      </c>
      <c r="G27" s="24" t="n">
        <v>27.27</v>
      </c>
      <c r="H27" s="24" t="n">
        <v>26.719999</v>
      </c>
      <c r="I27" s="24" t="n">
        <v>42.956272</v>
      </c>
      <c r="J27" s="24" t="n">
        <v>45.099998</v>
      </c>
    </row>
    <row r="28" customFormat="false" ht="15" hidden="false" customHeight="false" outlineLevel="0" collapsed="false">
      <c r="A28" s="23" t="n">
        <v>43741</v>
      </c>
      <c r="B28" s="24" t="n">
        <v>53</v>
      </c>
      <c r="C28" s="24" t="n">
        <v>14.533333</v>
      </c>
      <c r="D28" s="24" t="n">
        <v>14.81</v>
      </c>
      <c r="E28" s="24" t="n">
        <v>41.085712</v>
      </c>
      <c r="F28" s="24" t="n">
        <v>19.114552</v>
      </c>
      <c r="G28" s="24" t="n">
        <v>27.5</v>
      </c>
      <c r="H28" s="24" t="n">
        <v>26.74</v>
      </c>
      <c r="I28" s="24" t="n">
        <v>42.891479</v>
      </c>
      <c r="J28" s="24" t="n">
        <v>45.439999</v>
      </c>
    </row>
    <row r="29" customFormat="false" ht="15" hidden="false" customHeight="false" outlineLevel="0" collapsed="false">
      <c r="A29" s="23" t="n">
        <v>43742</v>
      </c>
      <c r="B29" s="24" t="n">
        <v>55.52</v>
      </c>
      <c r="C29" s="24" t="n">
        <v>14.85</v>
      </c>
      <c r="D29" s="24" t="n">
        <v>14.9</v>
      </c>
      <c r="E29" s="24" t="n">
        <v>41.761906</v>
      </c>
      <c r="F29" s="24" t="n">
        <v>19.712503</v>
      </c>
      <c r="G29" s="24" t="n">
        <v>28.02</v>
      </c>
      <c r="H29" s="24" t="n">
        <v>26.51</v>
      </c>
      <c r="I29" s="24" t="n">
        <v>43.345016</v>
      </c>
      <c r="J29" s="24" t="n">
        <v>46.59</v>
      </c>
    </row>
    <row r="30" customFormat="false" ht="15" hidden="false" customHeight="false" outlineLevel="0" collapsed="false">
      <c r="A30" s="23" t="n">
        <v>43745</v>
      </c>
      <c r="B30" s="24" t="n">
        <v>56</v>
      </c>
      <c r="C30" s="24" t="n">
        <v>14.333333</v>
      </c>
      <c r="D30" s="24" t="n">
        <v>14.72</v>
      </c>
      <c r="E30" s="24" t="n">
        <v>41.142857</v>
      </c>
      <c r="F30" s="24" t="n">
        <v>19.493256</v>
      </c>
      <c r="G30" s="24" t="n">
        <v>27.059999</v>
      </c>
      <c r="H30" s="24" t="n">
        <v>26.17</v>
      </c>
      <c r="I30" s="24" t="n">
        <v>43.594921</v>
      </c>
      <c r="J30" s="24" t="n">
        <v>46.040001</v>
      </c>
    </row>
    <row r="31" customFormat="false" ht="15" hidden="false" customHeight="false" outlineLevel="0" collapsed="false">
      <c r="A31" s="23" t="n">
        <v>43746</v>
      </c>
      <c r="B31" s="24" t="n">
        <v>55.200001</v>
      </c>
      <c r="C31" s="24" t="n">
        <v>14.433333</v>
      </c>
      <c r="D31" s="24" t="n">
        <v>14.43</v>
      </c>
      <c r="E31" s="24" t="n">
        <v>40.904762</v>
      </c>
      <c r="F31" s="24" t="n">
        <v>19.184313</v>
      </c>
      <c r="G31" s="24" t="n">
        <v>27.049999</v>
      </c>
      <c r="H31" s="24" t="n">
        <v>26.02</v>
      </c>
      <c r="I31" s="24" t="n">
        <v>43.039574</v>
      </c>
      <c r="J31" s="24" t="n">
        <v>45.32</v>
      </c>
    </row>
    <row r="32" customFormat="false" ht="15" hidden="false" customHeight="false" outlineLevel="0" collapsed="false">
      <c r="A32" s="23" t="n">
        <v>43747</v>
      </c>
      <c r="B32" s="24" t="n">
        <v>54.799999</v>
      </c>
      <c r="C32" s="24" t="n">
        <v>14.633333</v>
      </c>
      <c r="D32" s="24" t="n">
        <v>14.55</v>
      </c>
      <c r="E32" s="24" t="n">
        <v>41.028572</v>
      </c>
      <c r="F32" s="24" t="n">
        <v>19.692572</v>
      </c>
      <c r="G32" s="24" t="n">
        <v>27.530001</v>
      </c>
      <c r="H32" s="24" t="n">
        <v>26.52</v>
      </c>
      <c r="I32" s="24" t="n">
        <v>43.872597</v>
      </c>
      <c r="J32" s="24" t="n">
        <v>45.669998</v>
      </c>
    </row>
    <row r="33" customFormat="false" ht="15" hidden="false" customHeight="false" outlineLevel="0" collapsed="false">
      <c r="A33" s="23" t="n">
        <v>43748</v>
      </c>
      <c r="B33" s="24" t="n">
        <v>54.98</v>
      </c>
      <c r="C33" s="24" t="n">
        <v>14.686666</v>
      </c>
      <c r="D33" s="24" t="n">
        <v>14.65</v>
      </c>
      <c r="E33" s="24" t="n">
        <v>40.066666</v>
      </c>
      <c r="F33" s="24" t="n">
        <v>19.62281</v>
      </c>
      <c r="G33" s="24" t="n">
        <v>27.5</v>
      </c>
      <c r="H33" s="24" t="n">
        <v>26.74</v>
      </c>
      <c r="I33" s="24" t="n">
        <v>43.983669</v>
      </c>
      <c r="J33" s="24" t="n">
        <v>47.240002</v>
      </c>
    </row>
    <row r="34" customFormat="false" ht="15" hidden="false" customHeight="false" outlineLevel="0" collapsed="false">
      <c r="A34" s="23" t="n">
        <v>43749</v>
      </c>
      <c r="B34" s="24" t="n">
        <v>55.580002</v>
      </c>
      <c r="C34" s="24" t="n">
        <v>15.016666</v>
      </c>
      <c r="D34" s="24" t="n">
        <v>15.29</v>
      </c>
      <c r="E34" s="24" t="n">
        <v>41.238094</v>
      </c>
      <c r="F34" s="24" t="n">
        <v>20.519739</v>
      </c>
      <c r="G34" s="24" t="n">
        <v>27.950001</v>
      </c>
      <c r="H34" s="24" t="n">
        <v>27.26</v>
      </c>
      <c r="I34" s="24" t="n">
        <v>44.520508</v>
      </c>
      <c r="J34" s="24" t="n">
        <v>48.639999</v>
      </c>
    </row>
    <row r="35" customFormat="false" ht="15" hidden="false" customHeight="false" outlineLevel="0" collapsed="false">
      <c r="A35" s="23" t="n">
        <v>43752</v>
      </c>
      <c r="B35" s="24" t="n">
        <v>55.169998</v>
      </c>
      <c r="C35" s="24" t="n">
        <v>15.053333</v>
      </c>
      <c r="D35" s="24" t="n">
        <v>15.43</v>
      </c>
      <c r="E35" s="24" t="n">
        <v>41.961903</v>
      </c>
      <c r="F35" s="24" t="n">
        <v>20.828682</v>
      </c>
      <c r="G35" s="24" t="n">
        <v>28.389999</v>
      </c>
      <c r="H35" s="24" t="n">
        <v>27.309999</v>
      </c>
      <c r="I35" s="24" t="n">
        <v>45.260971</v>
      </c>
      <c r="J35" s="24" t="n">
        <v>47.990002</v>
      </c>
    </row>
    <row r="36" customFormat="false" ht="15" hidden="false" customHeight="false" outlineLevel="0" collapsed="false">
      <c r="A36" s="23" t="n">
        <v>43753</v>
      </c>
      <c r="B36" s="24" t="n">
        <v>54.639999</v>
      </c>
      <c r="C36" s="24" t="n">
        <v>14.836666</v>
      </c>
      <c r="D36" s="24" t="n">
        <v>15.67</v>
      </c>
      <c r="E36" s="24" t="n">
        <v>42.771427</v>
      </c>
      <c r="F36" s="24" t="n">
        <v>21.117693</v>
      </c>
      <c r="G36" s="24" t="n">
        <v>28.83</v>
      </c>
      <c r="H36" s="24" t="n">
        <v>27.6</v>
      </c>
      <c r="I36" s="24" t="n">
        <v>44.761158</v>
      </c>
      <c r="J36" s="24" t="n">
        <v>47.91</v>
      </c>
    </row>
    <row r="37" customFormat="false" ht="15" hidden="false" customHeight="false" outlineLevel="0" collapsed="false">
      <c r="A37" s="23" t="n">
        <v>43754</v>
      </c>
      <c r="B37" s="24" t="n">
        <v>55.130001</v>
      </c>
      <c r="C37" s="24" t="n">
        <v>15.066666</v>
      </c>
      <c r="D37" s="24" t="n">
        <v>15.94</v>
      </c>
      <c r="E37" s="24" t="n">
        <v>42.18095</v>
      </c>
      <c r="F37" s="24" t="n">
        <v>21.237284</v>
      </c>
      <c r="G37" s="24" t="n">
        <v>29.440001</v>
      </c>
      <c r="H37" s="24" t="n">
        <v>27.93</v>
      </c>
      <c r="I37" s="24" t="n">
        <v>44.344646</v>
      </c>
      <c r="J37" s="24" t="n">
        <v>46.799999</v>
      </c>
    </row>
    <row r="38" customFormat="false" ht="15" hidden="false" customHeight="false" outlineLevel="0" collapsed="false">
      <c r="A38" s="23" t="n">
        <v>43755</v>
      </c>
      <c r="B38" s="24" t="n">
        <v>56.650002</v>
      </c>
      <c r="C38" s="24" t="n">
        <v>15.383333</v>
      </c>
      <c r="D38" s="24" t="n">
        <v>15.85</v>
      </c>
      <c r="E38" s="24" t="n">
        <v>42.133331</v>
      </c>
      <c r="F38" s="24" t="n">
        <v>21.037966</v>
      </c>
      <c r="G38" s="24" t="n">
        <v>29.190001</v>
      </c>
      <c r="H38" s="24" t="n">
        <v>27.66</v>
      </c>
      <c r="I38" s="24" t="n">
        <v>44.585297</v>
      </c>
      <c r="J38" s="24" t="n">
        <v>46.709999</v>
      </c>
    </row>
    <row r="39" customFormat="false" ht="15" hidden="false" customHeight="false" outlineLevel="0" collapsed="false">
      <c r="A39" s="23" t="n">
        <v>43756</v>
      </c>
      <c r="B39" s="24" t="n">
        <v>57.189999</v>
      </c>
      <c r="C39" s="24" t="n">
        <v>15.48</v>
      </c>
      <c r="D39" s="24" t="n">
        <v>15.77</v>
      </c>
      <c r="E39" s="24" t="n">
        <v>42.790478</v>
      </c>
      <c r="F39" s="24" t="n">
        <v>21.057898</v>
      </c>
      <c r="G39" s="24" t="n">
        <v>29.299999</v>
      </c>
      <c r="H39" s="24" t="n">
        <v>27.6</v>
      </c>
      <c r="I39" s="24" t="n">
        <v>46.75116</v>
      </c>
      <c r="J39" s="24" t="n">
        <v>46.029999</v>
      </c>
    </row>
    <row r="40" customFormat="false" ht="15" hidden="false" customHeight="false" outlineLevel="0" collapsed="false">
      <c r="A40" s="23" t="n">
        <v>43759</v>
      </c>
      <c r="B40" s="24" t="n">
        <v>56.91</v>
      </c>
      <c r="C40" s="24" t="n">
        <v>15.63</v>
      </c>
      <c r="D40" s="24" t="n">
        <v>15.73</v>
      </c>
      <c r="E40" s="24" t="n">
        <v>42.476189</v>
      </c>
      <c r="F40" s="24" t="n">
        <v>21.018034</v>
      </c>
      <c r="G40" s="24" t="n">
        <v>29.200001</v>
      </c>
      <c r="H40" s="24" t="n">
        <v>27.77</v>
      </c>
      <c r="I40" s="24" t="n">
        <v>47.149158</v>
      </c>
      <c r="J40" s="24" t="n">
        <v>47.209999</v>
      </c>
    </row>
    <row r="41" customFormat="false" ht="15" hidden="false" customHeight="false" outlineLevel="0" collapsed="false">
      <c r="A41" s="23" t="n">
        <v>43760</v>
      </c>
      <c r="B41" s="24" t="n">
        <v>57.799999</v>
      </c>
      <c r="C41" s="24" t="n">
        <v>15.843333</v>
      </c>
      <c r="D41" s="24" t="n">
        <v>15.94</v>
      </c>
      <c r="E41" s="24" t="n">
        <v>42.561905</v>
      </c>
      <c r="F41" s="24" t="n">
        <v>20.818716</v>
      </c>
      <c r="G41" s="24" t="n">
        <v>28.93</v>
      </c>
      <c r="H41" s="24" t="n">
        <v>28.57</v>
      </c>
      <c r="I41" s="24" t="n">
        <v>46.908508</v>
      </c>
      <c r="J41" s="24" t="n">
        <v>47.299999</v>
      </c>
    </row>
    <row r="42" customFormat="false" ht="15" hidden="false" customHeight="false" outlineLevel="0" collapsed="false">
      <c r="A42" s="23" t="n">
        <v>43761</v>
      </c>
      <c r="B42" s="24" t="n">
        <v>57.049999</v>
      </c>
      <c r="C42" s="24" t="n">
        <v>16.08</v>
      </c>
      <c r="D42" s="24" t="n">
        <v>16.059999</v>
      </c>
      <c r="E42" s="24" t="n">
        <v>42.266666</v>
      </c>
      <c r="F42" s="24" t="n">
        <v>20.868546</v>
      </c>
      <c r="G42" s="24" t="n">
        <v>28.68</v>
      </c>
      <c r="H42" s="24" t="n">
        <v>28.950001</v>
      </c>
      <c r="I42" s="24" t="n">
        <v>46.741901</v>
      </c>
      <c r="J42" s="24" t="n">
        <v>47.110001</v>
      </c>
    </row>
    <row r="43" customFormat="false" ht="15" hidden="false" customHeight="false" outlineLevel="0" collapsed="false">
      <c r="A43" s="23" t="n">
        <v>43762</v>
      </c>
      <c r="B43" s="24" t="n">
        <v>56.799999</v>
      </c>
      <c r="C43" s="24" t="n">
        <v>16.206667</v>
      </c>
      <c r="D43" s="24" t="n">
        <v>16.049999</v>
      </c>
      <c r="E43" s="24" t="n">
        <v>39.657143</v>
      </c>
      <c r="F43" s="24" t="n">
        <v>20.729023</v>
      </c>
      <c r="G43" s="24" t="n">
        <v>28.629999</v>
      </c>
      <c r="H43" s="24" t="n">
        <v>28.32</v>
      </c>
      <c r="I43" s="24" t="n">
        <v>46.575298</v>
      </c>
      <c r="J43" s="24" t="n">
        <v>46.75</v>
      </c>
    </row>
    <row r="44" customFormat="false" ht="15" hidden="false" customHeight="false" outlineLevel="0" collapsed="false">
      <c r="A44" s="23" t="n">
        <v>43763</v>
      </c>
      <c r="B44" s="24" t="n">
        <v>57.52</v>
      </c>
      <c r="C44" s="24" t="n">
        <v>16.136665</v>
      </c>
      <c r="D44" s="24" t="n">
        <v>15.84</v>
      </c>
      <c r="E44" s="24" t="n">
        <v>39.780952</v>
      </c>
      <c r="F44" s="24" t="n">
        <v>20.390184</v>
      </c>
      <c r="G44" s="24" t="n">
        <v>28.559999</v>
      </c>
      <c r="H44" s="24" t="n">
        <v>29.25</v>
      </c>
      <c r="I44" s="24" t="n">
        <v>46.649345</v>
      </c>
      <c r="J44" s="24" t="n">
        <v>48.560001</v>
      </c>
    </row>
    <row r="45" customFormat="false" ht="15" hidden="false" customHeight="false" outlineLevel="0" collapsed="false">
      <c r="A45" s="23" t="n">
        <v>43766</v>
      </c>
      <c r="B45" s="24" t="n">
        <v>57.400002</v>
      </c>
      <c r="C45" s="24" t="n">
        <v>16.25</v>
      </c>
      <c r="D45" s="24" t="n">
        <v>15.57</v>
      </c>
      <c r="E45" s="24" t="n">
        <v>39.457142</v>
      </c>
      <c r="F45" s="24" t="n">
        <v>20.400148</v>
      </c>
      <c r="G45" s="24" t="n">
        <v>28.9</v>
      </c>
      <c r="H45" s="24" t="n">
        <v>29.6</v>
      </c>
      <c r="I45" s="24" t="n">
        <v>45.99218</v>
      </c>
      <c r="J45" s="24" t="n">
        <v>48.700001</v>
      </c>
    </row>
    <row r="46" customFormat="false" ht="15" hidden="false" customHeight="false" outlineLevel="0" collapsed="false">
      <c r="A46" s="23" t="n">
        <v>43767</v>
      </c>
      <c r="B46" s="24" t="n">
        <v>57.799999</v>
      </c>
      <c r="C46" s="24" t="n">
        <v>15.966666</v>
      </c>
      <c r="D46" s="24" t="n">
        <v>15.46</v>
      </c>
      <c r="E46" s="24" t="n">
        <v>39.457142</v>
      </c>
      <c r="F46" s="24" t="n">
        <v>20.300491</v>
      </c>
      <c r="G46" s="24" t="n">
        <v>28.18</v>
      </c>
      <c r="H46" s="24" t="n">
        <v>29.82</v>
      </c>
      <c r="I46" s="24" t="n">
        <v>45.566414</v>
      </c>
      <c r="J46" s="24" t="n">
        <v>48.650002</v>
      </c>
    </row>
    <row r="47" customFormat="false" ht="15" hidden="false" customHeight="false" outlineLevel="0" collapsed="false">
      <c r="A47" s="23" t="n">
        <v>43768</v>
      </c>
      <c r="B47" s="24" t="n">
        <v>58.5</v>
      </c>
      <c r="C47" s="24" t="n">
        <v>16.166666</v>
      </c>
      <c r="D47" s="24" t="n">
        <v>15.63</v>
      </c>
      <c r="E47" s="24" t="n">
        <v>40.885715</v>
      </c>
      <c r="F47" s="24" t="n">
        <v>20.579535</v>
      </c>
      <c r="G47" s="24" t="n">
        <v>29.23</v>
      </c>
      <c r="H47" s="24" t="n">
        <v>30.08</v>
      </c>
      <c r="I47" s="24" t="n">
        <v>45.492367</v>
      </c>
      <c r="J47" s="24" t="n">
        <v>48.59</v>
      </c>
    </row>
    <row r="48" customFormat="false" ht="15" hidden="false" customHeight="false" outlineLevel="0" collapsed="false">
      <c r="A48" s="23" t="n">
        <v>43769</v>
      </c>
      <c r="B48" s="24" t="n">
        <v>59.099998</v>
      </c>
      <c r="C48" s="24" t="n">
        <v>16.126665</v>
      </c>
      <c r="D48" s="24" t="n">
        <v>15.93</v>
      </c>
      <c r="E48" s="24" t="n">
        <v>41.12381</v>
      </c>
      <c r="F48" s="24" t="n">
        <v>19.921787</v>
      </c>
      <c r="G48" s="24" t="n">
        <v>29.209999</v>
      </c>
      <c r="H48" s="24" t="n">
        <v>30.389999</v>
      </c>
      <c r="I48" s="24" t="n">
        <v>45.186924</v>
      </c>
      <c r="J48" s="24" t="n">
        <v>47.200001</v>
      </c>
    </row>
    <row r="49" customFormat="false" ht="15" hidden="false" customHeight="false" outlineLevel="0" collapsed="false">
      <c r="A49" s="23" t="n">
        <v>43770</v>
      </c>
      <c r="B49" s="24" t="n">
        <v>62.119999</v>
      </c>
      <c r="C49" s="24" t="n">
        <v>16.4</v>
      </c>
      <c r="D49" s="24" t="n">
        <v>16.15</v>
      </c>
      <c r="E49" s="24" t="n">
        <v>41.238094</v>
      </c>
      <c r="F49" s="24" t="n">
        <v>20.320421</v>
      </c>
      <c r="G49" s="24" t="n">
        <v>29.040001</v>
      </c>
      <c r="H49" s="24" t="n">
        <v>30.43</v>
      </c>
      <c r="I49" s="24" t="n">
        <v>45.325764</v>
      </c>
      <c r="J49" s="24" t="n">
        <v>48.439999</v>
      </c>
    </row>
    <row r="50" customFormat="false" ht="15" hidden="false" customHeight="false" outlineLevel="0" collapsed="false">
      <c r="A50" s="23" t="n">
        <v>43773</v>
      </c>
      <c r="B50" s="24" t="n">
        <v>60.950001</v>
      </c>
      <c r="C50" s="24" t="n">
        <v>16.423332</v>
      </c>
      <c r="D50" s="24" t="n">
        <v>16.68</v>
      </c>
      <c r="E50" s="24" t="n">
        <v>40.238094</v>
      </c>
      <c r="F50" s="24" t="n">
        <v>20.131071</v>
      </c>
      <c r="G50" s="24" t="n">
        <v>29.32</v>
      </c>
      <c r="H50" s="24" t="n">
        <v>30.360001</v>
      </c>
      <c r="I50" s="24" t="n">
        <v>45.214691</v>
      </c>
      <c r="J50" s="24" t="n">
        <v>49.82</v>
      </c>
    </row>
    <row r="51" customFormat="false" ht="15" hidden="false" customHeight="false" outlineLevel="0" collapsed="false">
      <c r="A51" s="23" t="n">
        <v>43774</v>
      </c>
      <c r="B51" s="24" t="n">
        <v>60.299999</v>
      </c>
      <c r="C51" s="24" t="n">
        <v>16.433332</v>
      </c>
      <c r="D51" s="24" t="n">
        <v>17.219999</v>
      </c>
      <c r="E51" s="24" t="n">
        <v>40.171429</v>
      </c>
      <c r="F51" s="24" t="n">
        <v>19.961651</v>
      </c>
      <c r="G51" s="24" t="n">
        <v>28.540001</v>
      </c>
      <c r="H51" s="24" t="n">
        <v>29.65</v>
      </c>
      <c r="I51" s="24" t="n">
        <v>44.705624</v>
      </c>
      <c r="J51" s="24" t="n">
        <v>49.869999</v>
      </c>
    </row>
    <row r="52" customFormat="false" ht="15" hidden="false" customHeight="false" outlineLevel="0" collapsed="false">
      <c r="A52" s="23" t="n">
        <v>43775</v>
      </c>
      <c r="B52" s="24" t="n">
        <v>60.68</v>
      </c>
      <c r="C52" s="24" t="n">
        <v>16.299999</v>
      </c>
      <c r="D52" s="24" t="n">
        <v>17.1</v>
      </c>
      <c r="E52" s="24" t="n">
        <v>40.18095</v>
      </c>
      <c r="F52" s="24" t="n">
        <v>20.42008</v>
      </c>
      <c r="G52" s="24" t="n">
        <v>29.18</v>
      </c>
      <c r="H52" s="24" t="n">
        <v>29.709999</v>
      </c>
      <c r="I52" s="24" t="n">
        <v>45.436832</v>
      </c>
      <c r="J52" s="24" t="n">
        <v>49.689999</v>
      </c>
    </row>
    <row r="53" customFormat="false" ht="15" hidden="false" customHeight="false" outlineLevel="0" collapsed="false">
      <c r="A53" s="23" t="n">
        <v>43776</v>
      </c>
      <c r="B53" s="24" t="n">
        <v>59.950001</v>
      </c>
      <c r="C53" s="24" t="n">
        <v>16.466665</v>
      </c>
      <c r="D53" s="24" t="n">
        <v>17.82</v>
      </c>
      <c r="E53" s="24" t="n">
        <v>40.333332</v>
      </c>
      <c r="F53" s="24" t="n">
        <v>20.260628</v>
      </c>
      <c r="G53" s="24" t="n">
        <v>29.469999</v>
      </c>
      <c r="H53" s="24" t="n">
        <v>30.9</v>
      </c>
      <c r="I53" s="24" t="n">
        <v>46.177299</v>
      </c>
      <c r="J53" s="24" t="n">
        <v>50.110001</v>
      </c>
    </row>
    <row r="54" customFormat="false" ht="15" hidden="false" customHeight="false" outlineLevel="0" collapsed="false">
      <c r="A54" s="23" t="n">
        <v>43777</v>
      </c>
      <c r="B54" s="24" t="n">
        <v>59.5</v>
      </c>
      <c r="C54" s="24" t="n">
        <v>16.233334</v>
      </c>
      <c r="D54" s="24" t="n">
        <v>17.58</v>
      </c>
      <c r="E54" s="24" t="n">
        <v>39.571426</v>
      </c>
      <c r="F54" s="24" t="n">
        <v>19.363697</v>
      </c>
      <c r="G54" s="24" t="n">
        <v>28.76</v>
      </c>
      <c r="H54" s="24" t="n">
        <v>30.02</v>
      </c>
      <c r="I54" s="24" t="n">
        <v>47.010323</v>
      </c>
      <c r="J54" s="24" t="n">
        <v>49.18</v>
      </c>
    </row>
    <row r="55" customFormat="false" ht="15" hidden="false" customHeight="false" outlineLevel="0" collapsed="false">
      <c r="A55" s="23" t="n">
        <v>43780</v>
      </c>
      <c r="B55" s="24" t="n">
        <v>59.900002</v>
      </c>
      <c r="C55" s="24" t="n">
        <v>16.700001</v>
      </c>
      <c r="D55" s="24" t="n">
        <v>18.01</v>
      </c>
      <c r="E55" s="24" t="n">
        <v>40.12381</v>
      </c>
      <c r="F55" s="24" t="n">
        <v>19.802197</v>
      </c>
      <c r="G55" s="24" t="n">
        <v>29.120001</v>
      </c>
      <c r="H55" s="24" t="n">
        <v>30.450001</v>
      </c>
      <c r="I55" s="24" t="n">
        <v>47.61195</v>
      </c>
      <c r="J55" s="24" t="n">
        <v>48.130001</v>
      </c>
    </row>
    <row r="56" customFormat="false" ht="15" hidden="false" customHeight="false" outlineLevel="0" collapsed="false">
      <c r="A56" s="23" t="n">
        <v>43781</v>
      </c>
      <c r="B56" s="24" t="n">
        <v>58.950001</v>
      </c>
      <c r="C56" s="24" t="n">
        <v>16.4</v>
      </c>
      <c r="D56" s="24" t="n">
        <v>17.85</v>
      </c>
      <c r="E56" s="24" t="n">
        <v>39.323811</v>
      </c>
      <c r="F56" s="24" t="n">
        <v>19.433458</v>
      </c>
      <c r="G56" s="24" t="n">
        <v>28.790001</v>
      </c>
      <c r="H56" s="24" t="n">
        <v>30.02</v>
      </c>
      <c r="I56" s="24" t="n">
        <v>47.121391</v>
      </c>
      <c r="J56" s="24" t="n">
        <v>47.900002</v>
      </c>
    </row>
    <row r="57" customFormat="false" ht="15" hidden="false" customHeight="false" outlineLevel="0" collapsed="false">
      <c r="A57" s="23" t="n">
        <v>43782</v>
      </c>
      <c r="B57" s="24" t="n">
        <v>59.400002</v>
      </c>
      <c r="C57" s="24" t="n">
        <v>16.51</v>
      </c>
      <c r="D57" s="24" t="n">
        <v>17.5</v>
      </c>
      <c r="E57" s="24" t="n">
        <v>39.200001</v>
      </c>
      <c r="F57" s="24" t="n">
        <v>19.493256</v>
      </c>
      <c r="G57" s="24" t="n">
        <v>28.57</v>
      </c>
      <c r="H57" s="24" t="n">
        <v>29.9</v>
      </c>
      <c r="I57" s="24" t="n">
        <v>46.621578</v>
      </c>
      <c r="J57" s="24" t="n">
        <v>47.119999</v>
      </c>
    </row>
    <row r="58" customFormat="false" ht="15" hidden="false" customHeight="false" outlineLevel="0" collapsed="false">
      <c r="A58" s="23" t="n">
        <v>43783</v>
      </c>
      <c r="B58" s="24" t="n">
        <v>60.669998</v>
      </c>
      <c r="C58" s="24" t="n">
        <v>16.6</v>
      </c>
      <c r="D58" s="24" t="n">
        <v>17.559999</v>
      </c>
      <c r="E58" s="24" t="n">
        <v>39.761906</v>
      </c>
      <c r="F58" s="24" t="n">
        <v>19.921787</v>
      </c>
      <c r="G58" s="24" t="n">
        <v>29.360001</v>
      </c>
      <c r="H58" s="24" t="n">
        <v>29.299999</v>
      </c>
      <c r="I58" s="24" t="n">
        <v>47.260227</v>
      </c>
      <c r="J58" s="24" t="n">
        <v>47</v>
      </c>
    </row>
    <row r="59" customFormat="false" ht="15" hidden="false" customHeight="false" outlineLevel="0" collapsed="false">
      <c r="A59" s="23" t="n">
        <v>43787</v>
      </c>
      <c r="B59" s="24" t="n">
        <v>60.279999</v>
      </c>
      <c r="C59" s="24" t="n">
        <v>16.346666</v>
      </c>
      <c r="D59" s="24" t="n">
        <v>17.719999</v>
      </c>
      <c r="E59" s="24" t="n">
        <v>39.190475</v>
      </c>
      <c r="F59" s="24" t="n">
        <v>19.612844</v>
      </c>
      <c r="G59" s="24" t="n">
        <v>29.309999</v>
      </c>
      <c r="H59" s="24" t="n">
        <v>29.08</v>
      </c>
      <c r="I59" s="24" t="n">
        <v>46.908508</v>
      </c>
      <c r="J59" s="24" t="n">
        <v>47.610001</v>
      </c>
    </row>
    <row r="60" customFormat="false" ht="15" hidden="false" customHeight="false" outlineLevel="0" collapsed="false">
      <c r="A60" s="23" t="n">
        <v>43788</v>
      </c>
      <c r="B60" s="24" t="n">
        <v>60.009998</v>
      </c>
      <c r="C60" s="24" t="n">
        <v>15.98</v>
      </c>
      <c r="D60" s="24" t="n">
        <v>17.530001</v>
      </c>
      <c r="E60" s="24" t="n">
        <v>39.066666</v>
      </c>
      <c r="F60" s="24" t="n">
        <v>19.901855</v>
      </c>
      <c r="G60" s="24" t="n">
        <v>28.709999</v>
      </c>
      <c r="H60" s="24" t="n">
        <v>28.780001</v>
      </c>
      <c r="I60" s="24" t="n">
        <v>47.648975</v>
      </c>
      <c r="J60" s="24" t="n">
        <v>48.169998</v>
      </c>
    </row>
    <row r="61" customFormat="false" ht="15" hidden="false" customHeight="false" outlineLevel="0" collapsed="false">
      <c r="A61" s="23" t="n">
        <v>43790</v>
      </c>
      <c r="B61" s="24" t="n">
        <v>63.139999</v>
      </c>
      <c r="C61" s="24" t="n">
        <v>16.293333</v>
      </c>
      <c r="D61" s="24" t="n">
        <v>17.6</v>
      </c>
      <c r="E61" s="24" t="n">
        <v>41.257141</v>
      </c>
      <c r="F61" s="24" t="n">
        <v>20.330387</v>
      </c>
      <c r="G61" s="24" t="n">
        <v>29.549999</v>
      </c>
      <c r="H61" s="24" t="n">
        <v>29.85</v>
      </c>
      <c r="I61" s="24" t="n">
        <v>47.065857</v>
      </c>
      <c r="J61" s="24" t="n">
        <v>48.419998</v>
      </c>
    </row>
    <row r="62" customFormat="false" ht="15" hidden="false" customHeight="false" outlineLevel="0" collapsed="false">
      <c r="A62" s="23" t="n">
        <v>43791</v>
      </c>
      <c r="B62" s="24" t="n">
        <v>64.699997</v>
      </c>
      <c r="C62" s="24" t="n">
        <v>16.496666</v>
      </c>
      <c r="D62" s="24" t="n">
        <v>17.57</v>
      </c>
      <c r="E62" s="24" t="n">
        <v>42.161903</v>
      </c>
      <c r="F62" s="24" t="n">
        <v>20.270594</v>
      </c>
      <c r="G62" s="24" t="n">
        <v>29.5</v>
      </c>
      <c r="H62" s="24" t="n">
        <v>29.98</v>
      </c>
      <c r="I62" s="24" t="n">
        <v>47.676743</v>
      </c>
      <c r="J62" s="24" t="n">
        <v>50.029999</v>
      </c>
    </row>
    <row r="63" customFormat="false" ht="15" hidden="false" customHeight="false" outlineLevel="0" collapsed="false">
      <c r="A63" s="23" t="n">
        <v>43794</v>
      </c>
      <c r="B63" s="24" t="n">
        <v>63</v>
      </c>
      <c r="C63" s="24" t="n">
        <v>15.923333</v>
      </c>
      <c r="D63" s="24" t="n">
        <v>17.610001</v>
      </c>
      <c r="E63" s="24" t="n">
        <v>41.961903</v>
      </c>
      <c r="F63" s="24" t="n">
        <v>20.529705</v>
      </c>
      <c r="G63" s="24" t="n">
        <v>29.24</v>
      </c>
      <c r="H63" s="24" t="n">
        <v>29.73</v>
      </c>
      <c r="I63" s="24" t="n">
        <v>48.65786</v>
      </c>
      <c r="J63" s="24" t="n">
        <v>50.860001</v>
      </c>
    </row>
    <row r="64" customFormat="false" ht="15" hidden="false" customHeight="false" outlineLevel="0" collapsed="false">
      <c r="A64" s="23" t="n">
        <v>43795</v>
      </c>
      <c r="B64" s="24" t="n">
        <v>62.700001</v>
      </c>
      <c r="C64" s="24" t="n">
        <v>15.5</v>
      </c>
      <c r="D64" s="24" t="n">
        <v>17.43</v>
      </c>
      <c r="E64" s="24" t="n">
        <v>41.44762</v>
      </c>
      <c r="F64" s="24" t="n">
        <v>20.400148</v>
      </c>
      <c r="G64" s="24" t="n">
        <v>28.5</v>
      </c>
      <c r="H64" s="24" t="n">
        <v>29.190001</v>
      </c>
      <c r="I64" s="24" t="n">
        <v>48.250603</v>
      </c>
      <c r="J64" s="24" t="n">
        <v>51.220001</v>
      </c>
    </row>
    <row r="65" customFormat="false" ht="15" hidden="false" customHeight="false" outlineLevel="0" collapsed="false">
      <c r="A65" s="23" t="n">
        <v>43796</v>
      </c>
      <c r="B65" s="24" t="n">
        <v>62.200001</v>
      </c>
      <c r="C65" s="24" t="n">
        <v>15.816666</v>
      </c>
      <c r="D65" s="24" t="n">
        <v>17.879999</v>
      </c>
      <c r="E65" s="24" t="n">
        <v>41.209522</v>
      </c>
      <c r="F65" s="24" t="n">
        <v>21.237284</v>
      </c>
      <c r="G65" s="24" t="n">
        <v>28.5</v>
      </c>
      <c r="H65" s="24" t="n">
        <v>29.33</v>
      </c>
      <c r="I65" s="24" t="n">
        <v>48.491253</v>
      </c>
      <c r="J65" s="24" t="n">
        <v>50.580002</v>
      </c>
    </row>
    <row r="66" customFormat="false" ht="15" hidden="false" customHeight="false" outlineLevel="0" collapsed="false">
      <c r="A66" s="23" t="n">
        <v>43797</v>
      </c>
      <c r="B66" s="24" t="n">
        <v>62.279999</v>
      </c>
      <c r="C66" s="24" t="n">
        <v>16.049999</v>
      </c>
      <c r="D66" s="24" t="n">
        <v>17.65</v>
      </c>
      <c r="E66" s="24" t="n">
        <v>42.619045</v>
      </c>
      <c r="F66" s="24" t="n">
        <v>21.904997</v>
      </c>
      <c r="G66" s="24" t="n">
        <v>29.040001</v>
      </c>
      <c r="H66" s="24" t="n">
        <v>29.530001</v>
      </c>
      <c r="I66" s="24" t="n">
        <v>49.278</v>
      </c>
      <c r="J66" s="24" t="n">
        <v>50.369999</v>
      </c>
    </row>
    <row r="67" customFormat="false" ht="15" hidden="false" customHeight="false" outlineLevel="0" collapsed="false">
      <c r="A67" s="23" t="n">
        <v>43798</v>
      </c>
      <c r="B67" s="24" t="n">
        <v>62.5</v>
      </c>
      <c r="C67" s="24" t="n">
        <v>15.906666</v>
      </c>
      <c r="D67" s="24" t="n">
        <v>17.540001</v>
      </c>
      <c r="E67" s="24" t="n">
        <v>42.895237</v>
      </c>
      <c r="F67" s="24" t="n">
        <v>22.203974</v>
      </c>
      <c r="G67" s="24" t="n">
        <v>28.92</v>
      </c>
      <c r="H67" s="24" t="n">
        <v>29.15</v>
      </c>
      <c r="I67" s="24" t="n">
        <v>48.85223</v>
      </c>
      <c r="J67" s="24" t="n">
        <v>49.98</v>
      </c>
    </row>
    <row r="68" customFormat="false" ht="15" hidden="false" customHeight="false" outlineLevel="0" collapsed="false">
      <c r="A68" s="23" t="n">
        <v>43801</v>
      </c>
      <c r="B68" s="24" t="n">
        <v>62.599998</v>
      </c>
      <c r="C68" s="24" t="n">
        <v>15.866666</v>
      </c>
      <c r="D68" s="24" t="n">
        <v>17.99</v>
      </c>
      <c r="E68" s="24" t="n">
        <v>42.438095</v>
      </c>
      <c r="F68" s="24" t="n">
        <v>22.652437</v>
      </c>
      <c r="G68" s="24" t="n">
        <v>29.34</v>
      </c>
      <c r="H68" s="24" t="n">
        <v>29.07</v>
      </c>
      <c r="I68" s="24" t="n">
        <v>49.962929</v>
      </c>
      <c r="J68" s="24" t="n">
        <v>51.34</v>
      </c>
    </row>
    <row r="69" customFormat="false" ht="15" hidden="false" customHeight="false" outlineLevel="0" collapsed="false">
      <c r="A69" s="23" t="n">
        <v>43802</v>
      </c>
      <c r="B69" s="24" t="n">
        <v>64.43</v>
      </c>
      <c r="C69" s="24" t="n">
        <v>16.036667</v>
      </c>
      <c r="D69" s="24" t="n">
        <v>18.07</v>
      </c>
      <c r="E69" s="24" t="n">
        <v>42.704762</v>
      </c>
      <c r="F69" s="24" t="n">
        <v>22.921516</v>
      </c>
      <c r="G69" s="24" t="n">
        <v>29.219999</v>
      </c>
      <c r="H69" s="24" t="n">
        <v>28.98</v>
      </c>
      <c r="I69" s="24" t="n">
        <v>50.194324</v>
      </c>
      <c r="J69" s="24" t="n">
        <v>50.419998</v>
      </c>
    </row>
    <row r="70" customFormat="false" ht="15" hidden="false" customHeight="false" outlineLevel="0" collapsed="false">
      <c r="A70" s="23" t="n">
        <v>43803</v>
      </c>
      <c r="B70" s="24" t="n">
        <v>64.599998</v>
      </c>
      <c r="C70" s="24" t="n">
        <v>16.459999</v>
      </c>
      <c r="D70" s="24" t="n">
        <v>17.969999</v>
      </c>
      <c r="E70" s="24" t="n">
        <v>42.285713</v>
      </c>
      <c r="F70" s="24" t="n">
        <v>23.041107</v>
      </c>
      <c r="G70" s="24" t="n">
        <v>29.780001</v>
      </c>
      <c r="H70" s="24" t="n">
        <v>29.66</v>
      </c>
      <c r="I70" s="24" t="n">
        <v>49.583443</v>
      </c>
      <c r="J70" s="24" t="n">
        <v>50.919998</v>
      </c>
    </row>
    <row r="71" customFormat="false" ht="15" hidden="false" customHeight="false" outlineLevel="0" collapsed="false">
      <c r="A71" s="23" t="n">
        <v>43804</v>
      </c>
      <c r="B71" s="24" t="n">
        <v>65.400002</v>
      </c>
      <c r="C71" s="24" t="n">
        <v>16.416666</v>
      </c>
      <c r="D71" s="24" t="n">
        <v>18.200001</v>
      </c>
      <c r="E71" s="24" t="n">
        <v>42.895237</v>
      </c>
      <c r="F71" s="24" t="n">
        <v>22.96138</v>
      </c>
      <c r="G71" s="24" t="n">
        <v>30.209999</v>
      </c>
      <c r="H71" s="24" t="n">
        <v>30.049999</v>
      </c>
      <c r="I71" s="24" t="n">
        <v>48.741161</v>
      </c>
      <c r="J71" s="24" t="n">
        <v>50.950001</v>
      </c>
    </row>
    <row r="72" customFormat="false" ht="15" hidden="false" customHeight="false" outlineLevel="0" collapsed="false">
      <c r="A72" s="23" t="n">
        <v>43805</v>
      </c>
      <c r="B72" s="24" t="n">
        <v>68.099998</v>
      </c>
      <c r="C72" s="24" t="n">
        <v>16.366667</v>
      </c>
      <c r="D72" s="24" t="n">
        <v>18.389999</v>
      </c>
      <c r="E72" s="24" t="n">
        <v>43.523808</v>
      </c>
      <c r="F72" s="24" t="n">
        <v>24.585817</v>
      </c>
      <c r="G72" s="24" t="n">
        <v>30.530001</v>
      </c>
      <c r="H72" s="24" t="n">
        <v>30.35</v>
      </c>
      <c r="I72" s="24" t="n">
        <v>49.583443</v>
      </c>
      <c r="J72" s="24" t="n">
        <v>51.349998</v>
      </c>
    </row>
    <row r="73" customFormat="false" ht="15" hidden="false" customHeight="false" outlineLevel="0" collapsed="false">
      <c r="A73" s="23" t="n">
        <v>43808</v>
      </c>
      <c r="B73" s="24" t="n">
        <v>68.5</v>
      </c>
      <c r="C73" s="24" t="n">
        <v>15.883333</v>
      </c>
      <c r="D73" s="24" t="n">
        <v>18.08</v>
      </c>
      <c r="E73" s="24" t="n">
        <v>42.990475</v>
      </c>
      <c r="F73" s="24" t="n">
        <v>24.984453</v>
      </c>
      <c r="G73" s="24" t="n">
        <v>30.49</v>
      </c>
      <c r="H73" s="24" t="n">
        <v>30.209999</v>
      </c>
      <c r="I73" s="24" t="n">
        <v>48.648602</v>
      </c>
      <c r="J73" s="24" t="n">
        <v>51.439999</v>
      </c>
    </row>
    <row r="74" customFormat="false" ht="15" hidden="false" customHeight="false" outlineLevel="0" collapsed="false">
      <c r="A74" s="23" t="n">
        <v>43809</v>
      </c>
      <c r="B74" s="24" t="n">
        <v>66.599998</v>
      </c>
      <c r="C74" s="24" t="n">
        <v>15.596666</v>
      </c>
      <c r="D74" s="24" t="n">
        <v>18.280001</v>
      </c>
      <c r="E74" s="24" t="n">
        <v>42.333332</v>
      </c>
      <c r="F74" s="24" t="n">
        <v>24.85</v>
      </c>
      <c r="G74" s="24" t="n">
        <v>30.549999</v>
      </c>
      <c r="H74" s="24" t="n">
        <v>30.440001</v>
      </c>
      <c r="I74" s="24" t="n">
        <v>47.426834</v>
      </c>
      <c r="J74" s="24" t="n">
        <v>51.200001</v>
      </c>
    </row>
    <row r="75" customFormat="false" ht="15" hidden="false" customHeight="false" outlineLevel="0" collapsed="false">
      <c r="A75" s="23" t="n">
        <v>43810</v>
      </c>
      <c r="B75" s="24" t="n">
        <v>66</v>
      </c>
      <c r="C75" s="24" t="n">
        <v>15.4</v>
      </c>
      <c r="D75" s="24" t="n">
        <v>18.559999</v>
      </c>
      <c r="E75" s="24" t="n">
        <v>43.438095</v>
      </c>
      <c r="F75" s="24" t="n">
        <v>24.700001</v>
      </c>
      <c r="G75" s="24" t="n">
        <v>30.450001</v>
      </c>
      <c r="H75" s="24" t="n">
        <v>30.4</v>
      </c>
      <c r="I75" s="24" t="n">
        <v>48.389439</v>
      </c>
      <c r="J75" s="24" t="n">
        <v>51.830002</v>
      </c>
    </row>
    <row r="76" customFormat="false" ht="15" hidden="false" customHeight="false" outlineLevel="0" collapsed="false">
      <c r="A76" s="23" t="n">
        <v>43811</v>
      </c>
      <c r="B76" s="24" t="n">
        <v>65.629997</v>
      </c>
      <c r="C76" s="24" t="n">
        <v>15.563333</v>
      </c>
      <c r="D76" s="24" t="n">
        <v>18.75</v>
      </c>
      <c r="E76" s="24" t="n">
        <v>44.55238</v>
      </c>
      <c r="F76" s="24" t="n">
        <v>26.190001</v>
      </c>
      <c r="G76" s="24" t="n">
        <v>30.799999</v>
      </c>
      <c r="H76" s="24" t="n">
        <v>30.969999</v>
      </c>
      <c r="I76" s="24" t="n">
        <v>49.51865</v>
      </c>
      <c r="J76" s="24" t="n">
        <v>52.950001</v>
      </c>
    </row>
    <row r="77" customFormat="false" ht="15" hidden="false" customHeight="false" outlineLevel="0" collapsed="false">
      <c r="A77" s="23" t="n">
        <v>43812</v>
      </c>
      <c r="B77" s="24" t="n">
        <v>65.599998</v>
      </c>
      <c r="C77" s="24" t="n">
        <v>15.466666</v>
      </c>
      <c r="D77" s="24" t="n">
        <v>18.84</v>
      </c>
      <c r="E77" s="24" t="n">
        <v>44.599998</v>
      </c>
      <c r="F77" s="24" t="n">
        <v>26.74</v>
      </c>
      <c r="G77" s="24" t="n">
        <v>30.85</v>
      </c>
      <c r="H77" s="24" t="n">
        <v>29.98</v>
      </c>
      <c r="I77" s="24" t="n">
        <v>49.546417</v>
      </c>
      <c r="J77" s="24" t="n">
        <v>53.759998</v>
      </c>
    </row>
    <row r="78" customFormat="false" ht="15" hidden="false" customHeight="false" outlineLevel="0" collapsed="false">
      <c r="A78" s="23" t="n">
        <v>43815</v>
      </c>
      <c r="B78" s="24" t="n">
        <v>64.699997</v>
      </c>
      <c r="C78" s="24" t="n">
        <v>15.406666</v>
      </c>
      <c r="D78" s="24" t="n">
        <v>18.66</v>
      </c>
      <c r="E78" s="24" t="n">
        <v>45.238094</v>
      </c>
      <c r="F78" s="24" t="n">
        <v>26.5</v>
      </c>
      <c r="G78" s="24" t="n">
        <v>31.08</v>
      </c>
      <c r="H78" s="24" t="n">
        <v>29.41</v>
      </c>
      <c r="I78" s="24" t="n">
        <v>50.351673</v>
      </c>
      <c r="J78" s="24" t="n">
        <v>53.34</v>
      </c>
    </row>
    <row r="79" customFormat="false" ht="15" hidden="false" customHeight="false" outlineLevel="0" collapsed="false">
      <c r="A79" s="23" t="n">
        <v>43816</v>
      </c>
      <c r="B79" s="24" t="n">
        <v>64.5</v>
      </c>
      <c r="C79" s="24" t="n">
        <v>15.93</v>
      </c>
      <c r="D79" s="24" t="n">
        <v>18.809999</v>
      </c>
      <c r="E79" s="24" t="n">
        <v>45.047619</v>
      </c>
      <c r="F79" s="24" t="n">
        <v>25.870001</v>
      </c>
      <c r="G79" s="24" t="n">
        <v>30.73</v>
      </c>
      <c r="H79" s="24" t="n">
        <v>29.85</v>
      </c>
      <c r="I79" s="24" t="n">
        <v>50.499767</v>
      </c>
      <c r="J79" s="24" t="n">
        <v>53.419998</v>
      </c>
    </row>
    <row r="80" customFormat="false" ht="15" hidden="false" customHeight="false" outlineLevel="0" collapsed="false">
      <c r="A80" s="23" t="n">
        <v>43817</v>
      </c>
      <c r="B80" s="24" t="n">
        <v>64</v>
      </c>
      <c r="C80" s="24" t="n">
        <v>16.186666</v>
      </c>
      <c r="D80" s="24" t="n">
        <v>18.790001</v>
      </c>
      <c r="E80" s="24" t="n">
        <v>46.028572</v>
      </c>
      <c r="F80" s="24" t="n">
        <v>25.700001</v>
      </c>
      <c r="G80" s="24" t="n">
        <v>31.1</v>
      </c>
      <c r="H80" s="24" t="n">
        <v>30.540001</v>
      </c>
      <c r="I80" s="24" t="n">
        <v>50.71265</v>
      </c>
      <c r="J80" s="24" t="n">
        <v>53.470001</v>
      </c>
    </row>
    <row r="81" customFormat="false" ht="15" hidden="false" customHeight="false" outlineLevel="0" collapsed="false">
      <c r="A81" s="23" t="n">
        <v>43818</v>
      </c>
      <c r="B81" s="24" t="n">
        <v>64.739998</v>
      </c>
      <c r="C81" s="24" t="n">
        <v>16.186666</v>
      </c>
      <c r="D81" s="24" t="n">
        <v>19.01</v>
      </c>
      <c r="E81" s="24" t="n">
        <v>46.571426</v>
      </c>
      <c r="F81" s="24" t="n">
        <v>25.85</v>
      </c>
      <c r="G81" s="24" t="n">
        <v>31.66</v>
      </c>
      <c r="H81" s="24" t="n">
        <v>30.610001</v>
      </c>
      <c r="I81" s="24" t="n">
        <v>52.036232</v>
      </c>
      <c r="J81" s="24" t="n">
        <v>54</v>
      </c>
    </row>
    <row r="82" customFormat="false" ht="15" hidden="false" customHeight="false" outlineLevel="0" collapsed="false">
      <c r="A82" s="23" t="n">
        <v>43819</v>
      </c>
      <c r="B82" s="24" t="n">
        <v>64.739998</v>
      </c>
      <c r="C82" s="24" t="n">
        <v>16.366667</v>
      </c>
      <c r="D82" s="24" t="n">
        <v>18.74</v>
      </c>
      <c r="E82" s="24" t="n">
        <v>45.542858</v>
      </c>
      <c r="F82" s="24" t="n">
        <v>26.139999</v>
      </c>
      <c r="G82" s="24" t="n">
        <v>32.009998</v>
      </c>
      <c r="H82" s="24" t="n">
        <v>30.26</v>
      </c>
      <c r="I82" s="24" t="n">
        <v>52.258373</v>
      </c>
      <c r="J82" s="24" t="n">
        <v>54.790001</v>
      </c>
    </row>
    <row r="83" customFormat="false" ht="15" hidden="false" customHeight="false" outlineLevel="0" collapsed="false">
      <c r="A83" s="23" t="n">
        <v>43822</v>
      </c>
      <c r="B83" s="24" t="n">
        <v>65.800003</v>
      </c>
      <c r="C83" s="24" t="n">
        <v>15.623333</v>
      </c>
      <c r="D83" s="24" t="n">
        <v>18.4</v>
      </c>
      <c r="E83" s="24" t="n">
        <v>46.799999</v>
      </c>
      <c r="F83" s="24" t="n">
        <v>26.4</v>
      </c>
      <c r="G83" s="24" t="n">
        <v>32.169998</v>
      </c>
      <c r="H83" s="24" t="n">
        <v>30.5</v>
      </c>
      <c r="I83" s="24" t="n">
        <v>52.822979</v>
      </c>
      <c r="J83" s="24" t="n">
        <v>54.580002</v>
      </c>
    </row>
    <row r="84" customFormat="false" ht="15" hidden="false" customHeight="false" outlineLevel="0" collapsed="false">
      <c r="A84" s="23" t="n">
        <v>43825</v>
      </c>
      <c r="B84" s="24" t="n">
        <v>64.769997</v>
      </c>
      <c r="C84" s="24" t="n">
        <v>15.55</v>
      </c>
      <c r="D84" s="24" t="n">
        <v>18.52</v>
      </c>
      <c r="E84" s="24" t="n">
        <v>48.259998</v>
      </c>
      <c r="F84" s="24" t="n">
        <v>26.65</v>
      </c>
      <c r="G84" s="24" t="n">
        <v>33.27</v>
      </c>
      <c r="H84" s="24" t="n">
        <v>30.91</v>
      </c>
      <c r="I84" s="24" t="n">
        <v>53.683769</v>
      </c>
      <c r="J84" s="24" t="n">
        <v>54.790001</v>
      </c>
    </row>
    <row r="85" customFormat="false" ht="15" hidden="false" customHeight="false" outlineLevel="0" collapsed="false">
      <c r="A85" s="23" t="n">
        <v>43826</v>
      </c>
      <c r="B85" s="24" t="n">
        <v>63.98</v>
      </c>
      <c r="C85" s="24" t="n">
        <v>14.736666</v>
      </c>
      <c r="D85" s="24" t="n">
        <v>18.280001</v>
      </c>
      <c r="E85" s="24" t="n">
        <v>47.959999</v>
      </c>
      <c r="F85" s="24" t="n">
        <v>26.09</v>
      </c>
      <c r="G85" s="24" t="n">
        <v>33.040001</v>
      </c>
      <c r="H85" s="24" t="n">
        <v>30.52</v>
      </c>
      <c r="I85" s="24" t="n">
        <v>53.878143</v>
      </c>
      <c r="J85" s="24" t="n">
        <v>53.599998</v>
      </c>
    </row>
    <row r="86" customFormat="false" ht="15" hidden="false" customHeight="false" outlineLevel="0" collapsed="false">
      <c r="A86" s="23" t="n">
        <v>43829</v>
      </c>
      <c r="B86" s="24" t="n">
        <v>64</v>
      </c>
      <c r="C86" s="24" t="n">
        <v>14.323333</v>
      </c>
      <c r="D86" s="24" t="n">
        <v>18.49</v>
      </c>
      <c r="E86" s="24" t="n">
        <v>47.41</v>
      </c>
      <c r="F86" s="24" t="n">
        <v>25.91</v>
      </c>
      <c r="G86" s="24" t="n">
        <v>33.099998</v>
      </c>
      <c r="H86" s="24" t="n">
        <v>30.18</v>
      </c>
      <c r="I86" s="24" t="n">
        <v>55.849632</v>
      </c>
      <c r="J86" s="24" t="n">
        <v>53.299999</v>
      </c>
    </row>
    <row r="87" customFormat="false" ht="15" hidden="false" customHeight="false" outlineLevel="0" collapsed="false">
      <c r="A87" s="23" t="n">
        <v>43832</v>
      </c>
      <c r="B87" s="24" t="n">
        <v>63.91</v>
      </c>
      <c r="C87" s="24" t="n">
        <v>15.036666</v>
      </c>
      <c r="D87" s="24" t="n">
        <v>18.49</v>
      </c>
      <c r="E87" s="24" t="n">
        <v>49.619999</v>
      </c>
      <c r="F87" s="24" t="n">
        <v>26.799999</v>
      </c>
      <c r="G87" s="24" t="n">
        <v>33.549999</v>
      </c>
      <c r="H87" s="24" t="n">
        <v>30.700001</v>
      </c>
      <c r="I87" s="24" t="n">
        <v>57.126938</v>
      </c>
      <c r="J87" s="24" t="n">
        <v>54.330002</v>
      </c>
    </row>
    <row r="88" customFormat="false" ht="15" hidden="false" customHeight="false" outlineLevel="0" collapsed="false">
      <c r="A88" s="23" t="n">
        <v>43833</v>
      </c>
      <c r="B88" s="24" t="n">
        <v>63</v>
      </c>
      <c r="C88" s="24" t="n">
        <v>14.603333</v>
      </c>
      <c r="D88" s="24" t="n">
        <v>18.940001</v>
      </c>
      <c r="E88" s="24" t="n">
        <v>48.900002</v>
      </c>
      <c r="F88" s="24" t="n">
        <v>26.85</v>
      </c>
      <c r="G88" s="24" t="n">
        <v>33.549999</v>
      </c>
      <c r="H88" s="24" t="n">
        <v>30.450001</v>
      </c>
      <c r="I88" s="24" t="n">
        <v>59.246517</v>
      </c>
      <c r="J88" s="24" t="n">
        <v>53.93</v>
      </c>
    </row>
    <row r="89" customFormat="false" ht="15" hidden="false" customHeight="false" outlineLevel="0" collapsed="false">
      <c r="A89" s="23" t="n">
        <v>43836</v>
      </c>
      <c r="B89" s="24" t="n">
        <v>62.610001</v>
      </c>
      <c r="C89" s="24" t="n">
        <v>14.463333</v>
      </c>
      <c r="D89" s="24" t="n">
        <v>19.110001</v>
      </c>
      <c r="E89" s="24" t="n">
        <v>48.330002</v>
      </c>
      <c r="F89" s="24" t="n">
        <v>26.540001</v>
      </c>
      <c r="G89" s="24" t="n">
        <v>33.490002</v>
      </c>
      <c r="H89" s="24" t="n">
        <v>30.809999</v>
      </c>
      <c r="I89" s="24" t="n">
        <v>59.487171</v>
      </c>
      <c r="J89" s="24" t="n">
        <v>53.610001</v>
      </c>
    </row>
    <row r="90" customFormat="false" ht="15" hidden="false" customHeight="false" outlineLevel="0" collapsed="false">
      <c r="A90" s="23" t="n">
        <v>43837</v>
      </c>
      <c r="B90" s="24" t="n">
        <v>62.900002</v>
      </c>
      <c r="C90" s="24" t="n">
        <v>14.93</v>
      </c>
      <c r="D90" s="24" t="n">
        <v>19.17</v>
      </c>
      <c r="E90" s="24" t="n">
        <v>48.799999</v>
      </c>
      <c r="F90" s="24" t="n">
        <v>26.01</v>
      </c>
      <c r="G90" s="24" t="n">
        <v>33.580002</v>
      </c>
      <c r="H90" s="24" t="n">
        <v>30.690001</v>
      </c>
      <c r="I90" s="24" t="n">
        <v>58.320938</v>
      </c>
      <c r="J90" s="24" t="n">
        <v>54</v>
      </c>
    </row>
    <row r="91" customFormat="false" ht="15" hidden="false" customHeight="false" outlineLevel="0" collapsed="false">
      <c r="A91" s="23" t="n">
        <v>43838</v>
      </c>
      <c r="B91" s="24" t="n">
        <v>62</v>
      </c>
      <c r="C91" s="24" t="n">
        <v>14.89</v>
      </c>
      <c r="D91" s="24" t="n">
        <v>19.379999</v>
      </c>
      <c r="E91" s="24" t="n">
        <v>48.560001</v>
      </c>
      <c r="F91" s="24" t="n">
        <v>25.82</v>
      </c>
      <c r="G91" s="24" t="n">
        <v>33.709999</v>
      </c>
      <c r="H91" s="24" t="n">
        <v>30.5</v>
      </c>
      <c r="I91" s="24" t="n">
        <v>57.904427</v>
      </c>
      <c r="J91" s="24" t="n">
        <v>54.009998</v>
      </c>
    </row>
    <row r="92" customFormat="false" ht="15" hidden="false" customHeight="false" outlineLevel="0" collapsed="false">
      <c r="A92" s="23" t="n">
        <v>43839</v>
      </c>
      <c r="B92" s="24" t="n">
        <v>61.299999</v>
      </c>
      <c r="C92" s="24" t="n">
        <v>14.883333</v>
      </c>
      <c r="D92" s="24" t="n">
        <v>19.26</v>
      </c>
      <c r="E92" s="24" t="n">
        <v>48.82</v>
      </c>
      <c r="F92" s="24" t="n">
        <v>26.52</v>
      </c>
      <c r="G92" s="24" t="n">
        <v>33.5</v>
      </c>
      <c r="H92" s="24" t="n">
        <v>30.4</v>
      </c>
      <c r="I92" s="24" t="n">
        <v>59.857403</v>
      </c>
      <c r="J92" s="24" t="n">
        <v>53.299999</v>
      </c>
    </row>
    <row r="93" customFormat="false" ht="15" hidden="false" customHeight="false" outlineLevel="0" collapsed="false">
      <c r="A93" s="23" t="n">
        <v>43840</v>
      </c>
      <c r="B93" s="24" t="n">
        <v>60.860001</v>
      </c>
      <c r="C93" s="24" t="n">
        <v>14.766666</v>
      </c>
      <c r="D93" s="24" t="n">
        <v>19.76</v>
      </c>
      <c r="E93" s="24" t="n">
        <v>47.849998</v>
      </c>
      <c r="F93" s="24" t="n">
        <v>26.469999</v>
      </c>
      <c r="G93" s="24" t="n">
        <v>33.150002</v>
      </c>
      <c r="H93" s="24" t="n">
        <v>30.27</v>
      </c>
      <c r="I93" s="24" t="n">
        <v>59.820381</v>
      </c>
      <c r="J93" s="24" t="n">
        <v>53.360001</v>
      </c>
    </row>
    <row r="94" customFormat="false" ht="15" hidden="false" customHeight="false" outlineLevel="0" collapsed="false">
      <c r="A94" s="23" t="n">
        <v>43843</v>
      </c>
      <c r="B94" s="24" t="n">
        <v>62.799999</v>
      </c>
      <c r="C94" s="24" t="n">
        <v>14.783333</v>
      </c>
      <c r="D94" s="24" t="n">
        <v>20.24</v>
      </c>
      <c r="E94" s="24" t="n">
        <v>48</v>
      </c>
      <c r="F94" s="24" t="n">
        <v>26.99</v>
      </c>
      <c r="G94" s="24" t="n">
        <v>33.5</v>
      </c>
      <c r="H94" s="24" t="n">
        <v>30.33</v>
      </c>
      <c r="I94" s="24" t="n">
        <v>58.163589</v>
      </c>
      <c r="J94" s="24" t="n">
        <v>55.299999</v>
      </c>
    </row>
    <row r="95" customFormat="false" ht="15" hidden="false" customHeight="false" outlineLevel="0" collapsed="false">
      <c r="A95" s="23" t="n">
        <v>43844</v>
      </c>
      <c r="B95" s="24" t="n">
        <v>63</v>
      </c>
      <c r="C95" s="24" t="n">
        <v>14.883333</v>
      </c>
      <c r="D95" s="24" t="n">
        <v>20.92</v>
      </c>
      <c r="E95" s="24" t="n">
        <v>48.200001</v>
      </c>
      <c r="F95" s="24" t="n">
        <v>27.870001</v>
      </c>
      <c r="G95" s="24" t="n">
        <v>34</v>
      </c>
      <c r="H95" s="24" t="n">
        <v>30</v>
      </c>
      <c r="I95" s="24" t="n">
        <v>58.681915</v>
      </c>
      <c r="J95" s="24" t="n">
        <v>55.639999</v>
      </c>
    </row>
    <row r="96" customFormat="false" ht="15" hidden="false" customHeight="false" outlineLevel="0" collapsed="false">
      <c r="A96" s="23" t="n">
        <v>43845</v>
      </c>
      <c r="B96" s="24" t="n">
        <v>62.68</v>
      </c>
      <c r="C96" s="24" t="n">
        <v>14.483333</v>
      </c>
      <c r="D96" s="24" t="n">
        <v>20.67</v>
      </c>
      <c r="E96" s="24" t="n">
        <v>48.209999</v>
      </c>
      <c r="F96" s="24" t="n">
        <v>27.5</v>
      </c>
      <c r="G96" s="24" t="n">
        <v>33.970001</v>
      </c>
      <c r="H96" s="24" t="n">
        <v>29.549999</v>
      </c>
      <c r="I96" s="24" t="n">
        <v>59.237263</v>
      </c>
      <c r="J96" s="24" t="n">
        <v>55.459999</v>
      </c>
    </row>
    <row r="97" customFormat="false" ht="15" hidden="false" customHeight="false" outlineLevel="0" collapsed="false">
      <c r="A97" s="23" t="n">
        <v>43846</v>
      </c>
      <c r="B97" s="24" t="n">
        <v>62.5</v>
      </c>
      <c r="C97" s="24" t="n">
        <v>14.65</v>
      </c>
      <c r="D97" s="24" t="n">
        <v>20.639999</v>
      </c>
      <c r="E97" s="24" t="n">
        <v>49.150002</v>
      </c>
      <c r="F97" s="24" t="n">
        <v>27.85</v>
      </c>
      <c r="G97" s="24" t="n">
        <v>34.150002</v>
      </c>
      <c r="H97" s="24" t="n">
        <v>29.52</v>
      </c>
      <c r="I97" s="24" t="n">
        <v>58.654148</v>
      </c>
      <c r="J97" s="24" t="n">
        <v>55.169998</v>
      </c>
    </row>
    <row r="98" customFormat="false" ht="15" hidden="false" customHeight="false" outlineLevel="0" collapsed="false">
      <c r="A98" s="23" t="n">
        <v>43847</v>
      </c>
      <c r="B98" s="24" t="n">
        <v>62.82</v>
      </c>
      <c r="C98" s="24" t="n">
        <v>15.113333</v>
      </c>
      <c r="D98" s="24" t="n">
        <v>20.74</v>
      </c>
      <c r="E98" s="24" t="n">
        <v>49.490002</v>
      </c>
      <c r="F98" s="24" t="n">
        <v>28.33</v>
      </c>
      <c r="G98" s="24" t="n">
        <v>34.560001</v>
      </c>
      <c r="H98" s="24" t="n">
        <v>29.85</v>
      </c>
      <c r="I98" s="24" t="n">
        <v>59.774101</v>
      </c>
      <c r="J98" s="24" t="n">
        <v>57</v>
      </c>
    </row>
    <row r="99" customFormat="false" ht="15" hidden="false" customHeight="false" outlineLevel="0" collapsed="false">
      <c r="A99" s="23" t="n">
        <v>43850</v>
      </c>
      <c r="B99" s="24" t="n">
        <v>63.189999</v>
      </c>
      <c r="C99" s="24" t="n">
        <v>15.166666</v>
      </c>
      <c r="D99" s="24" t="n">
        <v>20.870001</v>
      </c>
      <c r="E99" s="24" t="n">
        <v>49.599998</v>
      </c>
      <c r="F99" s="24" t="n">
        <v>29.01</v>
      </c>
      <c r="G99" s="24" t="n">
        <v>34.48</v>
      </c>
      <c r="H99" s="24" t="n">
        <v>30</v>
      </c>
      <c r="I99" s="24" t="n">
        <v>61.162476</v>
      </c>
      <c r="J99" s="24" t="n">
        <v>57.360001</v>
      </c>
    </row>
    <row r="100" customFormat="false" ht="15" hidden="false" customHeight="false" outlineLevel="0" collapsed="false">
      <c r="A100" s="23" t="n">
        <v>43851</v>
      </c>
      <c r="B100" s="24" t="n">
        <v>66.029999</v>
      </c>
      <c r="C100" s="24" t="n">
        <v>14.9</v>
      </c>
      <c r="D100" s="24" t="n">
        <v>20.860001</v>
      </c>
      <c r="E100" s="24" t="n">
        <v>49.200001</v>
      </c>
      <c r="F100" s="24" t="n">
        <v>29.01</v>
      </c>
      <c r="G100" s="24" t="n">
        <v>34.25</v>
      </c>
      <c r="H100" s="24" t="n">
        <v>29.620001</v>
      </c>
      <c r="I100" s="24" t="n">
        <v>61.227264</v>
      </c>
      <c r="J100" s="24" t="n">
        <v>56.029999</v>
      </c>
    </row>
    <row r="101" customFormat="false" ht="15" hidden="false" customHeight="false" outlineLevel="0" collapsed="false">
      <c r="A101" s="23" t="n">
        <v>43852</v>
      </c>
      <c r="B101" s="24" t="n">
        <v>64.709999</v>
      </c>
      <c r="C101" s="24" t="n">
        <v>15.833333</v>
      </c>
      <c r="D101" s="24" t="n">
        <v>21.43</v>
      </c>
      <c r="E101" s="24" t="n">
        <v>49.830002</v>
      </c>
      <c r="F101" s="24" t="n">
        <v>28.52</v>
      </c>
      <c r="G101" s="24" t="n">
        <v>34.73</v>
      </c>
      <c r="H101" s="24" t="n">
        <v>29.290001</v>
      </c>
      <c r="I101" s="24" t="n">
        <v>61.902939</v>
      </c>
      <c r="J101" s="24" t="n">
        <v>56.299999</v>
      </c>
    </row>
    <row r="102" customFormat="false" ht="15" hidden="false" customHeight="false" outlineLevel="0" collapsed="false">
      <c r="A102" s="23" t="n">
        <v>43853</v>
      </c>
      <c r="B102" s="24" t="n">
        <v>63.700001</v>
      </c>
      <c r="C102" s="24" t="n">
        <v>16.233334</v>
      </c>
      <c r="D102" s="24" t="n">
        <v>21.83</v>
      </c>
      <c r="E102" s="24" t="n">
        <v>51.740002</v>
      </c>
      <c r="F102" s="24" t="n">
        <v>29.059999</v>
      </c>
      <c r="G102" s="24" t="n">
        <v>35.52</v>
      </c>
      <c r="H102" s="24" t="n">
        <v>29.65</v>
      </c>
      <c r="I102" s="24" t="n">
        <v>62.03252</v>
      </c>
      <c r="J102" s="24" t="n">
        <v>55.5</v>
      </c>
    </row>
    <row r="103" customFormat="false" ht="15" hidden="false" customHeight="false" outlineLevel="0" collapsed="false">
      <c r="A103" s="23" t="n">
        <v>43854</v>
      </c>
      <c r="B103" s="24" t="n">
        <v>63.790001</v>
      </c>
      <c r="C103" s="24" t="n">
        <v>16.33</v>
      </c>
      <c r="D103" s="24" t="n">
        <v>21.67</v>
      </c>
      <c r="E103" s="24" t="n">
        <v>51.41</v>
      </c>
      <c r="F103" s="24" t="n">
        <v>28.950001</v>
      </c>
      <c r="G103" s="24" t="n">
        <v>35.130001</v>
      </c>
      <c r="H103" s="24" t="n">
        <v>29.299999</v>
      </c>
      <c r="I103" s="24" t="n">
        <v>61.449406</v>
      </c>
      <c r="J103" s="24" t="n">
        <v>53.799999</v>
      </c>
    </row>
    <row r="104" customFormat="false" ht="15" hidden="false" customHeight="false" outlineLevel="0" collapsed="false">
      <c r="A104" s="23" t="n">
        <v>43857</v>
      </c>
      <c r="B104" s="24" t="n">
        <v>62.689999</v>
      </c>
      <c r="C104" s="24" t="n">
        <v>15.883333</v>
      </c>
      <c r="D104" s="24" t="n">
        <v>20.98</v>
      </c>
      <c r="E104" s="24" t="n">
        <v>51.439999</v>
      </c>
      <c r="F104" s="24" t="n">
        <v>28.219999</v>
      </c>
      <c r="G104" s="24" t="n">
        <v>34.080002</v>
      </c>
      <c r="H104" s="24" t="n">
        <v>28.030001</v>
      </c>
      <c r="I104" s="24" t="n">
        <v>59.218754</v>
      </c>
      <c r="J104" s="24" t="n">
        <v>50.509998</v>
      </c>
    </row>
    <row r="105" customFormat="false" ht="15" hidden="false" customHeight="false" outlineLevel="0" collapsed="false">
      <c r="A105" s="23" t="n">
        <v>43858</v>
      </c>
      <c r="B105" s="24" t="n">
        <v>63.639999</v>
      </c>
      <c r="C105" s="24" t="n">
        <v>16.360001</v>
      </c>
      <c r="D105" s="24" t="n">
        <v>20.860001</v>
      </c>
      <c r="E105" s="24" t="n">
        <v>52.900002</v>
      </c>
      <c r="F105" s="24" t="n">
        <v>28.469999</v>
      </c>
      <c r="G105" s="24" t="n">
        <v>34.650002</v>
      </c>
      <c r="H105" s="24" t="n">
        <v>28.799999</v>
      </c>
      <c r="I105" s="24" t="n">
        <v>59.709309</v>
      </c>
      <c r="J105" s="24" t="n">
        <v>51.200001</v>
      </c>
    </row>
    <row r="106" customFormat="false" ht="15" hidden="false" customHeight="false" outlineLevel="0" collapsed="false">
      <c r="A106" s="23" t="n">
        <v>43859</v>
      </c>
      <c r="B106" s="24" t="n">
        <v>64.239998</v>
      </c>
      <c r="C106" s="24" t="n">
        <v>16.200001</v>
      </c>
      <c r="D106" s="24" t="n">
        <v>21.059999</v>
      </c>
      <c r="E106" s="24" t="n">
        <v>54.25</v>
      </c>
      <c r="F106" s="24" t="n">
        <v>28.4</v>
      </c>
      <c r="G106" s="24" t="n">
        <v>35.029999</v>
      </c>
      <c r="H106" s="24" t="n">
        <v>28.85</v>
      </c>
      <c r="I106" s="24" t="n">
        <v>59.237263</v>
      </c>
      <c r="J106" s="24" t="n">
        <v>50.75</v>
      </c>
    </row>
    <row r="107" customFormat="false" ht="15" hidden="false" customHeight="false" outlineLevel="0" collapsed="false">
      <c r="A107" s="23" t="n">
        <v>43860</v>
      </c>
      <c r="B107" s="24" t="n">
        <v>62.84</v>
      </c>
      <c r="C107" s="24" t="n">
        <v>16.266666</v>
      </c>
      <c r="D107" s="24" t="n">
        <v>20.65</v>
      </c>
      <c r="E107" s="24" t="n">
        <v>53.830002</v>
      </c>
      <c r="F107" s="24" t="n">
        <v>27.709999</v>
      </c>
      <c r="G107" s="24" t="n">
        <v>35.009998</v>
      </c>
      <c r="H107" s="24" t="n">
        <v>28.940001</v>
      </c>
      <c r="I107" s="24" t="n">
        <v>57.395355</v>
      </c>
      <c r="J107" s="24" t="n">
        <v>51.5</v>
      </c>
    </row>
    <row r="108" customFormat="false" ht="15" hidden="false" customHeight="false" outlineLevel="0" collapsed="false">
      <c r="A108" s="23" t="n">
        <v>43861</v>
      </c>
      <c r="B108" s="24" t="n">
        <v>60.299999</v>
      </c>
      <c r="C108" s="24" t="n">
        <v>16.066666</v>
      </c>
      <c r="D108" s="24" t="n">
        <v>20.92</v>
      </c>
      <c r="E108" s="24" t="n">
        <v>53.630001</v>
      </c>
      <c r="F108" s="24" t="n">
        <v>27.549999</v>
      </c>
      <c r="G108" s="24" t="n">
        <v>34.68</v>
      </c>
      <c r="H108" s="24" t="n">
        <v>28.450001</v>
      </c>
      <c r="I108" s="24" t="n">
        <v>58.598614</v>
      </c>
      <c r="J108" s="24" t="n">
        <v>50.27</v>
      </c>
    </row>
    <row r="109" customFormat="false" ht="15" hidden="false" customHeight="false" outlineLevel="0" collapsed="false">
      <c r="A109" s="23" t="n">
        <v>43864</v>
      </c>
      <c r="B109" s="24" t="n">
        <v>61.389999</v>
      </c>
      <c r="C109" s="24" t="n">
        <v>16.696667</v>
      </c>
      <c r="D109" s="24" t="n">
        <v>20.549999</v>
      </c>
      <c r="E109" s="24" t="n">
        <v>54.459999</v>
      </c>
      <c r="F109" s="24" t="n">
        <v>27.299999</v>
      </c>
      <c r="G109" s="24" t="n">
        <v>35.220001</v>
      </c>
      <c r="H109" s="24" t="n">
        <v>28.18</v>
      </c>
      <c r="I109" s="24" t="n">
        <v>58.487541</v>
      </c>
      <c r="J109" s="24" t="n">
        <v>50.91</v>
      </c>
    </row>
    <row r="110" customFormat="false" ht="15" hidden="false" customHeight="false" outlineLevel="0" collapsed="false">
      <c r="A110" s="23" t="n">
        <v>43865</v>
      </c>
      <c r="B110" s="24" t="n">
        <v>62</v>
      </c>
      <c r="C110" s="24" t="n">
        <v>16.653334</v>
      </c>
      <c r="D110" s="24" t="n">
        <v>20.959999</v>
      </c>
      <c r="E110" s="24" t="n">
        <v>55</v>
      </c>
      <c r="F110" s="24" t="n">
        <v>27.799999</v>
      </c>
      <c r="G110" s="24" t="n">
        <v>35.18</v>
      </c>
      <c r="H110" s="24" t="n">
        <v>28.629999</v>
      </c>
      <c r="I110" s="24" t="n">
        <v>57.136192</v>
      </c>
      <c r="J110" s="24" t="n">
        <v>52.27</v>
      </c>
    </row>
    <row r="111" customFormat="false" ht="15" hidden="false" customHeight="false" outlineLevel="0" collapsed="false">
      <c r="A111" s="23" t="n">
        <v>43866</v>
      </c>
      <c r="B111" s="24" t="n">
        <v>62.740002</v>
      </c>
      <c r="C111" s="24" t="n">
        <v>16.450001</v>
      </c>
      <c r="D111" s="24" t="n">
        <v>21.059999</v>
      </c>
      <c r="E111" s="24" t="n">
        <v>55.52</v>
      </c>
      <c r="F111" s="24" t="n">
        <v>27.450001</v>
      </c>
      <c r="G111" s="24" t="n">
        <v>34.77</v>
      </c>
      <c r="H111" s="24" t="n">
        <v>28.389999</v>
      </c>
      <c r="I111" s="24" t="n">
        <v>57.756332</v>
      </c>
      <c r="J111" s="24" t="n">
        <v>52.990002</v>
      </c>
    </row>
    <row r="112" customFormat="false" ht="15" hidden="false" customHeight="false" outlineLevel="0" collapsed="false">
      <c r="A112" s="23" t="n">
        <v>43867</v>
      </c>
      <c r="B112" s="24" t="n">
        <v>61</v>
      </c>
      <c r="C112" s="24" t="n">
        <v>16.23</v>
      </c>
      <c r="D112" s="24" t="n">
        <v>21.26</v>
      </c>
      <c r="E112" s="24" t="n">
        <v>53.84</v>
      </c>
      <c r="F112" s="24" t="n">
        <v>26.690001</v>
      </c>
      <c r="G112" s="24" t="n">
        <v>33.779999</v>
      </c>
      <c r="H112" s="24" t="n">
        <v>29.18</v>
      </c>
      <c r="I112" s="24" t="n">
        <v>57.182472</v>
      </c>
      <c r="J112" s="24" t="n">
        <v>53.279999</v>
      </c>
    </row>
    <row r="113" customFormat="false" ht="15" hidden="false" customHeight="false" outlineLevel="0" collapsed="false">
      <c r="A113" s="23" t="n">
        <v>43868</v>
      </c>
      <c r="B113" s="24" t="n">
        <v>60.68</v>
      </c>
      <c r="C113" s="24" t="n">
        <v>16.1</v>
      </c>
      <c r="D113" s="24" t="n">
        <v>20.6</v>
      </c>
      <c r="E113" s="24" t="n">
        <v>52.93</v>
      </c>
      <c r="F113" s="24" t="n">
        <v>26.200001</v>
      </c>
      <c r="G113" s="24" t="n">
        <v>33.240002</v>
      </c>
      <c r="H113" s="24" t="n">
        <v>28.93</v>
      </c>
      <c r="I113" s="24" t="n">
        <v>55.49791</v>
      </c>
      <c r="J113" s="24" t="n">
        <v>52.099998</v>
      </c>
    </row>
    <row r="114" customFormat="false" ht="15" hidden="false" customHeight="false" outlineLevel="0" collapsed="false">
      <c r="A114" s="23" t="n">
        <v>43871</v>
      </c>
      <c r="B114" s="24" t="n">
        <v>58.48</v>
      </c>
      <c r="C114" s="24" t="n">
        <v>16.209999</v>
      </c>
      <c r="D114" s="24" t="n">
        <v>20.530001</v>
      </c>
      <c r="E114" s="24" t="n">
        <v>52.32</v>
      </c>
      <c r="F114" s="24" t="n">
        <v>25.99</v>
      </c>
      <c r="G114" s="24" t="n">
        <v>32.700001</v>
      </c>
      <c r="H114" s="24" t="n">
        <v>29.129999</v>
      </c>
      <c r="I114" s="24" t="n">
        <v>53.720795</v>
      </c>
      <c r="J114" s="24" t="n">
        <v>50.189999</v>
      </c>
    </row>
    <row r="115" customFormat="false" ht="15" hidden="false" customHeight="false" outlineLevel="0" collapsed="false">
      <c r="A115" s="23" t="n">
        <v>43872</v>
      </c>
      <c r="B115" s="24" t="n">
        <v>59.689999</v>
      </c>
      <c r="C115" s="24" t="n">
        <v>16.299999</v>
      </c>
      <c r="D115" s="24" t="n">
        <v>20.82</v>
      </c>
      <c r="E115" s="24" t="n">
        <v>54.099998</v>
      </c>
      <c r="F115" s="24" t="n">
        <v>27.110001</v>
      </c>
      <c r="G115" s="24" t="n">
        <v>33.66</v>
      </c>
      <c r="H115" s="24" t="n">
        <v>29.48</v>
      </c>
      <c r="I115" s="24" t="n">
        <v>56.192097</v>
      </c>
      <c r="J115" s="24" t="n">
        <v>52.049999</v>
      </c>
    </row>
    <row r="116" customFormat="false" ht="15" hidden="false" customHeight="false" outlineLevel="0" collapsed="false">
      <c r="A116" s="23" t="n">
        <v>43873</v>
      </c>
      <c r="B116" s="24" t="n">
        <v>61.799999</v>
      </c>
      <c r="C116" s="24" t="n">
        <v>16.626665</v>
      </c>
      <c r="D116" s="24" t="n">
        <v>21.940001</v>
      </c>
      <c r="E116" s="24" t="n">
        <v>55.48</v>
      </c>
      <c r="F116" s="24" t="n">
        <v>27.290001</v>
      </c>
      <c r="G116" s="24" t="n">
        <v>34</v>
      </c>
      <c r="H116" s="24" t="n">
        <v>30.129999</v>
      </c>
      <c r="I116" s="24" t="n">
        <v>57.219494</v>
      </c>
      <c r="J116" s="24" t="n">
        <v>53.07</v>
      </c>
    </row>
    <row r="117" customFormat="false" ht="15" hidden="false" customHeight="false" outlineLevel="0" collapsed="false">
      <c r="A117" s="23" t="n">
        <v>43874</v>
      </c>
      <c r="B117" s="24" t="n">
        <v>63.630001</v>
      </c>
      <c r="C117" s="24" t="n">
        <v>16.526667</v>
      </c>
      <c r="D117" s="24" t="n">
        <v>21.75</v>
      </c>
      <c r="E117" s="24" t="n">
        <v>55.02</v>
      </c>
      <c r="F117" s="24" t="n">
        <v>27.59</v>
      </c>
      <c r="G117" s="24" t="n">
        <v>33.439999</v>
      </c>
      <c r="H117" s="24" t="n">
        <v>29.719999</v>
      </c>
      <c r="I117" s="24" t="n">
        <v>56.867771</v>
      </c>
      <c r="J117" s="24" t="n">
        <v>52.139999</v>
      </c>
    </row>
    <row r="118" customFormat="false" ht="15" hidden="false" customHeight="false" outlineLevel="0" collapsed="false">
      <c r="A118" s="23" t="n">
        <v>43875</v>
      </c>
      <c r="B118" s="24" t="n">
        <v>62.5</v>
      </c>
      <c r="C118" s="24" t="n">
        <v>16.733334</v>
      </c>
      <c r="D118" s="24" t="n">
        <v>21.26</v>
      </c>
      <c r="E118" s="24" t="n">
        <v>55</v>
      </c>
      <c r="F118" s="24" t="n">
        <v>27.120001</v>
      </c>
      <c r="G118" s="24" t="n">
        <v>33.540001</v>
      </c>
      <c r="H118" s="24" t="n">
        <v>29.42</v>
      </c>
      <c r="I118" s="24" t="n">
        <v>56.673401</v>
      </c>
      <c r="J118" s="24" t="n">
        <v>51</v>
      </c>
    </row>
    <row r="119" customFormat="false" ht="15" hidden="false" customHeight="false" outlineLevel="0" collapsed="false">
      <c r="A119" s="23" t="n">
        <v>43878</v>
      </c>
      <c r="B119" s="24" t="n">
        <v>63.82</v>
      </c>
      <c r="C119" s="24" t="n">
        <v>17.23</v>
      </c>
      <c r="D119" s="24" t="n">
        <v>21.08</v>
      </c>
      <c r="E119" s="24" t="n">
        <v>55.23</v>
      </c>
      <c r="F119" s="24" t="n">
        <v>27.43</v>
      </c>
      <c r="G119" s="24" t="n">
        <v>33.200001</v>
      </c>
      <c r="H119" s="24" t="n">
        <v>29.360001</v>
      </c>
      <c r="I119" s="24" t="n">
        <v>56.247635</v>
      </c>
      <c r="J119" s="24" t="n">
        <v>53.41</v>
      </c>
    </row>
    <row r="120" customFormat="false" ht="15" hidden="false" customHeight="false" outlineLevel="0" collapsed="false">
      <c r="A120" s="23" t="n">
        <v>43879</v>
      </c>
      <c r="B120" s="24" t="n">
        <v>64.879997</v>
      </c>
      <c r="C120" s="24" t="n">
        <v>17.043333</v>
      </c>
      <c r="D120" s="24" t="n">
        <v>20.99</v>
      </c>
      <c r="E120" s="24" t="n">
        <v>55.299999</v>
      </c>
      <c r="F120" s="24" t="n">
        <v>27.238821</v>
      </c>
      <c r="G120" s="24" t="n">
        <v>33.82</v>
      </c>
      <c r="H120" s="24" t="n">
        <v>29.75</v>
      </c>
      <c r="I120" s="24" t="n">
        <v>56.312424</v>
      </c>
      <c r="J120" s="24" t="n">
        <v>52.799999</v>
      </c>
    </row>
    <row r="121" customFormat="false" ht="15" hidden="false" customHeight="false" outlineLevel="0" collapsed="false">
      <c r="A121" s="23" t="n">
        <v>43880</v>
      </c>
      <c r="B121" s="24" t="n">
        <v>65.68</v>
      </c>
      <c r="C121" s="24" t="n">
        <v>17.709999</v>
      </c>
      <c r="D121" s="24" t="n">
        <v>21.219999</v>
      </c>
      <c r="E121" s="24" t="n">
        <v>55.049999</v>
      </c>
      <c r="F121" s="24" t="n">
        <v>27.159</v>
      </c>
      <c r="G121" s="24" t="n">
        <v>34.07</v>
      </c>
      <c r="H121" s="24" t="n">
        <v>30.549999</v>
      </c>
      <c r="I121" s="24" t="n">
        <v>57.275028</v>
      </c>
      <c r="J121" s="24" t="n">
        <v>52.810001</v>
      </c>
    </row>
    <row r="122" customFormat="false" ht="15" hidden="false" customHeight="false" outlineLevel="0" collapsed="false">
      <c r="A122" s="23" t="n">
        <v>43881</v>
      </c>
      <c r="B122" s="24" t="n">
        <v>65.559998</v>
      </c>
      <c r="C122" s="24" t="n">
        <v>17.436666</v>
      </c>
      <c r="D122" s="24" t="n">
        <v>21.08</v>
      </c>
      <c r="E122" s="24" t="n">
        <v>54.720001</v>
      </c>
      <c r="F122" s="24" t="n">
        <v>26.779852</v>
      </c>
      <c r="G122" s="24" t="n">
        <v>33.599998</v>
      </c>
      <c r="H122" s="24" t="n">
        <v>29.92</v>
      </c>
      <c r="I122" s="24" t="n">
        <v>55.877399</v>
      </c>
      <c r="J122" s="24" t="n">
        <v>52.200001</v>
      </c>
    </row>
    <row r="123" customFormat="false" ht="15" hidden="false" customHeight="false" outlineLevel="0" collapsed="false">
      <c r="A123" s="23" t="n">
        <v>43882</v>
      </c>
      <c r="B123" s="24" t="n">
        <v>64.209999</v>
      </c>
      <c r="C123" s="24" t="n">
        <v>17.35</v>
      </c>
      <c r="D123" s="24" t="n">
        <v>22.02</v>
      </c>
      <c r="E123" s="24" t="n">
        <v>54.400002</v>
      </c>
      <c r="F123" s="24" t="n">
        <v>28.835236</v>
      </c>
      <c r="G123" s="24" t="n">
        <v>33.799999</v>
      </c>
      <c r="H123" s="24" t="n">
        <v>29.139999</v>
      </c>
      <c r="I123" s="24" t="n">
        <v>55.340561</v>
      </c>
      <c r="J123" s="24" t="n">
        <v>50.130001</v>
      </c>
    </row>
    <row r="124" customFormat="false" ht="15" hidden="false" customHeight="false" outlineLevel="0" collapsed="false">
      <c r="A124" s="23" t="n">
        <v>43888</v>
      </c>
      <c r="B124" s="24" t="n">
        <v>59.880001</v>
      </c>
      <c r="C124" s="24" t="n">
        <v>15.346666</v>
      </c>
      <c r="D124" s="24" t="n">
        <v>19.9</v>
      </c>
      <c r="E124" s="24" t="n">
        <v>49.349998</v>
      </c>
      <c r="F124" s="24" t="n">
        <v>25.971666</v>
      </c>
      <c r="G124" s="24" t="n">
        <v>30.690001</v>
      </c>
      <c r="H124" s="24" t="n">
        <v>25.299999</v>
      </c>
      <c r="I124" s="24" t="n">
        <v>50.879257</v>
      </c>
      <c r="J124" s="24" t="n">
        <v>44.470001</v>
      </c>
    </row>
    <row r="125" customFormat="false" ht="15" hidden="false" customHeight="false" outlineLevel="0" collapsed="false">
      <c r="A125" s="23" t="n">
        <v>43889</v>
      </c>
      <c r="B125" s="24" t="n">
        <v>60.099998</v>
      </c>
      <c r="C125" s="24" t="n">
        <v>16</v>
      </c>
      <c r="D125" s="24" t="n">
        <v>19.33</v>
      </c>
      <c r="E125" s="24" t="n">
        <v>49.540001</v>
      </c>
      <c r="F125" s="24" t="n">
        <v>26.54039</v>
      </c>
      <c r="G125" s="24" t="n">
        <v>30.52</v>
      </c>
      <c r="H125" s="24" t="n">
        <v>25.34</v>
      </c>
      <c r="I125" s="24" t="n">
        <v>48.85223</v>
      </c>
      <c r="J125" s="24" t="n">
        <v>44.310001</v>
      </c>
    </row>
    <row r="126" customFormat="false" ht="15" hidden="false" customHeight="false" outlineLevel="0" collapsed="false">
      <c r="A126" s="23" t="n">
        <v>43892</v>
      </c>
      <c r="B126" s="24" t="n">
        <v>59.849998</v>
      </c>
      <c r="C126" s="24" t="n">
        <v>16.666666</v>
      </c>
      <c r="D126" s="24" t="n">
        <v>20.43</v>
      </c>
      <c r="E126" s="24" t="n">
        <v>49.849998</v>
      </c>
      <c r="F126" s="24" t="n">
        <v>26.590279</v>
      </c>
      <c r="G126" s="24" t="n">
        <v>31.68</v>
      </c>
      <c r="H126" s="24" t="n">
        <v>26.530001</v>
      </c>
      <c r="I126" s="24" t="n">
        <v>48.352417</v>
      </c>
      <c r="J126" s="24" t="n">
        <v>46.360001</v>
      </c>
    </row>
    <row r="127" customFormat="false" ht="15" hidden="false" customHeight="false" outlineLevel="0" collapsed="false">
      <c r="A127" s="23" t="n">
        <v>43893</v>
      </c>
      <c r="B127" s="24" t="n">
        <v>58.560001</v>
      </c>
      <c r="C127" s="24" t="n">
        <v>16.536667</v>
      </c>
      <c r="D127" s="24" t="n">
        <v>20.75</v>
      </c>
      <c r="E127" s="24" t="n">
        <v>49.66</v>
      </c>
      <c r="F127" s="24" t="n">
        <v>27.029291</v>
      </c>
      <c r="G127" s="24" t="n">
        <v>31.219999</v>
      </c>
      <c r="H127" s="24" t="n">
        <v>26.049999</v>
      </c>
      <c r="I127" s="24" t="n">
        <v>48.787441</v>
      </c>
      <c r="J127" s="24" t="n">
        <v>46.349998</v>
      </c>
    </row>
    <row r="128" customFormat="false" ht="15" hidden="false" customHeight="false" outlineLevel="0" collapsed="false">
      <c r="A128" s="23" t="n">
        <v>43894</v>
      </c>
      <c r="B128" s="24" t="n">
        <v>58</v>
      </c>
      <c r="C128" s="24" t="n">
        <v>16.596666</v>
      </c>
      <c r="D128" s="24" t="n">
        <v>22.09</v>
      </c>
      <c r="E128" s="24" t="n">
        <v>50.799999</v>
      </c>
      <c r="F128" s="24" t="n">
        <v>27.637924</v>
      </c>
      <c r="G128" s="24" t="n">
        <v>32.240002</v>
      </c>
      <c r="H128" s="24" t="n">
        <v>26.889999</v>
      </c>
      <c r="I128" s="24" t="n">
        <v>48.528278</v>
      </c>
      <c r="J128" s="24" t="n">
        <v>48.57</v>
      </c>
    </row>
    <row r="129" customFormat="false" ht="15" hidden="false" customHeight="false" outlineLevel="0" collapsed="false">
      <c r="A129" s="23" t="n">
        <v>43895</v>
      </c>
      <c r="B129" s="24" t="n">
        <v>56.799999</v>
      </c>
      <c r="C129" s="24" t="n">
        <v>15.703333</v>
      </c>
      <c r="D129" s="24" t="n">
        <v>21.719999</v>
      </c>
      <c r="E129" s="24" t="n">
        <v>48.25</v>
      </c>
      <c r="F129" s="24" t="n">
        <v>25.881868</v>
      </c>
      <c r="G129" s="24" t="n">
        <v>30.219999</v>
      </c>
      <c r="H129" s="24" t="n">
        <v>25.290001</v>
      </c>
      <c r="I129" s="24" t="n">
        <v>46.519764</v>
      </c>
      <c r="J129" s="24" t="n">
        <v>46.849998</v>
      </c>
    </row>
    <row r="130" customFormat="false" ht="15" hidden="false" customHeight="false" outlineLevel="0" collapsed="false">
      <c r="A130" s="23" t="n">
        <v>43896</v>
      </c>
      <c r="B130" s="24" t="n">
        <v>56.5</v>
      </c>
      <c r="C130" s="24" t="n">
        <v>15.493333</v>
      </c>
      <c r="D130" s="24" t="n">
        <v>21.280001</v>
      </c>
      <c r="E130" s="24" t="n">
        <v>45.049999</v>
      </c>
      <c r="F130" s="24" t="n">
        <v>23.796553</v>
      </c>
      <c r="G130" s="24" t="n">
        <v>29.459999</v>
      </c>
      <c r="H130" s="24" t="n">
        <v>22.83</v>
      </c>
      <c r="I130" s="24" t="n">
        <v>44.492737</v>
      </c>
      <c r="J130" s="24" t="n">
        <v>44.610001</v>
      </c>
    </row>
    <row r="131" customFormat="false" ht="15" hidden="false" customHeight="false" outlineLevel="0" collapsed="false">
      <c r="A131" s="23" t="n">
        <v>43899</v>
      </c>
      <c r="B131" s="24" t="n">
        <v>51.57</v>
      </c>
      <c r="C131" s="24" t="n">
        <v>13.633333</v>
      </c>
      <c r="D131" s="24" t="n">
        <v>19.59</v>
      </c>
      <c r="E131" s="24" t="n">
        <v>39.799999</v>
      </c>
      <c r="F131" s="24" t="n">
        <v>21.860901</v>
      </c>
      <c r="G131" s="24" t="n">
        <v>26.889999</v>
      </c>
      <c r="H131" s="24" t="n">
        <v>16.049999</v>
      </c>
      <c r="I131" s="24" t="n">
        <v>38.883709</v>
      </c>
      <c r="J131" s="24" t="n">
        <v>37.830002</v>
      </c>
    </row>
    <row r="132" customFormat="false" ht="15" hidden="false" customHeight="false" outlineLevel="0" collapsed="false">
      <c r="A132" s="23" t="n">
        <v>43900</v>
      </c>
      <c r="B132" s="24" t="n">
        <v>55.709999</v>
      </c>
      <c r="C132" s="24" t="n">
        <v>15.333333</v>
      </c>
      <c r="D132" s="24" t="n">
        <v>19.709999</v>
      </c>
      <c r="E132" s="24" t="n">
        <v>41.950001</v>
      </c>
      <c r="F132" s="24" t="n">
        <v>23.497225</v>
      </c>
      <c r="G132" s="24" t="n">
        <v>28.030001</v>
      </c>
      <c r="H132" s="24" t="n">
        <v>17.559999</v>
      </c>
      <c r="I132" s="24" t="n">
        <v>42.243572</v>
      </c>
      <c r="J132" s="24" t="n">
        <v>44.810001</v>
      </c>
    </row>
    <row r="133" customFormat="false" ht="15" hidden="false" customHeight="false" outlineLevel="0" collapsed="false">
      <c r="A133" s="23" t="n">
        <v>43901</v>
      </c>
      <c r="B133" s="24" t="n">
        <v>52.790001</v>
      </c>
      <c r="C133" s="24" t="n">
        <v>14.183333</v>
      </c>
      <c r="D133" s="24" t="n">
        <v>18.200001</v>
      </c>
      <c r="E133" s="24" t="n">
        <v>38.959999</v>
      </c>
      <c r="F133" s="24" t="n">
        <v>21.601482</v>
      </c>
      <c r="G133" s="24" t="n">
        <v>25.969999</v>
      </c>
      <c r="H133" s="24" t="n">
        <v>15.85</v>
      </c>
      <c r="I133" s="24" t="n">
        <v>38.133987</v>
      </c>
      <c r="J133" s="24" t="n">
        <v>40.740002</v>
      </c>
    </row>
    <row r="134" customFormat="false" ht="15" hidden="false" customHeight="false" outlineLevel="0" collapsed="false">
      <c r="A134" s="23" t="n">
        <v>43902</v>
      </c>
      <c r="B134" s="24" t="n">
        <v>45.139999</v>
      </c>
      <c r="C134" s="24" t="n">
        <v>12.296666</v>
      </c>
      <c r="D134" s="24" t="n">
        <v>15.8</v>
      </c>
      <c r="E134" s="24" t="n">
        <v>33</v>
      </c>
      <c r="F134" s="24" t="n">
        <v>17.700245</v>
      </c>
      <c r="G134" s="24" t="n">
        <v>22.440001</v>
      </c>
      <c r="H134" s="24" t="n">
        <v>12.6</v>
      </c>
      <c r="I134" s="24" t="n">
        <v>32.395378</v>
      </c>
      <c r="J134" s="24" t="n">
        <v>35.349998</v>
      </c>
    </row>
    <row r="135" customFormat="false" ht="15" hidden="false" customHeight="false" outlineLevel="0" collapsed="false">
      <c r="A135" s="23" t="n">
        <v>43903</v>
      </c>
      <c r="B135" s="24" t="n">
        <v>48.869999</v>
      </c>
      <c r="C135" s="24" t="n">
        <v>13.626666</v>
      </c>
      <c r="D135" s="24" t="n">
        <v>16.16</v>
      </c>
      <c r="E135" s="24" t="n">
        <v>36</v>
      </c>
      <c r="F135" s="24" t="n">
        <v>21.421886</v>
      </c>
      <c r="G135" s="24" t="n">
        <v>23.85</v>
      </c>
      <c r="H135" s="24" t="n">
        <v>15.4</v>
      </c>
      <c r="I135" s="24" t="n">
        <v>35.634914</v>
      </c>
      <c r="J135" s="24" t="n">
        <v>42.900002</v>
      </c>
    </row>
    <row r="136" customFormat="false" ht="15" hidden="false" customHeight="false" outlineLevel="0" collapsed="false">
      <c r="A136" s="23" t="n">
        <v>43906</v>
      </c>
      <c r="B136" s="24" t="n">
        <v>42</v>
      </c>
      <c r="C136" s="24" t="n">
        <v>11.43</v>
      </c>
      <c r="D136" s="24" t="n">
        <v>13.7</v>
      </c>
      <c r="E136" s="24" t="n">
        <v>27.5</v>
      </c>
      <c r="F136" s="24" t="n">
        <v>17.450806</v>
      </c>
      <c r="G136" s="24" t="n">
        <v>18.51</v>
      </c>
      <c r="H136" s="24" t="n">
        <v>13.09</v>
      </c>
      <c r="I136" s="24" t="n">
        <v>29.387236</v>
      </c>
      <c r="J136" s="24" t="n">
        <v>39.040001</v>
      </c>
    </row>
    <row r="137" customFormat="false" ht="15" hidden="false" customHeight="false" outlineLevel="0" collapsed="false">
      <c r="A137" s="23" t="n">
        <v>43907</v>
      </c>
      <c r="B137" s="24" t="n">
        <v>42</v>
      </c>
      <c r="C137" s="24" t="n">
        <v>11.846666</v>
      </c>
      <c r="D137" s="24" t="n">
        <v>14.28</v>
      </c>
      <c r="E137" s="24" t="n">
        <v>27.700001</v>
      </c>
      <c r="F137" s="24" t="n">
        <v>18.358767</v>
      </c>
      <c r="G137" s="24" t="n">
        <v>19.5</v>
      </c>
      <c r="H137" s="24" t="n">
        <v>13</v>
      </c>
      <c r="I137" s="24" t="n">
        <v>28.304304</v>
      </c>
      <c r="J137" s="24" t="n">
        <v>41.509998</v>
      </c>
    </row>
    <row r="138" customFormat="false" ht="15" hidden="false" customHeight="false" outlineLevel="0" collapsed="false">
      <c r="A138" s="23" t="n">
        <v>43908</v>
      </c>
      <c r="B138" s="24" t="n">
        <v>35</v>
      </c>
      <c r="C138" s="24" t="n">
        <v>10.933333</v>
      </c>
      <c r="D138" s="24" t="n">
        <v>12.81</v>
      </c>
      <c r="E138" s="24" t="n">
        <v>23.870001</v>
      </c>
      <c r="F138" s="24" t="n">
        <v>16.133762</v>
      </c>
      <c r="G138" s="24" t="n">
        <v>17.200001</v>
      </c>
      <c r="H138" s="24" t="n">
        <v>11.29</v>
      </c>
      <c r="I138" s="24" t="n">
        <v>24.527929</v>
      </c>
      <c r="J138" s="24" t="n">
        <v>38.650002</v>
      </c>
    </row>
    <row r="139" customFormat="false" ht="15" hidden="false" customHeight="false" outlineLevel="0" collapsed="false">
      <c r="A139" s="23" t="n">
        <v>43909</v>
      </c>
      <c r="B139" s="24" t="n">
        <v>37.5</v>
      </c>
      <c r="C139" s="24" t="n">
        <v>10.836666</v>
      </c>
      <c r="D139" s="24" t="n">
        <v>14.08</v>
      </c>
      <c r="E139" s="24" t="n">
        <v>26.08</v>
      </c>
      <c r="F139" s="24" t="n">
        <v>16.303383</v>
      </c>
      <c r="G139" s="24" t="n">
        <v>19.98</v>
      </c>
      <c r="H139" s="24" t="n">
        <v>12.21</v>
      </c>
      <c r="I139" s="24" t="n">
        <v>26.564211</v>
      </c>
      <c r="J139" s="24" t="n">
        <v>36.400002</v>
      </c>
    </row>
    <row r="140" customFormat="false" ht="15" hidden="false" customHeight="false" outlineLevel="0" collapsed="false">
      <c r="A140" s="23" t="n">
        <v>43910</v>
      </c>
      <c r="B140" s="24" t="n">
        <v>35.240002</v>
      </c>
      <c r="C140" s="24" t="n">
        <v>10.813333</v>
      </c>
      <c r="D140" s="24" t="n">
        <v>13.05</v>
      </c>
      <c r="E140" s="24" t="n">
        <v>27.549999</v>
      </c>
      <c r="F140" s="24" t="n">
        <v>17.570536</v>
      </c>
      <c r="G140" s="24" t="n">
        <v>19.030001</v>
      </c>
      <c r="H140" s="24" t="n">
        <v>12</v>
      </c>
      <c r="I140" s="24" t="n">
        <v>28.008118</v>
      </c>
      <c r="J140" s="24" t="n">
        <v>35.189999</v>
      </c>
    </row>
    <row r="141" customFormat="false" ht="15" hidden="false" customHeight="false" outlineLevel="0" collapsed="false">
      <c r="A141" s="23" t="n">
        <v>43913</v>
      </c>
      <c r="B141" s="24" t="n">
        <v>33.540001</v>
      </c>
      <c r="C141" s="24" t="n">
        <v>10.15</v>
      </c>
      <c r="D141" s="24" t="n">
        <v>13.51</v>
      </c>
      <c r="E141" s="24" t="n">
        <v>24.1</v>
      </c>
      <c r="F141" s="24" t="n">
        <v>17.450806</v>
      </c>
      <c r="G141" s="24" t="n">
        <v>17.51</v>
      </c>
      <c r="H141" s="24" t="n">
        <v>11.5</v>
      </c>
      <c r="I141" s="24" t="n">
        <v>26.952955</v>
      </c>
      <c r="J141" s="24" t="n">
        <v>34.099998</v>
      </c>
    </row>
    <row r="142" customFormat="false" ht="15" hidden="false" customHeight="false" outlineLevel="0" collapsed="false">
      <c r="A142" s="23" t="n">
        <v>43914</v>
      </c>
      <c r="B142" s="24" t="n">
        <v>35.200001</v>
      </c>
      <c r="C142" s="24" t="n">
        <v>12.103333</v>
      </c>
      <c r="D142" s="24" t="n">
        <v>13.47</v>
      </c>
      <c r="E142" s="24" t="n">
        <v>27.18</v>
      </c>
      <c r="F142" s="24" t="n">
        <v>19.246771</v>
      </c>
      <c r="G142" s="24" t="n">
        <v>20.540001</v>
      </c>
      <c r="H142" s="24" t="n">
        <v>13.25</v>
      </c>
      <c r="I142" s="24" t="n">
        <v>30.183237</v>
      </c>
      <c r="J142" s="24" t="n">
        <v>37.639999</v>
      </c>
    </row>
    <row r="143" customFormat="false" ht="15" hidden="false" customHeight="false" outlineLevel="0" collapsed="false">
      <c r="A143" s="23" t="n">
        <v>43915</v>
      </c>
      <c r="B143" s="24" t="n">
        <v>41.049999</v>
      </c>
      <c r="C143" s="24" t="n">
        <v>12.93</v>
      </c>
      <c r="D143" s="24" t="n">
        <v>13.88</v>
      </c>
      <c r="E143" s="24" t="n">
        <v>34.470001</v>
      </c>
      <c r="F143" s="24" t="n">
        <v>19.985113</v>
      </c>
      <c r="G143" s="24" t="n">
        <v>23.09</v>
      </c>
      <c r="H143" s="24" t="n">
        <v>14.32</v>
      </c>
      <c r="I143" s="24" t="n">
        <v>33.283936</v>
      </c>
      <c r="J143" s="24" t="n">
        <v>40.849998</v>
      </c>
    </row>
    <row r="144" customFormat="false" ht="15" hidden="false" customHeight="false" outlineLevel="0" collapsed="false">
      <c r="A144" s="23" t="n">
        <v>43916</v>
      </c>
      <c r="B144" s="24" t="n">
        <v>42.150002</v>
      </c>
      <c r="C144" s="24" t="n">
        <v>12.88</v>
      </c>
      <c r="D144" s="24" t="n">
        <v>14.13</v>
      </c>
      <c r="E144" s="24" t="n">
        <v>34.689999</v>
      </c>
      <c r="F144" s="24" t="n">
        <v>20.803274</v>
      </c>
      <c r="G144" s="24" t="n">
        <v>23.809999</v>
      </c>
      <c r="H144" s="24" t="n">
        <v>14.39</v>
      </c>
      <c r="I144" s="24" t="n">
        <v>35.62566</v>
      </c>
      <c r="J144" s="24" t="n">
        <v>42</v>
      </c>
    </row>
    <row r="145" customFormat="false" ht="15" hidden="false" customHeight="false" outlineLevel="0" collapsed="false">
      <c r="A145" s="23" t="n">
        <v>43917</v>
      </c>
      <c r="B145" s="24" t="n">
        <v>39.630001</v>
      </c>
      <c r="C145" s="24" t="n">
        <v>12.303333</v>
      </c>
      <c r="D145" s="24" t="n">
        <v>14.98</v>
      </c>
      <c r="E145" s="24" t="n">
        <v>31.32</v>
      </c>
      <c r="F145" s="24" t="n">
        <v>18.95742</v>
      </c>
      <c r="G145" s="24" t="n">
        <v>21.309999</v>
      </c>
      <c r="H145" s="24" t="n">
        <v>13.3</v>
      </c>
      <c r="I145" s="24" t="n">
        <v>33.320961</v>
      </c>
      <c r="J145" s="24" t="n">
        <v>40.099998</v>
      </c>
    </row>
    <row r="146" customFormat="false" ht="15" hidden="false" customHeight="false" outlineLevel="0" collapsed="false">
      <c r="A146" s="23" t="n">
        <v>43920</v>
      </c>
      <c r="B146" s="24" t="n">
        <v>37.450001</v>
      </c>
      <c r="C146" s="24" t="n">
        <v>12.333333</v>
      </c>
      <c r="D146" s="24" t="n">
        <v>15.73</v>
      </c>
      <c r="E146" s="24" t="n">
        <v>28.700001</v>
      </c>
      <c r="F146" s="24" t="n">
        <v>18.997332</v>
      </c>
      <c r="G146" s="24" t="n">
        <v>20.950001</v>
      </c>
      <c r="H146" s="24" t="n">
        <v>13.38</v>
      </c>
      <c r="I146" s="24" t="n">
        <v>33.089565</v>
      </c>
      <c r="J146" s="24" t="n">
        <v>41.77</v>
      </c>
    </row>
    <row r="147" customFormat="false" ht="15" hidden="false" customHeight="false" outlineLevel="0" collapsed="false">
      <c r="A147" s="23" t="n">
        <v>43921</v>
      </c>
      <c r="B147" s="24" t="n">
        <v>36.869999</v>
      </c>
      <c r="C147" s="24" t="n">
        <v>11.966666</v>
      </c>
      <c r="D147" s="24" t="n">
        <v>16.219999</v>
      </c>
      <c r="E147" s="24" t="n">
        <v>26.299999</v>
      </c>
      <c r="F147" s="24" t="n">
        <v>17.959661</v>
      </c>
      <c r="G147" s="24" t="n">
        <v>19.08</v>
      </c>
      <c r="H147" s="24" t="n">
        <v>13.99</v>
      </c>
      <c r="I147" s="24" t="n">
        <v>31.284679</v>
      </c>
      <c r="J147" s="24" t="n">
        <v>43.220001</v>
      </c>
    </row>
    <row r="148" customFormat="false" ht="15" hidden="false" customHeight="false" outlineLevel="0" collapsed="false">
      <c r="A148" s="23" t="n">
        <v>43922</v>
      </c>
      <c r="B148" s="24" t="n">
        <v>36.099998</v>
      </c>
      <c r="C148" s="24" t="n">
        <v>11.55</v>
      </c>
      <c r="D148" s="24" t="n">
        <v>15.75</v>
      </c>
      <c r="E148" s="24" t="n">
        <v>23.700001</v>
      </c>
      <c r="F148" s="24" t="n">
        <v>17.909775</v>
      </c>
      <c r="G148" s="24" t="n">
        <v>18.530001</v>
      </c>
      <c r="H148" s="24" t="n">
        <v>14.3</v>
      </c>
      <c r="I148" s="24" t="n">
        <v>31.784494</v>
      </c>
      <c r="J148" s="24" t="n">
        <v>43.369999</v>
      </c>
    </row>
    <row r="149" customFormat="false" ht="15" hidden="false" customHeight="false" outlineLevel="0" collapsed="false">
      <c r="A149" s="23" t="n">
        <v>43923</v>
      </c>
      <c r="B149" s="24" t="n">
        <v>36.09</v>
      </c>
      <c r="C149" s="24" t="n">
        <v>12.266666</v>
      </c>
      <c r="D149" s="24" t="n">
        <v>16.85</v>
      </c>
      <c r="E149" s="24" t="n">
        <v>26.139999</v>
      </c>
      <c r="F149" s="24" t="n">
        <v>18.50843</v>
      </c>
      <c r="G149" s="24" t="n">
        <v>18.620001</v>
      </c>
      <c r="H149" s="24" t="n">
        <v>15.51</v>
      </c>
      <c r="I149" s="24" t="n">
        <v>32.904449</v>
      </c>
      <c r="J149" s="24" t="n">
        <v>42.779999</v>
      </c>
    </row>
    <row r="150" customFormat="false" ht="15" hidden="false" customHeight="false" outlineLevel="0" collapsed="false">
      <c r="A150" s="23" t="n">
        <v>43924</v>
      </c>
      <c r="B150" s="24" t="n">
        <v>33.029999</v>
      </c>
      <c r="C150" s="24" t="n">
        <v>11.95</v>
      </c>
      <c r="D150" s="24" t="n">
        <v>16.610001</v>
      </c>
      <c r="E150" s="24" t="n">
        <v>23.309999</v>
      </c>
      <c r="F150" s="24" t="n">
        <v>17.400917</v>
      </c>
      <c r="G150" s="24" t="n">
        <v>18.139999</v>
      </c>
      <c r="H150" s="24" t="n">
        <v>15.34</v>
      </c>
      <c r="I150" s="24" t="n">
        <v>31.756725</v>
      </c>
      <c r="J150" s="24" t="n">
        <v>40.5</v>
      </c>
    </row>
    <row r="151" customFormat="false" ht="15" hidden="false" customHeight="false" outlineLevel="0" collapsed="false">
      <c r="A151" s="23" t="n">
        <v>43927</v>
      </c>
      <c r="B151" s="24" t="n">
        <v>37.5</v>
      </c>
      <c r="C151" s="24" t="n">
        <v>12.403333</v>
      </c>
      <c r="D151" s="24" t="n">
        <v>16.49</v>
      </c>
      <c r="E151" s="24" t="n">
        <v>28</v>
      </c>
      <c r="F151" s="24" t="n">
        <v>19.456301</v>
      </c>
      <c r="G151" s="24" t="n">
        <v>19.68</v>
      </c>
      <c r="H151" s="24" t="n">
        <v>15.77</v>
      </c>
      <c r="I151" s="24" t="n">
        <v>35.616405</v>
      </c>
      <c r="J151" s="24" t="n">
        <v>43.130001</v>
      </c>
    </row>
    <row r="152" customFormat="false" ht="15" hidden="false" customHeight="false" outlineLevel="0" collapsed="false">
      <c r="A152" s="23" t="n">
        <v>43928</v>
      </c>
      <c r="B152" s="24" t="n">
        <v>38.889999</v>
      </c>
      <c r="C152" s="24" t="n">
        <v>12.833333</v>
      </c>
      <c r="D152" s="24" t="n">
        <v>16.1</v>
      </c>
      <c r="E152" s="24" t="n">
        <v>29.219999</v>
      </c>
      <c r="F152" s="24" t="n">
        <v>20.414148</v>
      </c>
      <c r="G152" s="24" t="n">
        <v>20.120001</v>
      </c>
      <c r="H152" s="24" t="n">
        <v>16.4</v>
      </c>
      <c r="I152" s="24" t="n">
        <v>36.764126</v>
      </c>
      <c r="J152" s="24" t="n">
        <v>43.779999</v>
      </c>
    </row>
    <row r="153" customFormat="false" ht="15" hidden="false" customHeight="false" outlineLevel="0" collapsed="false">
      <c r="A153" s="23" t="n">
        <v>43929</v>
      </c>
      <c r="B153" s="24" t="n">
        <v>39.57</v>
      </c>
      <c r="C153" s="24" t="n">
        <v>13.103333</v>
      </c>
      <c r="D153" s="24" t="n">
        <v>16.24</v>
      </c>
      <c r="E153" s="24" t="n">
        <v>31.9</v>
      </c>
      <c r="F153" s="24" t="n">
        <v>21.840944</v>
      </c>
      <c r="G153" s="24" t="n">
        <v>20.17</v>
      </c>
      <c r="H153" s="24" t="n">
        <v>17.32</v>
      </c>
      <c r="I153" s="24" t="n">
        <v>37.717476</v>
      </c>
      <c r="J153" s="24" t="n">
        <v>43.509998</v>
      </c>
    </row>
    <row r="154" customFormat="false" ht="15" hidden="false" customHeight="false" outlineLevel="0" collapsed="false">
      <c r="A154" s="23" t="n">
        <v>43930</v>
      </c>
      <c r="B154" s="24" t="n">
        <v>37.599998</v>
      </c>
      <c r="C154" s="24" t="n">
        <v>13.003333</v>
      </c>
      <c r="D154" s="24" t="n">
        <v>16</v>
      </c>
      <c r="E154" s="24" t="n">
        <v>30.15</v>
      </c>
      <c r="F154" s="24" t="n">
        <v>21.252268</v>
      </c>
      <c r="G154" s="24" t="n">
        <v>19.559999</v>
      </c>
      <c r="H154" s="24" t="n">
        <v>16.82</v>
      </c>
      <c r="I154" s="24" t="n">
        <v>36.375381</v>
      </c>
      <c r="J154" s="24" t="n">
        <v>43.279999</v>
      </c>
    </row>
    <row r="155" customFormat="false" ht="15" hidden="false" customHeight="false" outlineLevel="0" collapsed="false">
      <c r="A155" s="23" t="n">
        <v>43934</v>
      </c>
      <c r="B155" s="24" t="n">
        <v>36.549999</v>
      </c>
      <c r="C155" s="24" t="n">
        <v>13.113333</v>
      </c>
      <c r="D155" s="24" t="n">
        <v>16.200001</v>
      </c>
      <c r="E155" s="24" t="n">
        <v>29.75</v>
      </c>
      <c r="F155" s="24" t="n">
        <v>20.643635</v>
      </c>
      <c r="G155" s="24" t="n">
        <v>19.700001</v>
      </c>
      <c r="H155" s="24" t="n">
        <v>16.93</v>
      </c>
      <c r="I155" s="24" t="n">
        <v>37.717476</v>
      </c>
      <c r="J155" s="24" t="n">
        <v>44.57</v>
      </c>
    </row>
    <row r="156" customFormat="false" ht="15" hidden="false" customHeight="false" outlineLevel="0" collapsed="false">
      <c r="A156" s="23" t="n">
        <v>43935</v>
      </c>
      <c r="B156" s="24" t="n">
        <v>37.400002</v>
      </c>
      <c r="C156" s="24" t="n">
        <v>13.186666</v>
      </c>
      <c r="D156" s="24" t="n">
        <v>16.49</v>
      </c>
      <c r="E156" s="24" t="n">
        <v>30.49</v>
      </c>
      <c r="F156" s="24" t="n">
        <v>20.972895</v>
      </c>
      <c r="G156" s="24" t="n">
        <v>19.6</v>
      </c>
      <c r="H156" s="24" t="n">
        <v>16.73</v>
      </c>
      <c r="I156" s="24" t="n">
        <v>40.984779</v>
      </c>
      <c r="J156" s="24" t="n">
        <v>44.529999</v>
      </c>
    </row>
    <row r="157" customFormat="false" ht="15" hidden="false" customHeight="false" outlineLevel="0" collapsed="false">
      <c r="A157" s="23" t="n">
        <v>43936</v>
      </c>
      <c r="B157" s="24" t="n">
        <v>38.380001</v>
      </c>
      <c r="C157" s="24" t="n">
        <v>13.306666</v>
      </c>
      <c r="D157" s="24" t="n">
        <v>16.120001</v>
      </c>
      <c r="E157" s="24" t="n">
        <v>30.120001</v>
      </c>
      <c r="F157" s="24" t="n">
        <v>21.48175</v>
      </c>
      <c r="G157" s="24" t="n">
        <v>19.040001</v>
      </c>
      <c r="H157" s="24" t="n">
        <v>16.379999</v>
      </c>
      <c r="I157" s="24" t="n">
        <v>40.457199</v>
      </c>
      <c r="J157" s="24" t="n">
        <v>43.189999</v>
      </c>
    </row>
    <row r="158" customFormat="false" ht="15" hidden="false" customHeight="false" outlineLevel="0" collapsed="false">
      <c r="A158" s="23" t="n">
        <v>43937</v>
      </c>
      <c r="B158" s="24" t="n">
        <v>40.099998</v>
      </c>
      <c r="C158" s="24" t="n">
        <v>13.103333</v>
      </c>
      <c r="D158" s="24" t="n">
        <v>15.94</v>
      </c>
      <c r="E158" s="24" t="n">
        <v>29.559999</v>
      </c>
      <c r="F158" s="24" t="n">
        <v>22.319868</v>
      </c>
      <c r="G158" s="24" t="n">
        <v>18.799999</v>
      </c>
      <c r="H158" s="24" t="n">
        <v>15.72</v>
      </c>
      <c r="I158" s="24" t="n">
        <v>39.198406</v>
      </c>
      <c r="J158" s="24" t="n">
        <v>42.759998</v>
      </c>
    </row>
    <row r="159" customFormat="false" ht="15" hidden="false" customHeight="false" outlineLevel="0" collapsed="false">
      <c r="A159" s="23" t="n">
        <v>43938</v>
      </c>
      <c r="B159" s="24" t="n">
        <v>42.299999</v>
      </c>
      <c r="C159" s="24" t="n">
        <v>13.176666</v>
      </c>
      <c r="D159" s="24" t="n">
        <v>15.85</v>
      </c>
      <c r="E159" s="24" t="n">
        <v>32.029999</v>
      </c>
      <c r="F159" s="24" t="n">
        <v>21.701258</v>
      </c>
      <c r="G159" s="24" t="n">
        <v>20.950001</v>
      </c>
      <c r="H159" s="24" t="n">
        <v>16.129999</v>
      </c>
      <c r="I159" s="24" t="n">
        <v>40.290596</v>
      </c>
      <c r="J159" s="24" t="n">
        <v>44</v>
      </c>
    </row>
    <row r="160" customFormat="false" ht="15" hidden="false" customHeight="false" outlineLevel="0" collapsed="false">
      <c r="A160" s="23" t="n">
        <v>43941</v>
      </c>
      <c r="B160" s="24" t="n">
        <v>44.93</v>
      </c>
      <c r="C160" s="24" t="n">
        <v>13.53</v>
      </c>
      <c r="D160" s="24" t="n">
        <v>15.95</v>
      </c>
      <c r="E160" s="24" t="n">
        <v>34</v>
      </c>
      <c r="F160" s="24" t="n">
        <v>22.778837</v>
      </c>
      <c r="G160" s="24" t="n">
        <v>21.6</v>
      </c>
      <c r="H160" s="24" t="n">
        <v>15.95</v>
      </c>
      <c r="I160" s="24" t="n">
        <v>42.391666</v>
      </c>
      <c r="J160" s="24" t="n">
        <v>42.459999</v>
      </c>
    </row>
    <row r="161" customFormat="false" ht="15" hidden="false" customHeight="false" outlineLevel="0" collapsed="false">
      <c r="A161" s="23" t="n">
        <v>43943</v>
      </c>
      <c r="B161" s="24" t="n">
        <v>47.790001</v>
      </c>
      <c r="C161" s="24" t="n">
        <v>14.003333</v>
      </c>
      <c r="D161" s="24" t="n">
        <v>16.530001</v>
      </c>
      <c r="E161" s="24" t="n">
        <v>36.5</v>
      </c>
      <c r="F161" s="24" t="n">
        <v>25.113594</v>
      </c>
      <c r="G161" s="24" t="n">
        <v>23.200001</v>
      </c>
      <c r="H161" s="24" t="n">
        <v>16.75</v>
      </c>
      <c r="I161" s="24" t="n">
        <v>44.057716</v>
      </c>
      <c r="J161" s="24" t="n">
        <v>42.900002</v>
      </c>
    </row>
    <row r="162" customFormat="false" ht="15" hidden="false" customHeight="false" outlineLevel="0" collapsed="false">
      <c r="A162" s="23" t="n">
        <v>43944</v>
      </c>
      <c r="B162" s="24" t="n">
        <v>44.470001</v>
      </c>
      <c r="C162" s="24" t="n">
        <v>13.75</v>
      </c>
      <c r="D162" s="24" t="n">
        <v>16.959999</v>
      </c>
      <c r="E162" s="24" t="n">
        <v>34.98</v>
      </c>
      <c r="F162" s="24" t="n">
        <v>24.405186</v>
      </c>
      <c r="G162" s="24" t="n">
        <v>22.98</v>
      </c>
      <c r="H162" s="24" t="n">
        <v>16.950001</v>
      </c>
      <c r="I162" s="24" t="n">
        <v>41.817806</v>
      </c>
      <c r="J162" s="24" t="n">
        <v>43.509998</v>
      </c>
    </row>
    <row r="163" customFormat="false" ht="15" hidden="false" customHeight="false" outlineLevel="0" collapsed="false">
      <c r="A163" s="23" t="n">
        <v>43945</v>
      </c>
      <c r="B163" s="24" t="n">
        <v>42.990002</v>
      </c>
      <c r="C163" s="24" t="n">
        <v>12.333333</v>
      </c>
      <c r="D163" s="24" t="n">
        <v>17</v>
      </c>
      <c r="E163" s="24" t="n">
        <v>32.98</v>
      </c>
      <c r="F163" s="24" t="n">
        <v>22.449577</v>
      </c>
      <c r="G163" s="24" t="n">
        <v>20.58</v>
      </c>
      <c r="H163" s="24" t="n">
        <v>15.95</v>
      </c>
      <c r="I163" s="24" t="n">
        <v>40.753387</v>
      </c>
      <c r="J163" s="24" t="n">
        <v>43.759998</v>
      </c>
    </row>
    <row r="164" customFormat="false" ht="15" hidden="false" customHeight="false" outlineLevel="0" collapsed="false">
      <c r="A164" s="23" t="n">
        <v>43948</v>
      </c>
      <c r="B164" s="24" t="n">
        <v>42.599998</v>
      </c>
      <c r="C164" s="24" t="n">
        <v>13.076666</v>
      </c>
      <c r="D164" s="24" t="n">
        <v>18.01</v>
      </c>
      <c r="E164" s="24" t="n">
        <v>33.5</v>
      </c>
      <c r="F164" s="24" t="n">
        <v>23.946217</v>
      </c>
      <c r="G164" s="24" t="n">
        <v>21.059999</v>
      </c>
      <c r="H164" s="24" t="n">
        <v>16.450001</v>
      </c>
      <c r="I164" s="24" t="n">
        <v>41.604923</v>
      </c>
      <c r="J164" s="24" t="n">
        <v>44.549999</v>
      </c>
    </row>
    <row r="165" customFormat="false" ht="15" hidden="false" customHeight="false" outlineLevel="0" collapsed="false">
      <c r="A165" s="23" t="n">
        <v>43949</v>
      </c>
      <c r="B165" s="24" t="n">
        <v>45.59</v>
      </c>
      <c r="C165" s="24" t="n">
        <v>13.266666</v>
      </c>
      <c r="D165" s="24" t="n">
        <v>17.940001</v>
      </c>
      <c r="E165" s="24" t="n">
        <v>35.200001</v>
      </c>
      <c r="F165" s="24" t="n">
        <v>25.133551</v>
      </c>
      <c r="G165" s="24" t="n">
        <v>21.76</v>
      </c>
      <c r="H165" s="24" t="n">
        <v>17.25</v>
      </c>
      <c r="I165" s="24" t="n">
        <v>43.382038</v>
      </c>
      <c r="J165" s="24" t="n">
        <v>44.610001</v>
      </c>
    </row>
    <row r="166" customFormat="false" ht="15" hidden="false" customHeight="false" outlineLevel="0" collapsed="false">
      <c r="A166" s="23" t="n">
        <v>43950</v>
      </c>
      <c r="B166" s="24" t="n">
        <v>46.080002</v>
      </c>
      <c r="C166" s="24" t="n">
        <v>13.3</v>
      </c>
      <c r="D166" s="24" t="n">
        <v>17.48</v>
      </c>
      <c r="E166" s="24" t="n">
        <v>36.150002</v>
      </c>
      <c r="F166" s="24" t="n">
        <v>25.71225</v>
      </c>
      <c r="G166" s="24" t="n">
        <v>22.370001</v>
      </c>
      <c r="H166" s="24" t="n">
        <v>18.200001</v>
      </c>
      <c r="I166" s="24" t="n">
        <v>44.094738</v>
      </c>
      <c r="J166" s="24" t="n">
        <v>46.73</v>
      </c>
    </row>
    <row r="167" customFormat="false" ht="15" hidden="false" customHeight="false" outlineLevel="0" collapsed="false">
      <c r="A167" s="23" t="n">
        <v>43951</v>
      </c>
      <c r="B167" s="24" t="n">
        <v>42.5</v>
      </c>
      <c r="C167" s="24" t="n">
        <v>12.806666</v>
      </c>
      <c r="D167" s="24" t="n">
        <v>17.809999</v>
      </c>
      <c r="E167" s="24" t="n">
        <v>34.189999</v>
      </c>
      <c r="F167" s="24" t="n">
        <v>24.824244</v>
      </c>
      <c r="G167" s="24" t="n">
        <v>20.889999</v>
      </c>
      <c r="H167" s="24" t="n">
        <v>18.049999</v>
      </c>
      <c r="I167" s="24" t="n">
        <v>41.512363</v>
      </c>
      <c r="J167" s="24" t="n">
        <v>44.860001</v>
      </c>
    </row>
    <row r="168" customFormat="false" ht="15" hidden="false" customHeight="false" outlineLevel="0" collapsed="false">
      <c r="A168" s="23" t="n">
        <v>43955</v>
      </c>
      <c r="B168" s="24" t="n">
        <v>40.900002</v>
      </c>
      <c r="C168" s="24" t="n">
        <v>12.793333</v>
      </c>
      <c r="D168" s="24" t="n">
        <v>17.780001</v>
      </c>
      <c r="E168" s="24" t="n">
        <v>33.41</v>
      </c>
      <c r="F168" s="24" t="n">
        <v>25.203394</v>
      </c>
      <c r="G168" s="24" t="n">
        <v>19.98</v>
      </c>
      <c r="H168" s="24" t="n">
        <v>17.379999</v>
      </c>
      <c r="I168" s="24" t="n">
        <v>39.707478</v>
      </c>
      <c r="J168" s="24" t="n">
        <v>43.93</v>
      </c>
    </row>
    <row r="169" customFormat="false" ht="15" hidden="false" customHeight="false" outlineLevel="0" collapsed="false">
      <c r="A169" s="23" t="n">
        <v>43956</v>
      </c>
      <c r="B169" s="24" t="n">
        <v>41.599998</v>
      </c>
      <c r="C169" s="24" t="n">
        <v>12.913333</v>
      </c>
      <c r="D169" s="24" t="n">
        <v>18.700001</v>
      </c>
      <c r="E169" s="24" t="n">
        <v>33.630001</v>
      </c>
      <c r="F169" s="24" t="n">
        <v>25.482765</v>
      </c>
      <c r="G169" s="24" t="n">
        <v>19.690001</v>
      </c>
      <c r="H169" s="24" t="n">
        <v>17.940001</v>
      </c>
      <c r="I169" s="24" t="n">
        <v>40.707108</v>
      </c>
      <c r="J169" s="24" t="n">
        <v>43.700001</v>
      </c>
    </row>
    <row r="170" customFormat="false" ht="15" hidden="false" customHeight="false" outlineLevel="0" collapsed="false">
      <c r="A170" s="23" t="n">
        <v>43957</v>
      </c>
      <c r="B170" s="24" t="n">
        <v>42.830002</v>
      </c>
      <c r="C170" s="24" t="n">
        <v>12.813333</v>
      </c>
      <c r="D170" s="24" t="n">
        <v>18.58</v>
      </c>
      <c r="E170" s="24" t="n">
        <v>32.5</v>
      </c>
      <c r="F170" s="24" t="n">
        <v>27.358553</v>
      </c>
      <c r="G170" s="24" t="n">
        <v>19.299999</v>
      </c>
      <c r="H170" s="24" t="n">
        <v>17.280001</v>
      </c>
      <c r="I170" s="24" t="n">
        <v>41.317989</v>
      </c>
      <c r="J170" s="24" t="n">
        <v>44.330002</v>
      </c>
    </row>
    <row r="171" customFormat="false" ht="15" hidden="false" customHeight="false" outlineLevel="0" collapsed="false">
      <c r="A171" s="23" t="n">
        <v>43958</v>
      </c>
      <c r="B171" s="24" t="n">
        <v>41.66</v>
      </c>
      <c r="C171" s="24" t="n">
        <v>12.283333</v>
      </c>
      <c r="D171" s="24" t="n">
        <v>20.459999</v>
      </c>
      <c r="E171" s="24" t="n">
        <v>29.77</v>
      </c>
      <c r="F171" s="24" t="n">
        <v>26.739943</v>
      </c>
      <c r="G171" s="24" t="n">
        <v>18.440001</v>
      </c>
      <c r="H171" s="24" t="n">
        <v>17.440001</v>
      </c>
      <c r="I171" s="24" t="n">
        <v>40.697849</v>
      </c>
      <c r="J171" s="24" t="n">
        <v>46.049999</v>
      </c>
    </row>
    <row r="172" customFormat="false" ht="15" hidden="false" customHeight="false" outlineLevel="0" collapsed="false">
      <c r="A172" s="23" t="n">
        <v>43959</v>
      </c>
      <c r="B172" s="24" t="n">
        <v>41.700001</v>
      </c>
      <c r="C172" s="24" t="n">
        <v>12.586666</v>
      </c>
      <c r="D172" s="24" t="n">
        <v>21.49</v>
      </c>
      <c r="E172" s="24" t="n">
        <v>29.65</v>
      </c>
      <c r="F172" s="24" t="n">
        <v>26.839718</v>
      </c>
      <c r="G172" s="24" t="n">
        <v>18.84</v>
      </c>
      <c r="H172" s="24" t="n">
        <v>18.48</v>
      </c>
      <c r="I172" s="24" t="n">
        <v>40.179523</v>
      </c>
      <c r="J172" s="24" t="n">
        <v>48.849998</v>
      </c>
    </row>
    <row r="173" customFormat="false" ht="15" hidden="false" customHeight="false" outlineLevel="0" collapsed="false">
      <c r="A173" s="23" t="n">
        <v>43962</v>
      </c>
      <c r="B173" s="24" t="n">
        <v>42.299999</v>
      </c>
      <c r="C173" s="24" t="n">
        <v>12.266666</v>
      </c>
      <c r="D173" s="24" t="n">
        <v>21.66</v>
      </c>
      <c r="E173" s="24" t="n">
        <v>28.1</v>
      </c>
      <c r="F173" s="24" t="n">
        <v>26.211128</v>
      </c>
      <c r="G173" s="24" t="n">
        <v>18.379999</v>
      </c>
      <c r="H173" s="24" t="n">
        <v>18.15</v>
      </c>
      <c r="I173" s="24" t="n">
        <v>38.735619</v>
      </c>
      <c r="J173" s="24" t="n">
        <v>47.73</v>
      </c>
    </row>
    <row r="174" customFormat="false" ht="15" hidden="false" customHeight="false" outlineLevel="0" collapsed="false">
      <c r="A174" s="23" t="n">
        <v>43963</v>
      </c>
      <c r="B174" s="24" t="n">
        <v>40.450001</v>
      </c>
      <c r="C174" s="24" t="n">
        <v>11.91</v>
      </c>
      <c r="D174" s="24" t="n">
        <v>21.6</v>
      </c>
      <c r="E174" s="24" t="n">
        <v>27.51</v>
      </c>
      <c r="F174" s="24" t="n">
        <v>26.161242</v>
      </c>
      <c r="G174" s="24" t="n">
        <v>17.99</v>
      </c>
      <c r="H174" s="24" t="n">
        <v>18.139999</v>
      </c>
      <c r="I174" s="24" t="n">
        <v>37.652683</v>
      </c>
      <c r="J174" s="24" t="n">
        <v>47.459999</v>
      </c>
    </row>
    <row r="175" customFormat="false" ht="15" hidden="false" customHeight="false" outlineLevel="0" collapsed="false">
      <c r="A175" s="23" t="n">
        <v>43964</v>
      </c>
      <c r="B175" s="24" t="n">
        <v>39.389999</v>
      </c>
      <c r="C175" s="24" t="n">
        <v>12.053333</v>
      </c>
      <c r="D175" s="24" t="n">
        <v>23.309999</v>
      </c>
      <c r="E175" s="24" t="n">
        <v>27.309999</v>
      </c>
      <c r="F175" s="24" t="n">
        <v>27.149023</v>
      </c>
      <c r="G175" s="24" t="n">
        <v>18.200001</v>
      </c>
      <c r="H175" s="24" t="n">
        <v>17.59</v>
      </c>
      <c r="I175" s="24" t="n">
        <v>37.652683</v>
      </c>
      <c r="J175" s="24" t="n">
        <v>48.540001</v>
      </c>
    </row>
    <row r="176" customFormat="false" ht="15" hidden="false" customHeight="false" outlineLevel="0" collapsed="false">
      <c r="A176" s="23" t="n">
        <v>43965</v>
      </c>
      <c r="B176" s="24" t="n">
        <v>38.330002</v>
      </c>
      <c r="C176" s="24" t="n">
        <v>12.606666</v>
      </c>
      <c r="D176" s="24" t="n">
        <v>22.34</v>
      </c>
      <c r="E176" s="24" t="n">
        <v>29.290001</v>
      </c>
      <c r="F176" s="24" t="n">
        <v>27.109112</v>
      </c>
      <c r="G176" s="24" t="n">
        <v>18.67</v>
      </c>
      <c r="H176" s="24" t="n">
        <v>17.4</v>
      </c>
      <c r="I176" s="24" t="n">
        <v>35.0518</v>
      </c>
      <c r="J176" s="24" t="n">
        <v>48.09</v>
      </c>
    </row>
    <row r="177" customFormat="false" ht="15" hidden="false" customHeight="false" outlineLevel="0" collapsed="false">
      <c r="A177" s="23" t="n">
        <v>43966</v>
      </c>
      <c r="B177" s="24" t="n">
        <v>38.75</v>
      </c>
      <c r="C177" s="24" t="n">
        <v>13.18</v>
      </c>
      <c r="D177" s="24" t="n">
        <v>21.73</v>
      </c>
      <c r="E177" s="24" t="n">
        <v>30.200001</v>
      </c>
      <c r="F177" s="24" t="n">
        <v>26.45059</v>
      </c>
      <c r="G177" s="24" t="n">
        <v>18.1</v>
      </c>
      <c r="H177" s="24" t="n">
        <v>17.15</v>
      </c>
      <c r="I177" s="24" t="n">
        <v>34.200264</v>
      </c>
      <c r="J177" s="24" t="n">
        <v>48.049999</v>
      </c>
    </row>
    <row r="178" customFormat="false" ht="15" hidden="false" customHeight="false" outlineLevel="0" collapsed="false">
      <c r="A178" s="23" t="n">
        <v>43969</v>
      </c>
      <c r="B178" s="24" t="n">
        <v>39.650002</v>
      </c>
      <c r="C178" s="24" t="n">
        <v>13.996666</v>
      </c>
      <c r="D178" s="24" t="n">
        <v>20</v>
      </c>
      <c r="E178" s="24" t="n">
        <v>33.509998</v>
      </c>
      <c r="F178" s="24" t="n">
        <v>26.829741</v>
      </c>
      <c r="G178" s="24" t="n">
        <v>19.389999</v>
      </c>
      <c r="H178" s="24" t="n">
        <v>18.540001</v>
      </c>
      <c r="I178" s="24" t="n">
        <v>36.097706</v>
      </c>
      <c r="J178" s="24" t="n">
        <v>51.259998</v>
      </c>
    </row>
    <row r="179" customFormat="false" ht="15" hidden="false" customHeight="false" outlineLevel="0" collapsed="false">
      <c r="A179" s="23" t="n">
        <v>43970</v>
      </c>
      <c r="B179" s="24" t="n">
        <v>41.689999</v>
      </c>
      <c r="C179" s="24" t="n">
        <v>13.573333</v>
      </c>
      <c r="D179" s="24" t="n">
        <v>20.040001</v>
      </c>
      <c r="E179" s="24" t="n">
        <v>35.07</v>
      </c>
      <c r="F179" s="24" t="n">
        <v>27.747679</v>
      </c>
      <c r="G179" s="24" t="n">
        <v>19.67</v>
      </c>
      <c r="H179" s="24" t="n">
        <v>18.68</v>
      </c>
      <c r="I179" s="24" t="n">
        <v>37.00478</v>
      </c>
      <c r="J179" s="24" t="n">
        <v>52.299999</v>
      </c>
    </row>
    <row r="180" customFormat="false" ht="15" hidden="false" customHeight="false" outlineLevel="0" collapsed="false">
      <c r="A180" s="23" t="n">
        <v>43971</v>
      </c>
      <c r="B180" s="24" t="n">
        <v>40.5</v>
      </c>
      <c r="C180" s="24" t="n">
        <v>13.546666</v>
      </c>
      <c r="D180" s="24" t="n">
        <v>19.85</v>
      </c>
      <c r="E180" s="24" t="n">
        <v>35.299999</v>
      </c>
      <c r="F180" s="24" t="n">
        <v>26.779852</v>
      </c>
      <c r="G180" s="24" t="n">
        <v>20.620001</v>
      </c>
      <c r="H180" s="24" t="n">
        <v>19.299999</v>
      </c>
      <c r="I180" s="24" t="n">
        <v>37.634174</v>
      </c>
      <c r="J180" s="24" t="n">
        <v>52.5</v>
      </c>
    </row>
    <row r="181" customFormat="false" ht="15" hidden="false" customHeight="false" outlineLevel="0" collapsed="false">
      <c r="A181" s="23" t="n">
        <v>43972</v>
      </c>
      <c r="B181" s="24" t="n">
        <v>43.619999</v>
      </c>
      <c r="C181" s="24" t="n">
        <v>14.54</v>
      </c>
      <c r="D181" s="24" t="n">
        <v>19.07</v>
      </c>
      <c r="E181" s="24" t="n">
        <v>36.290001</v>
      </c>
      <c r="F181" s="24" t="n">
        <v>26.789829</v>
      </c>
      <c r="G181" s="24" t="n">
        <v>21.700001</v>
      </c>
      <c r="H181" s="24" t="n">
        <v>19.190001</v>
      </c>
      <c r="I181" s="24" t="n">
        <v>39.494595</v>
      </c>
      <c r="J181" s="24" t="n">
        <v>51.130001</v>
      </c>
    </row>
    <row r="182" customFormat="false" ht="15" hidden="false" customHeight="false" outlineLevel="0" collapsed="false">
      <c r="A182" s="23" t="n">
        <v>43973</v>
      </c>
      <c r="B182" s="24" t="n">
        <v>41.709999</v>
      </c>
      <c r="C182" s="24" t="n">
        <v>14.626666</v>
      </c>
      <c r="D182" s="24" t="n">
        <v>19.200001</v>
      </c>
      <c r="E182" s="24" t="n">
        <v>36.189999</v>
      </c>
      <c r="F182" s="24" t="n">
        <v>25.293192</v>
      </c>
      <c r="G182" s="24" t="n">
        <v>21.190001</v>
      </c>
      <c r="H182" s="24" t="n">
        <v>18.67</v>
      </c>
      <c r="I182" s="24" t="n">
        <v>38.180267</v>
      </c>
      <c r="J182" s="24" t="n">
        <v>50.27</v>
      </c>
    </row>
    <row r="183" customFormat="false" ht="15" hidden="false" customHeight="false" outlineLevel="0" collapsed="false">
      <c r="A183" s="23" t="n">
        <v>43976</v>
      </c>
      <c r="B183" s="24" t="n">
        <v>42.799999</v>
      </c>
      <c r="C183" s="24" t="n">
        <v>15.5</v>
      </c>
      <c r="D183" s="24" t="n">
        <v>18.98</v>
      </c>
      <c r="E183" s="24" t="n">
        <v>36.700001</v>
      </c>
      <c r="F183" s="24" t="n">
        <v>25.692295</v>
      </c>
      <c r="G183" s="24" t="n">
        <v>22.639999</v>
      </c>
      <c r="H183" s="24" t="n">
        <v>19.48</v>
      </c>
      <c r="I183" s="24" t="n">
        <v>40.031433</v>
      </c>
      <c r="J183" s="24" t="n">
        <v>50.099998</v>
      </c>
    </row>
    <row r="184" customFormat="false" ht="15" hidden="false" customHeight="false" outlineLevel="0" collapsed="false">
      <c r="A184" s="23" t="n">
        <v>43977</v>
      </c>
      <c r="B184" s="24" t="n">
        <v>41.540001</v>
      </c>
      <c r="C184" s="24" t="n">
        <v>15.5</v>
      </c>
      <c r="D184" s="24" t="n">
        <v>18.799999</v>
      </c>
      <c r="E184" s="24" t="n">
        <v>36.880001</v>
      </c>
      <c r="F184" s="24" t="n">
        <v>26.839718</v>
      </c>
      <c r="G184" s="24" t="n">
        <v>21.780001</v>
      </c>
      <c r="H184" s="24" t="n">
        <v>19.67</v>
      </c>
      <c r="I184" s="24" t="n">
        <v>40.808922</v>
      </c>
      <c r="J184" s="24" t="n">
        <v>49.200001</v>
      </c>
    </row>
    <row r="185" customFormat="false" ht="15" hidden="false" customHeight="false" outlineLevel="0" collapsed="false">
      <c r="A185" s="23" t="n">
        <v>43978</v>
      </c>
      <c r="B185" s="24" t="n">
        <v>43.900002</v>
      </c>
      <c r="C185" s="24" t="n">
        <v>15.53</v>
      </c>
      <c r="D185" s="24" t="n">
        <v>19.790001</v>
      </c>
      <c r="E185" s="24" t="n">
        <v>39.099998</v>
      </c>
      <c r="F185" s="24" t="n">
        <v>28.835236</v>
      </c>
      <c r="G185" s="24" t="n">
        <v>22.540001</v>
      </c>
      <c r="H185" s="24" t="n">
        <v>19.93</v>
      </c>
      <c r="I185" s="24" t="n">
        <v>40.734875</v>
      </c>
      <c r="J185" s="24" t="n">
        <v>50.639999</v>
      </c>
    </row>
    <row r="186" customFormat="false" ht="15" hidden="false" customHeight="false" outlineLevel="0" collapsed="false">
      <c r="A186" s="23" t="n">
        <v>43979</v>
      </c>
      <c r="B186" s="24" t="n">
        <v>43.59</v>
      </c>
      <c r="C186" s="24" t="n">
        <v>15.316666</v>
      </c>
      <c r="D186" s="24" t="n">
        <v>19.49</v>
      </c>
      <c r="E186" s="24" t="n">
        <v>37.32</v>
      </c>
      <c r="F186" s="24" t="n">
        <v>28.64566</v>
      </c>
      <c r="G186" s="24" t="n">
        <v>21.299999</v>
      </c>
      <c r="H186" s="24" t="n">
        <v>19.77</v>
      </c>
      <c r="I186" s="24" t="n">
        <v>40.716362</v>
      </c>
      <c r="J186" s="24" t="n">
        <v>50.09</v>
      </c>
    </row>
    <row r="187" customFormat="false" ht="15" hidden="false" customHeight="false" outlineLevel="0" collapsed="false">
      <c r="A187" s="23" t="n">
        <v>43980</v>
      </c>
      <c r="B187" s="24" t="n">
        <v>42.099998</v>
      </c>
      <c r="C187" s="24" t="n">
        <v>15.183333</v>
      </c>
      <c r="D187" s="24" t="n">
        <v>19.559999</v>
      </c>
      <c r="E187" s="24" t="n">
        <v>38.48</v>
      </c>
      <c r="F187" s="24" t="n">
        <v>28.186691</v>
      </c>
      <c r="G187" s="24" t="n">
        <v>20.690001</v>
      </c>
      <c r="H187" s="24" t="n">
        <v>20.34</v>
      </c>
      <c r="I187" s="24" t="n">
        <v>41.373528</v>
      </c>
      <c r="J187" s="24" t="n">
        <v>53</v>
      </c>
    </row>
    <row r="188" customFormat="false" ht="15" hidden="false" customHeight="false" outlineLevel="0" collapsed="false">
      <c r="A188" s="23" t="n">
        <v>43983</v>
      </c>
      <c r="B188" s="24" t="n">
        <v>42.799999</v>
      </c>
      <c r="C188" s="24" t="n">
        <v>15.176666</v>
      </c>
      <c r="D188" s="24" t="n">
        <v>19.48</v>
      </c>
      <c r="E188" s="24" t="n">
        <v>37.610001</v>
      </c>
      <c r="F188" s="24" t="n">
        <v>29.234339</v>
      </c>
      <c r="G188" s="24" t="n">
        <v>22.280001</v>
      </c>
      <c r="H188" s="24" t="n">
        <v>20.33</v>
      </c>
      <c r="I188" s="24" t="n">
        <v>42.308365</v>
      </c>
      <c r="J188" s="24" t="n">
        <v>53.419998</v>
      </c>
    </row>
    <row r="189" customFormat="false" ht="15" hidden="false" customHeight="false" outlineLevel="0" collapsed="false">
      <c r="A189" s="23" t="n">
        <v>43984</v>
      </c>
      <c r="B189" s="24" t="n">
        <v>47</v>
      </c>
      <c r="C189" s="24" t="n">
        <v>15.486666</v>
      </c>
      <c r="D189" s="24" t="n">
        <v>19.709999</v>
      </c>
      <c r="E189" s="24" t="n">
        <v>38.25</v>
      </c>
      <c r="F189" s="24" t="n">
        <v>29.862926</v>
      </c>
      <c r="G189" s="24" t="n">
        <v>22.709999</v>
      </c>
      <c r="H189" s="24" t="n">
        <v>21.4</v>
      </c>
      <c r="I189" s="24" t="n">
        <v>42.576782</v>
      </c>
      <c r="J189" s="24" t="n">
        <v>53.419998</v>
      </c>
    </row>
    <row r="190" customFormat="false" ht="15" hidden="false" customHeight="false" outlineLevel="0" collapsed="false">
      <c r="A190" s="23" t="n">
        <v>43985</v>
      </c>
      <c r="B190" s="24" t="n">
        <v>46.740002</v>
      </c>
      <c r="C190" s="24" t="n">
        <v>16.273333</v>
      </c>
      <c r="D190" s="24" t="n">
        <v>19.48</v>
      </c>
      <c r="E190" s="24" t="n">
        <v>41.02</v>
      </c>
      <c r="F190" s="24" t="n">
        <v>30.162254</v>
      </c>
      <c r="G190" s="24" t="n">
        <v>23.559999</v>
      </c>
      <c r="H190" s="24" t="n">
        <v>21.469999</v>
      </c>
      <c r="I190" s="24" t="n">
        <v>43.687481</v>
      </c>
      <c r="J190" s="24" t="n">
        <v>53.66</v>
      </c>
    </row>
    <row r="191" customFormat="false" ht="15" hidden="false" customHeight="false" outlineLevel="0" collapsed="false">
      <c r="A191" s="23" t="n">
        <v>43986</v>
      </c>
      <c r="B191" s="24" t="n">
        <v>45.360001</v>
      </c>
      <c r="C191" s="24" t="n">
        <v>16.526667</v>
      </c>
      <c r="D191" s="24" t="n">
        <v>19.709999</v>
      </c>
      <c r="E191" s="24" t="n">
        <v>40</v>
      </c>
      <c r="F191" s="24" t="n">
        <v>30.321898</v>
      </c>
      <c r="G191" s="24" t="n">
        <v>22.99</v>
      </c>
      <c r="H191" s="24" t="n">
        <v>21.43</v>
      </c>
      <c r="I191" s="24" t="n">
        <v>43.317249</v>
      </c>
      <c r="J191" s="24" t="n">
        <v>55.66</v>
      </c>
    </row>
    <row r="192" customFormat="false" ht="15" hidden="false" customHeight="false" outlineLevel="0" collapsed="false">
      <c r="A192" s="23" t="n">
        <v>43987</v>
      </c>
      <c r="B192" s="24" t="n">
        <v>46.099998</v>
      </c>
      <c r="C192" s="24" t="n">
        <v>16.356667</v>
      </c>
      <c r="D192" s="24" t="n">
        <v>19.059999</v>
      </c>
      <c r="E192" s="24" t="n">
        <v>40.84</v>
      </c>
      <c r="F192" s="24" t="n">
        <v>29.633444</v>
      </c>
      <c r="G192" s="24" t="n">
        <v>23.09</v>
      </c>
      <c r="H192" s="24" t="n">
        <v>22.1</v>
      </c>
      <c r="I192" s="24" t="n">
        <v>42.761898</v>
      </c>
      <c r="J192" s="24" t="n">
        <v>54.610001</v>
      </c>
    </row>
    <row r="193" customFormat="false" ht="15" hidden="false" customHeight="false" outlineLevel="0" collapsed="false">
      <c r="A193" s="23" t="n">
        <v>43990</v>
      </c>
      <c r="B193" s="24" t="n">
        <v>47.299999</v>
      </c>
      <c r="C193" s="24" t="n">
        <v>17.24</v>
      </c>
      <c r="D193" s="24" t="n">
        <v>19.6</v>
      </c>
      <c r="E193" s="24" t="n">
        <v>43.200001</v>
      </c>
      <c r="F193" s="24" t="n">
        <v>29.733219</v>
      </c>
      <c r="G193" s="24" t="n">
        <v>22.85</v>
      </c>
      <c r="H193" s="24" t="n">
        <v>22.530001</v>
      </c>
      <c r="I193" s="24" t="n">
        <v>42.854458</v>
      </c>
      <c r="J193" s="24" t="n">
        <v>54.779999</v>
      </c>
    </row>
    <row r="194" customFormat="false" ht="15" hidden="false" customHeight="false" outlineLevel="0" collapsed="false">
      <c r="A194" s="23" t="n">
        <v>43991</v>
      </c>
      <c r="B194" s="24" t="n">
        <v>46.700001</v>
      </c>
      <c r="C194" s="24" t="n">
        <v>17.023333</v>
      </c>
      <c r="D194" s="24" t="n">
        <v>19.68</v>
      </c>
      <c r="E194" s="24" t="n">
        <v>42.900002</v>
      </c>
      <c r="F194" s="24" t="n">
        <v>30.182211</v>
      </c>
      <c r="G194" s="24" t="n">
        <v>23.93</v>
      </c>
      <c r="H194" s="24" t="n">
        <v>21.719999</v>
      </c>
      <c r="I194" s="24" t="n">
        <v>42.410179</v>
      </c>
      <c r="J194" s="24" t="n">
        <v>54.990002</v>
      </c>
    </row>
    <row r="195" customFormat="false" ht="15" hidden="false" customHeight="false" outlineLevel="0" collapsed="false">
      <c r="A195" s="23" t="n">
        <v>43992</v>
      </c>
      <c r="B195" s="24" t="n">
        <v>44.880001</v>
      </c>
      <c r="C195" s="24" t="n">
        <v>16.913334</v>
      </c>
      <c r="D195" s="24" t="n">
        <v>19.549999</v>
      </c>
      <c r="E195" s="24" t="n">
        <v>41.099998</v>
      </c>
      <c r="F195" s="24" t="n">
        <v>30.561359</v>
      </c>
      <c r="G195" s="24" t="n">
        <v>22.700001</v>
      </c>
      <c r="H195" s="24" t="n">
        <v>21.4</v>
      </c>
      <c r="I195" s="24" t="n">
        <v>41.715992</v>
      </c>
      <c r="J195" s="24" t="n">
        <v>54.200001</v>
      </c>
    </row>
    <row r="196" customFormat="false" ht="15" hidden="false" customHeight="false" outlineLevel="0" collapsed="false">
      <c r="A196" s="23" t="n">
        <v>43994</v>
      </c>
      <c r="B196" s="24" t="n">
        <v>43.709999</v>
      </c>
      <c r="C196" s="24" t="n">
        <v>16.616667</v>
      </c>
      <c r="D196" s="24" t="n">
        <v>19.24</v>
      </c>
      <c r="E196" s="24" t="n">
        <v>40.290001</v>
      </c>
      <c r="F196" s="24" t="n">
        <v>31.229856</v>
      </c>
      <c r="G196" s="24" t="n">
        <v>22</v>
      </c>
      <c r="H196" s="24" t="n">
        <v>20.6</v>
      </c>
      <c r="I196" s="24" t="n">
        <v>41.429062</v>
      </c>
      <c r="J196" s="24" t="n">
        <v>53.400002</v>
      </c>
    </row>
    <row r="197" customFormat="false" ht="15" hidden="false" customHeight="false" outlineLevel="0" collapsed="false">
      <c r="A197" s="23" t="n">
        <v>43997</v>
      </c>
      <c r="B197" s="24" t="n">
        <v>44.279999</v>
      </c>
      <c r="C197" s="24" t="n">
        <v>16.503332</v>
      </c>
      <c r="D197" s="24" t="n">
        <v>19.35</v>
      </c>
      <c r="E197" s="24" t="n">
        <v>40.700001</v>
      </c>
      <c r="F197" s="24" t="n">
        <v>31.728737</v>
      </c>
      <c r="G197" s="24" t="n">
        <v>21.68</v>
      </c>
      <c r="H197" s="24" t="n">
        <v>20.700001</v>
      </c>
      <c r="I197" s="24" t="n">
        <v>40.309105</v>
      </c>
      <c r="J197" s="24" t="n">
        <v>53.880001</v>
      </c>
    </row>
    <row r="198" customFormat="false" ht="15" hidden="false" customHeight="false" outlineLevel="0" collapsed="false">
      <c r="A198" s="23" t="n">
        <v>43998</v>
      </c>
      <c r="B198" s="24" t="n">
        <v>43</v>
      </c>
      <c r="C198" s="24" t="n">
        <v>16.5</v>
      </c>
      <c r="D198" s="24" t="n">
        <v>19.110001</v>
      </c>
      <c r="E198" s="24" t="n">
        <v>40.169998</v>
      </c>
      <c r="F198" s="24" t="n">
        <v>31.489275</v>
      </c>
      <c r="G198" s="24" t="n">
        <v>21.42</v>
      </c>
      <c r="H198" s="24" t="n">
        <v>21.370001</v>
      </c>
      <c r="I198" s="24" t="n">
        <v>39.022549</v>
      </c>
      <c r="J198" s="24" t="n">
        <v>55.389999</v>
      </c>
    </row>
    <row r="199" customFormat="false" ht="15" hidden="false" customHeight="false" outlineLevel="0" collapsed="false">
      <c r="A199" s="23" t="n">
        <v>43999</v>
      </c>
      <c r="B199" s="24" t="n">
        <v>44.139999</v>
      </c>
      <c r="C199" s="24" t="n">
        <v>17.066666</v>
      </c>
      <c r="D199" s="24" t="n">
        <v>19.549999</v>
      </c>
      <c r="E199" s="24" t="n">
        <v>40.830002</v>
      </c>
      <c r="F199" s="24" t="n">
        <v>32.62672</v>
      </c>
      <c r="G199" s="24" t="n">
        <v>22.59</v>
      </c>
      <c r="H199" s="24" t="n">
        <v>21.440001</v>
      </c>
      <c r="I199" s="24" t="n">
        <v>38.874454</v>
      </c>
      <c r="J199" s="24" t="n">
        <v>56.200001</v>
      </c>
    </row>
    <row r="200" customFormat="false" ht="15" hidden="false" customHeight="false" outlineLevel="0" collapsed="false">
      <c r="A200" s="23" t="n">
        <v>44000</v>
      </c>
      <c r="B200" s="24" t="n">
        <v>43.950001</v>
      </c>
      <c r="C200" s="24" t="n">
        <v>16.786667</v>
      </c>
      <c r="D200" s="24" t="n">
        <v>20.08</v>
      </c>
      <c r="E200" s="24" t="n">
        <v>41.209999</v>
      </c>
      <c r="F200" s="24" t="n">
        <v>33.32515</v>
      </c>
      <c r="G200" s="24" t="n">
        <v>21.809999</v>
      </c>
      <c r="H200" s="24" t="n">
        <v>21.6</v>
      </c>
      <c r="I200" s="24" t="n">
        <v>40.484966</v>
      </c>
      <c r="J200" s="24" t="n">
        <v>56.169998</v>
      </c>
    </row>
    <row r="201" customFormat="false" ht="15" hidden="false" customHeight="false" outlineLevel="0" collapsed="false">
      <c r="A201" s="23" t="n">
        <v>44001</v>
      </c>
      <c r="B201" s="24" t="n">
        <v>44.580002</v>
      </c>
      <c r="C201" s="24" t="n">
        <v>17</v>
      </c>
      <c r="D201" s="24" t="n">
        <v>20.51</v>
      </c>
      <c r="E201" s="24" t="n">
        <v>41.900002</v>
      </c>
      <c r="F201" s="24" t="n">
        <v>32.856205</v>
      </c>
      <c r="G201" s="24" t="n">
        <v>22.030001</v>
      </c>
      <c r="H201" s="24" t="n">
        <v>21.469999</v>
      </c>
      <c r="I201" s="24" t="n">
        <v>41.706738</v>
      </c>
      <c r="J201" s="24" t="n">
        <v>55.169998</v>
      </c>
    </row>
    <row r="202" customFormat="false" ht="15" hidden="false" customHeight="false" outlineLevel="0" collapsed="false">
      <c r="A202" s="23" t="n">
        <v>44004</v>
      </c>
      <c r="B202" s="24" t="n">
        <v>46.290001</v>
      </c>
      <c r="C202" s="24" t="n">
        <v>16.776667</v>
      </c>
      <c r="D202" s="24" t="n">
        <v>20.360001</v>
      </c>
      <c r="E202" s="24" t="n">
        <v>41.240002</v>
      </c>
      <c r="F202" s="24" t="n">
        <v>32.42717</v>
      </c>
      <c r="G202" s="24" t="n">
        <v>22</v>
      </c>
      <c r="H202" s="24" t="n">
        <v>20.950001</v>
      </c>
      <c r="I202" s="24" t="n">
        <v>41.308735</v>
      </c>
      <c r="J202" s="24" t="n">
        <v>55</v>
      </c>
    </row>
    <row r="203" customFormat="false" ht="15" hidden="false" customHeight="false" outlineLevel="0" collapsed="false">
      <c r="A203" s="23" t="n">
        <v>44005</v>
      </c>
      <c r="B203" s="24" t="n">
        <v>47.669998</v>
      </c>
      <c r="C203" s="24" t="n">
        <v>17.426666</v>
      </c>
      <c r="D203" s="24" t="n">
        <v>19.969999</v>
      </c>
      <c r="E203" s="24" t="n">
        <v>41.759998</v>
      </c>
      <c r="F203" s="24" t="n">
        <v>32.616741</v>
      </c>
      <c r="G203" s="24" t="n">
        <v>21.91</v>
      </c>
      <c r="H203" s="24" t="n">
        <v>21.65</v>
      </c>
      <c r="I203" s="24" t="n">
        <v>41.280968</v>
      </c>
      <c r="J203" s="24" t="n">
        <v>55.59</v>
      </c>
    </row>
    <row r="204" customFormat="false" ht="15" hidden="false" customHeight="false" outlineLevel="0" collapsed="false">
      <c r="A204" s="23" t="n">
        <v>44006</v>
      </c>
      <c r="B204" s="24" t="n">
        <v>45.439999</v>
      </c>
      <c r="C204" s="24" t="n">
        <v>17.549999</v>
      </c>
      <c r="D204" s="24" t="n">
        <v>20.5</v>
      </c>
      <c r="E204" s="24" t="n">
        <v>40.98</v>
      </c>
      <c r="F204" s="24" t="n">
        <v>31.728737</v>
      </c>
      <c r="G204" s="24" t="n">
        <v>21.4</v>
      </c>
      <c r="H204" s="24" t="n">
        <v>21</v>
      </c>
      <c r="I204" s="24" t="n">
        <v>40.96627</v>
      </c>
      <c r="J204" s="24" t="n">
        <v>55.389999</v>
      </c>
    </row>
    <row r="205" customFormat="false" ht="15" hidden="false" customHeight="false" outlineLevel="0" collapsed="false">
      <c r="A205" s="23" t="n">
        <v>44007</v>
      </c>
      <c r="B205" s="24" t="n">
        <v>47.900002</v>
      </c>
      <c r="C205" s="24" t="n">
        <v>18.333332</v>
      </c>
      <c r="D205" s="24" t="n">
        <v>20.459999</v>
      </c>
      <c r="E205" s="24" t="n">
        <v>41.450001</v>
      </c>
      <c r="F205" s="24" t="n">
        <v>32.327393</v>
      </c>
      <c r="G205" s="24" t="n">
        <v>21.299999</v>
      </c>
      <c r="H205" s="24" t="n">
        <v>21.469999</v>
      </c>
      <c r="I205" s="24" t="n">
        <v>43.011806</v>
      </c>
      <c r="J205" s="24" t="n">
        <v>56</v>
      </c>
    </row>
    <row r="206" customFormat="false" ht="15" hidden="false" customHeight="false" outlineLevel="0" collapsed="false">
      <c r="A206" s="23" t="n">
        <v>44008</v>
      </c>
      <c r="B206" s="24" t="n">
        <v>46.290001</v>
      </c>
      <c r="C206" s="24" t="n">
        <v>17.816666</v>
      </c>
      <c r="D206" s="24" t="n">
        <v>20.51</v>
      </c>
      <c r="E206" s="24" t="n">
        <v>40.25</v>
      </c>
      <c r="F206" s="24" t="n">
        <v>31.060238</v>
      </c>
      <c r="G206" s="24" t="n">
        <v>20.23</v>
      </c>
      <c r="H206" s="24" t="n">
        <v>20.84</v>
      </c>
      <c r="I206" s="24" t="n">
        <v>42.215805</v>
      </c>
      <c r="J206" s="24" t="n">
        <v>55.619999</v>
      </c>
    </row>
    <row r="207" customFormat="false" ht="15" hidden="false" customHeight="false" outlineLevel="0" collapsed="false">
      <c r="A207" s="23" t="n">
        <v>44011</v>
      </c>
      <c r="B207" s="24" t="n">
        <v>47.450001</v>
      </c>
      <c r="C207" s="24" t="n">
        <v>18.32</v>
      </c>
      <c r="D207" s="24" t="n">
        <v>20.24</v>
      </c>
      <c r="E207" s="24" t="n">
        <v>41.209999</v>
      </c>
      <c r="F207" s="24" t="n">
        <v>31.928289</v>
      </c>
      <c r="G207" s="24" t="n">
        <v>20.719999</v>
      </c>
      <c r="H207" s="24" t="n">
        <v>21.66</v>
      </c>
      <c r="I207" s="24" t="n">
        <v>42.530502</v>
      </c>
      <c r="J207" s="24" t="n">
        <v>55.630001</v>
      </c>
    </row>
    <row r="208" customFormat="false" ht="15" hidden="false" customHeight="false" outlineLevel="0" collapsed="false">
      <c r="A208" s="23" t="n">
        <v>44012</v>
      </c>
      <c r="B208" s="24" t="n">
        <v>47.900002</v>
      </c>
      <c r="C208" s="24" t="n">
        <v>18.363333</v>
      </c>
      <c r="D208" s="24" t="n">
        <v>20.68</v>
      </c>
      <c r="E208" s="24" t="n">
        <v>40.91</v>
      </c>
      <c r="F208" s="24" t="n">
        <v>32.107883</v>
      </c>
      <c r="G208" s="24" t="n">
        <v>20.5</v>
      </c>
      <c r="H208" s="24" t="n">
        <v>21.549999</v>
      </c>
      <c r="I208" s="24" t="n">
        <v>41.715992</v>
      </c>
      <c r="J208" s="24" t="n">
        <v>55.919998</v>
      </c>
    </row>
    <row r="209" customFormat="false" ht="15" hidden="false" customHeight="false" outlineLevel="0" collapsed="false">
      <c r="A209" s="23" t="n">
        <v>44013</v>
      </c>
      <c r="B209" s="24" t="n">
        <v>47.990002</v>
      </c>
      <c r="C209" s="24" t="n">
        <v>18.676666</v>
      </c>
      <c r="D209" s="24" t="n">
        <v>20.799999</v>
      </c>
      <c r="E209" s="24" t="n">
        <v>42.349998</v>
      </c>
      <c r="F209" s="24" t="n">
        <v>32.516968</v>
      </c>
      <c r="G209" s="24" t="n">
        <v>20.950001</v>
      </c>
      <c r="H209" s="24" t="n">
        <v>21.709999</v>
      </c>
      <c r="I209" s="24" t="n">
        <v>42.947018</v>
      </c>
      <c r="J209" s="24" t="n">
        <v>54.540001</v>
      </c>
    </row>
    <row r="210" customFormat="false" ht="15" hidden="false" customHeight="false" outlineLevel="0" collapsed="false">
      <c r="A210" s="23" t="n">
        <v>44014</v>
      </c>
      <c r="B210" s="24" t="n">
        <v>48.330002</v>
      </c>
      <c r="C210" s="24" t="n">
        <v>18.733334</v>
      </c>
      <c r="D210" s="24" t="n">
        <v>20.719999</v>
      </c>
      <c r="E210" s="24" t="n">
        <v>42.389999</v>
      </c>
      <c r="F210" s="24" t="n">
        <v>31.130081</v>
      </c>
      <c r="G210" s="24" t="n">
        <v>20.75</v>
      </c>
      <c r="H210" s="24" t="n">
        <v>22.059999</v>
      </c>
      <c r="I210" s="24" t="n">
        <v>42.761898</v>
      </c>
      <c r="J210" s="24" t="n">
        <v>55.490002</v>
      </c>
    </row>
    <row r="211" customFormat="false" ht="15" hidden="false" customHeight="false" outlineLevel="0" collapsed="false">
      <c r="A211" s="23" t="n">
        <v>44015</v>
      </c>
      <c r="B211" s="24" t="n">
        <v>48.75</v>
      </c>
      <c r="C211" s="24" t="n">
        <v>18.833332</v>
      </c>
      <c r="D211" s="24" t="n">
        <v>20.870001</v>
      </c>
      <c r="E211" s="24" t="n">
        <v>42.700001</v>
      </c>
      <c r="F211" s="24" t="n">
        <v>30.930531</v>
      </c>
      <c r="G211" s="24" t="n">
        <v>21.35</v>
      </c>
      <c r="H211" s="24" t="n">
        <v>21.98</v>
      </c>
      <c r="I211" s="24" t="n">
        <v>44.946274</v>
      </c>
      <c r="J211" s="24" t="n">
        <v>55.259998</v>
      </c>
    </row>
    <row r="212" customFormat="false" ht="15" hidden="false" customHeight="false" outlineLevel="0" collapsed="false">
      <c r="A212" s="23" t="n">
        <v>44018</v>
      </c>
      <c r="B212" s="24" t="n">
        <v>50</v>
      </c>
      <c r="C212" s="24" t="n">
        <v>18.84</v>
      </c>
      <c r="D212" s="24" t="n">
        <v>20.639999</v>
      </c>
      <c r="E212" s="24" t="n">
        <v>43.25</v>
      </c>
      <c r="F212" s="24" t="n">
        <v>32.526943</v>
      </c>
      <c r="G212" s="24" t="n">
        <v>22.799999</v>
      </c>
      <c r="H212" s="24" t="n">
        <v>22.51</v>
      </c>
      <c r="I212" s="24" t="n">
        <v>44.483482</v>
      </c>
      <c r="J212" s="24" t="n">
        <v>56.57</v>
      </c>
    </row>
    <row r="213" customFormat="false" ht="15" hidden="false" customHeight="false" outlineLevel="0" collapsed="false">
      <c r="A213" s="23" t="n">
        <v>44019</v>
      </c>
      <c r="B213" s="24" t="n">
        <v>50.869999</v>
      </c>
      <c r="C213" s="24" t="n">
        <v>19.056665</v>
      </c>
      <c r="D213" s="24" t="n">
        <v>20.59</v>
      </c>
      <c r="E213" s="24" t="n">
        <v>44.009998</v>
      </c>
      <c r="F213" s="24" t="n">
        <v>31.678848</v>
      </c>
      <c r="G213" s="24" t="n">
        <v>22.4</v>
      </c>
      <c r="H213" s="24" t="n">
        <v>22.23</v>
      </c>
      <c r="I213" s="24" t="n">
        <v>43.983669</v>
      </c>
      <c r="J213" s="24" t="n">
        <v>56.369999</v>
      </c>
    </row>
    <row r="214" customFormat="false" ht="15" hidden="false" customHeight="false" outlineLevel="0" collapsed="false">
      <c r="A214" s="23" t="n">
        <v>44020</v>
      </c>
      <c r="B214" s="24" t="n">
        <v>51.93</v>
      </c>
      <c r="C214" s="24" t="n">
        <v>20.216665</v>
      </c>
      <c r="D214" s="24" t="n">
        <v>21</v>
      </c>
      <c r="E214" s="24" t="n">
        <v>44.419998</v>
      </c>
      <c r="F214" s="24" t="n">
        <v>32.048019</v>
      </c>
      <c r="G214" s="24" t="n">
        <v>22.85</v>
      </c>
      <c r="H214" s="24" t="n">
        <v>22.65</v>
      </c>
      <c r="I214" s="24" t="n">
        <v>43.807808</v>
      </c>
      <c r="J214" s="24" t="n">
        <v>57.32</v>
      </c>
    </row>
    <row r="215" customFormat="false" ht="15" hidden="false" customHeight="false" outlineLevel="0" collapsed="false">
      <c r="A215" s="23" t="n">
        <v>44021</v>
      </c>
      <c r="B215" s="24" t="n">
        <v>52.099998</v>
      </c>
      <c r="C215" s="24" t="n">
        <v>19.629999</v>
      </c>
      <c r="D215" s="24" t="n">
        <v>20.639999</v>
      </c>
      <c r="E215" s="24" t="n">
        <v>43.330002</v>
      </c>
      <c r="F215" s="24" t="n">
        <v>35.290737</v>
      </c>
      <c r="G215" s="24" t="n">
        <v>23.370001</v>
      </c>
      <c r="H215" s="24" t="n">
        <v>22.139999</v>
      </c>
      <c r="I215" s="24" t="n">
        <v>43.502365</v>
      </c>
      <c r="J215" s="24" t="n">
        <v>56.419998</v>
      </c>
    </row>
    <row r="216" customFormat="false" ht="15" hidden="false" customHeight="false" outlineLevel="0" collapsed="false">
      <c r="A216" s="23" t="n">
        <v>44022</v>
      </c>
      <c r="B216" s="24" t="n">
        <v>52.299999</v>
      </c>
      <c r="C216" s="24" t="n">
        <v>19.983334</v>
      </c>
      <c r="D216" s="24" t="n">
        <v>20.450001</v>
      </c>
      <c r="E216" s="24" t="n">
        <v>43.540001</v>
      </c>
      <c r="F216" s="24" t="n">
        <v>35.081207</v>
      </c>
      <c r="G216" s="24" t="n">
        <v>23.4</v>
      </c>
      <c r="H216" s="24" t="n">
        <v>22.51</v>
      </c>
      <c r="I216" s="24" t="n">
        <v>44.113251</v>
      </c>
      <c r="J216" s="24" t="n">
        <v>56.970001</v>
      </c>
    </row>
    <row r="217" customFormat="false" ht="15" hidden="false" customHeight="false" outlineLevel="0" collapsed="false">
      <c r="A217" s="23" t="n">
        <v>44025</v>
      </c>
      <c r="B217" s="24" t="n">
        <v>52.970001</v>
      </c>
      <c r="C217" s="24" t="n">
        <v>19.963333</v>
      </c>
      <c r="D217" s="24" t="n">
        <v>20.02</v>
      </c>
      <c r="E217" s="24" t="n">
        <v>42.099998</v>
      </c>
      <c r="F217" s="24" t="n">
        <v>34.073471</v>
      </c>
      <c r="G217" s="24" t="n">
        <v>22.92</v>
      </c>
      <c r="H217" s="24" t="n">
        <v>22.16</v>
      </c>
      <c r="I217" s="24" t="n">
        <v>43.483852</v>
      </c>
      <c r="J217" s="24" t="n">
        <v>57.650002</v>
      </c>
    </row>
    <row r="218" customFormat="false" ht="15" hidden="false" customHeight="false" outlineLevel="0" collapsed="false">
      <c r="A218" s="23" t="n">
        <v>44026</v>
      </c>
      <c r="B218" s="24" t="n">
        <v>52.5</v>
      </c>
      <c r="C218" s="24" t="n">
        <v>20.379999</v>
      </c>
      <c r="D218" s="24" t="n">
        <v>20.4</v>
      </c>
      <c r="E218" s="24" t="n">
        <v>43.900002</v>
      </c>
      <c r="F218" s="24" t="n">
        <v>34.57235</v>
      </c>
      <c r="G218" s="24" t="n">
        <v>22.870001</v>
      </c>
      <c r="H218" s="24" t="n">
        <v>22.9</v>
      </c>
      <c r="I218" s="24" t="n">
        <v>44.066971</v>
      </c>
      <c r="J218" s="24" t="n">
        <v>61.700001</v>
      </c>
    </row>
    <row r="219" customFormat="false" ht="15" hidden="false" customHeight="false" outlineLevel="0" collapsed="false">
      <c r="A219" s="23" t="n">
        <v>44027</v>
      </c>
      <c r="B219" s="24" t="n">
        <v>52.959999</v>
      </c>
      <c r="C219" s="24" t="n">
        <v>20.629999</v>
      </c>
      <c r="D219" s="24" t="n">
        <v>20.959999</v>
      </c>
      <c r="E219" s="24" t="n">
        <v>44.740002</v>
      </c>
      <c r="F219" s="24" t="n">
        <v>35.220894</v>
      </c>
      <c r="G219" s="24" t="n">
        <v>22.75</v>
      </c>
      <c r="H219" s="24" t="n">
        <v>23.34</v>
      </c>
      <c r="I219" s="24" t="n">
        <v>43.456085</v>
      </c>
      <c r="J219" s="24" t="n">
        <v>61.790001</v>
      </c>
    </row>
    <row r="220" customFormat="false" ht="15" hidden="false" customHeight="false" outlineLevel="0" collapsed="false">
      <c r="A220" s="23" t="n">
        <v>44028</v>
      </c>
      <c r="B220" s="24" t="n">
        <v>53.5</v>
      </c>
      <c r="C220" s="24" t="n">
        <v>20.5</v>
      </c>
      <c r="D220" s="24" t="n">
        <v>20.68</v>
      </c>
      <c r="E220" s="24" t="n">
        <v>44.59</v>
      </c>
      <c r="F220" s="24" t="n">
        <v>34.642193</v>
      </c>
      <c r="G220" s="24" t="n">
        <v>22.530001</v>
      </c>
      <c r="H220" s="24" t="n">
        <v>22.719999</v>
      </c>
      <c r="I220" s="24" t="n">
        <v>43.113621</v>
      </c>
      <c r="J220" s="24" t="n">
        <v>60.119999</v>
      </c>
    </row>
    <row r="221" customFormat="false" ht="15" hidden="false" customHeight="false" outlineLevel="0" collapsed="false">
      <c r="A221" s="23" t="n">
        <v>44029</v>
      </c>
      <c r="B221" s="24" t="n">
        <v>52.549999</v>
      </c>
      <c r="C221" s="24" t="n">
        <v>21.296665</v>
      </c>
      <c r="D221" s="24" t="n">
        <v>20.940001</v>
      </c>
      <c r="E221" s="24" t="n">
        <v>45.950001</v>
      </c>
      <c r="F221" s="24" t="n">
        <v>35.320667</v>
      </c>
      <c r="G221" s="24" t="n">
        <v>22.77</v>
      </c>
      <c r="H221" s="24" t="n">
        <v>22.74</v>
      </c>
      <c r="I221" s="24" t="n">
        <v>45.37204</v>
      </c>
      <c r="J221" s="24" t="n">
        <v>61.040001</v>
      </c>
    </row>
    <row r="222" customFormat="false" ht="15" hidden="false" customHeight="false" outlineLevel="0" collapsed="false">
      <c r="A222" s="23" t="n">
        <v>44032</v>
      </c>
      <c r="B222" s="24" t="n">
        <v>55.299999</v>
      </c>
      <c r="C222" s="24" t="n">
        <v>22.466665</v>
      </c>
      <c r="D222" s="24" t="n">
        <v>21.27</v>
      </c>
      <c r="E222" s="24" t="n">
        <v>46.209999</v>
      </c>
      <c r="F222" s="24" t="n">
        <v>35.250828</v>
      </c>
      <c r="G222" s="24" t="n">
        <v>23.190001</v>
      </c>
      <c r="H222" s="24" t="n">
        <v>22.74</v>
      </c>
      <c r="I222" s="24" t="n">
        <v>47.56567</v>
      </c>
      <c r="J222" s="24" t="n">
        <v>60.799999</v>
      </c>
    </row>
    <row r="223" customFormat="false" ht="15" hidden="false" customHeight="false" outlineLevel="0" collapsed="false">
      <c r="A223" s="23" t="n">
        <v>44033</v>
      </c>
      <c r="B223" s="24" t="n">
        <v>54.759998</v>
      </c>
      <c r="C223" s="24" t="n">
        <v>22.043333</v>
      </c>
      <c r="D223" s="24" t="n">
        <v>20.99</v>
      </c>
      <c r="E223" s="24" t="n">
        <v>46.889999</v>
      </c>
      <c r="F223" s="24" t="n">
        <v>35.560131</v>
      </c>
      <c r="G223" s="24" t="n">
        <v>23.030001</v>
      </c>
      <c r="H223" s="24" t="n">
        <v>23.370001</v>
      </c>
      <c r="I223" s="24" t="n">
        <v>47.213951</v>
      </c>
      <c r="J223" s="24" t="n">
        <v>59.700001</v>
      </c>
    </row>
    <row r="224" customFormat="false" ht="15" hidden="false" customHeight="false" outlineLevel="0" collapsed="false">
      <c r="A224" s="23" t="n">
        <v>44034</v>
      </c>
      <c r="B224" s="24" t="n">
        <v>53.889999</v>
      </c>
      <c r="C224" s="24" t="n">
        <v>22.233334</v>
      </c>
      <c r="D224" s="24" t="n">
        <v>21.129999</v>
      </c>
      <c r="E224" s="24" t="n">
        <v>46.389999</v>
      </c>
      <c r="F224" s="24" t="n">
        <v>36.517979</v>
      </c>
      <c r="G224" s="24" t="n">
        <v>22.17</v>
      </c>
      <c r="H224" s="24" t="n">
        <v>23.049999</v>
      </c>
      <c r="I224" s="24" t="n">
        <v>47.3713</v>
      </c>
      <c r="J224" s="24" t="n">
        <v>59.240002</v>
      </c>
    </row>
    <row r="225" customFormat="false" ht="15" hidden="false" customHeight="false" outlineLevel="0" collapsed="false">
      <c r="A225" s="23" t="n">
        <v>44035</v>
      </c>
      <c r="B225" s="24" t="n">
        <v>51.849998</v>
      </c>
      <c r="C225" s="24" t="n">
        <v>21.84</v>
      </c>
      <c r="D225" s="24" t="n">
        <v>21.360001</v>
      </c>
      <c r="E225" s="24" t="n">
        <v>45.880001</v>
      </c>
      <c r="F225" s="24" t="n">
        <v>35.679863</v>
      </c>
      <c r="G225" s="24" t="n">
        <v>21.809999</v>
      </c>
      <c r="H225" s="24" t="n">
        <v>22.57</v>
      </c>
      <c r="I225" s="24" t="n">
        <v>46.547531</v>
      </c>
      <c r="J225" s="24" t="n">
        <v>58.849998</v>
      </c>
    </row>
    <row r="226" customFormat="false" ht="15" hidden="false" customHeight="false" outlineLevel="0" collapsed="false">
      <c r="A226" s="23" t="n">
        <v>44036</v>
      </c>
      <c r="B226" s="24" t="n">
        <v>51.299999</v>
      </c>
      <c r="C226" s="24" t="n">
        <v>21.783333</v>
      </c>
      <c r="D226" s="24" t="n">
        <v>21.549999</v>
      </c>
      <c r="E226" s="24" t="n">
        <v>44.700001</v>
      </c>
      <c r="F226" s="24" t="n">
        <v>35.450378</v>
      </c>
      <c r="G226" s="24" t="n">
        <v>21.370001</v>
      </c>
      <c r="H226" s="24" t="n">
        <v>22.73</v>
      </c>
      <c r="I226" s="24" t="n">
        <v>46.99181</v>
      </c>
      <c r="J226" s="24" t="n">
        <v>58.599998</v>
      </c>
    </row>
    <row r="227" customFormat="false" ht="15" hidden="false" customHeight="false" outlineLevel="0" collapsed="false">
      <c r="A227" s="23" t="n">
        <v>44039</v>
      </c>
      <c r="B227" s="24" t="n">
        <v>50.799999</v>
      </c>
      <c r="C227" s="24" t="n">
        <v>22.076666</v>
      </c>
      <c r="D227" s="24" t="n">
        <v>21.440001</v>
      </c>
      <c r="E227" s="24" t="n">
        <v>45.41</v>
      </c>
      <c r="F227" s="24" t="n">
        <v>34.991409</v>
      </c>
      <c r="G227" s="24" t="n">
        <v>21.26</v>
      </c>
      <c r="H227" s="24" t="n">
        <v>23.200001</v>
      </c>
      <c r="I227" s="24" t="n">
        <v>46.436462</v>
      </c>
      <c r="J227" s="24" t="n">
        <v>61.369999</v>
      </c>
    </row>
    <row r="228" customFormat="false" ht="15" hidden="false" customHeight="false" outlineLevel="0" collapsed="false">
      <c r="A228" s="23" t="n">
        <v>44040</v>
      </c>
      <c r="B228" s="24" t="n">
        <v>50.5</v>
      </c>
      <c r="C228" s="24" t="n">
        <v>21.743334</v>
      </c>
      <c r="D228" s="24" t="n">
        <v>21.190001</v>
      </c>
      <c r="E228" s="24" t="n">
        <v>44.889999</v>
      </c>
      <c r="F228" s="24" t="n">
        <v>34.642193</v>
      </c>
      <c r="G228" s="24" t="n">
        <v>21.59</v>
      </c>
      <c r="H228" s="24" t="n">
        <v>22.799999</v>
      </c>
      <c r="I228" s="24" t="n">
        <v>45.899624</v>
      </c>
      <c r="J228" s="24" t="n">
        <v>60.34</v>
      </c>
    </row>
    <row r="229" customFormat="false" ht="15" hidden="false" customHeight="false" outlineLevel="0" collapsed="false">
      <c r="A229" s="23" t="n">
        <v>44041</v>
      </c>
      <c r="B229" s="24" t="n">
        <v>52.139999</v>
      </c>
      <c r="C229" s="24" t="n">
        <v>21.543333</v>
      </c>
      <c r="D229" s="24" t="n">
        <v>21.049999</v>
      </c>
      <c r="E229" s="24" t="n">
        <v>45.07</v>
      </c>
      <c r="F229" s="24" t="n">
        <v>34.74197</v>
      </c>
      <c r="G229" s="24" t="n">
        <v>21.9</v>
      </c>
      <c r="H229" s="24" t="n">
        <v>23.17</v>
      </c>
      <c r="I229" s="24" t="n">
        <v>47.602695</v>
      </c>
      <c r="J229" s="24" t="n">
        <v>62.950001</v>
      </c>
    </row>
    <row r="230" customFormat="false" ht="15" hidden="false" customHeight="false" outlineLevel="0" collapsed="false">
      <c r="A230" s="23" t="n">
        <v>44042</v>
      </c>
      <c r="B230" s="24" t="n">
        <v>51.990002</v>
      </c>
      <c r="C230" s="24" t="n">
        <v>21.536667</v>
      </c>
      <c r="D230" s="24" t="n">
        <v>21.290001</v>
      </c>
      <c r="E230" s="24" t="n">
        <v>49.959999</v>
      </c>
      <c r="F230" s="24" t="n">
        <v>34.941521</v>
      </c>
      <c r="G230" s="24" t="n">
        <v>21.6</v>
      </c>
      <c r="H230" s="24" t="n">
        <v>22.82</v>
      </c>
      <c r="I230" s="24" t="n">
        <v>47.065857</v>
      </c>
      <c r="J230" s="24" t="n">
        <v>61.27</v>
      </c>
    </row>
    <row r="231" customFormat="false" ht="15" hidden="false" customHeight="false" outlineLevel="0" collapsed="false">
      <c r="A231" s="23" t="n">
        <v>44043</v>
      </c>
      <c r="B231" s="24" t="n">
        <v>52.759998</v>
      </c>
      <c r="C231" s="24" t="n">
        <v>21.146666</v>
      </c>
      <c r="D231" s="24" t="n">
        <v>20.77</v>
      </c>
      <c r="E231" s="24" t="n">
        <v>50.919998</v>
      </c>
      <c r="F231" s="24" t="n">
        <v>34.023582</v>
      </c>
      <c r="G231" s="24" t="n">
        <v>21.139999</v>
      </c>
      <c r="H231" s="24" t="n">
        <v>22.200001</v>
      </c>
      <c r="I231" s="24" t="n">
        <v>47.093624</v>
      </c>
      <c r="J231" s="24" t="n">
        <v>60.709999</v>
      </c>
    </row>
    <row r="232" customFormat="false" ht="15" hidden="false" customHeight="false" outlineLevel="0" collapsed="false">
      <c r="A232" s="23" t="n">
        <v>44046</v>
      </c>
      <c r="B232" s="24" t="n">
        <v>53.400002</v>
      </c>
      <c r="C232" s="24" t="n">
        <v>21.296665</v>
      </c>
      <c r="D232" s="24" t="n">
        <v>20.870001</v>
      </c>
      <c r="E232" s="24" t="n">
        <v>50.290001</v>
      </c>
      <c r="F232" s="24" t="n">
        <v>34.312935</v>
      </c>
      <c r="G232" s="24" t="n">
        <v>20.58</v>
      </c>
      <c r="H232" s="24" t="n">
        <v>21.799999</v>
      </c>
      <c r="I232" s="24" t="n">
        <v>46.32539</v>
      </c>
      <c r="J232" s="24" t="n">
        <v>60.259998</v>
      </c>
    </row>
    <row r="233" customFormat="false" ht="15" hidden="false" customHeight="false" outlineLevel="0" collapsed="false">
      <c r="A233" s="23" t="n">
        <v>44047</v>
      </c>
      <c r="B233" s="24" t="n">
        <v>51.599998</v>
      </c>
      <c r="C233" s="24" t="n">
        <v>21.073334</v>
      </c>
      <c r="D233" s="24" t="n">
        <v>20.85</v>
      </c>
      <c r="E233" s="24" t="n">
        <v>49.900002</v>
      </c>
      <c r="F233" s="24" t="n">
        <v>34.023582</v>
      </c>
      <c r="G233" s="24" t="n">
        <v>20.299999</v>
      </c>
      <c r="H233" s="24" t="n">
        <v>21.780001</v>
      </c>
      <c r="I233" s="24" t="n">
        <v>46.408691</v>
      </c>
      <c r="J233" s="24" t="n">
        <v>60.700001</v>
      </c>
    </row>
    <row r="234" customFormat="false" ht="15" hidden="false" customHeight="false" outlineLevel="0" collapsed="false">
      <c r="A234" s="23" t="n">
        <v>44048</v>
      </c>
      <c r="B234" s="24" t="n">
        <v>53.060001</v>
      </c>
      <c r="C234" s="24" t="n">
        <v>21.166666</v>
      </c>
      <c r="D234" s="24" t="n">
        <v>22.75</v>
      </c>
      <c r="E234" s="24" t="n">
        <v>51.009998</v>
      </c>
      <c r="F234" s="24" t="n">
        <v>34.11338</v>
      </c>
      <c r="G234" s="24" t="n">
        <v>21.93</v>
      </c>
      <c r="H234" s="24" t="n">
        <v>23.18</v>
      </c>
      <c r="I234" s="24" t="n">
        <v>47.001064</v>
      </c>
      <c r="J234" s="24" t="n">
        <v>62.189999</v>
      </c>
    </row>
    <row r="235" customFormat="false" ht="15" hidden="false" customHeight="false" outlineLevel="0" collapsed="false">
      <c r="A235" s="23" t="n">
        <v>44049</v>
      </c>
      <c r="B235" s="24" t="n">
        <v>54.799999</v>
      </c>
      <c r="C235" s="24" t="n">
        <v>21.35</v>
      </c>
      <c r="D235" s="24" t="n">
        <v>23.32</v>
      </c>
      <c r="E235" s="24" t="n">
        <v>51.630001</v>
      </c>
      <c r="F235" s="24" t="n">
        <v>34.472572</v>
      </c>
      <c r="G235" s="24" t="n">
        <v>23.610001</v>
      </c>
      <c r="H235" s="24" t="n">
        <v>23.219999</v>
      </c>
      <c r="I235" s="24" t="n">
        <v>47.093624</v>
      </c>
      <c r="J235" s="24" t="n">
        <v>61.830002</v>
      </c>
    </row>
    <row r="236" customFormat="false" ht="15" hidden="false" customHeight="false" outlineLevel="0" collapsed="false">
      <c r="A236" s="23" t="n">
        <v>44050</v>
      </c>
      <c r="B236" s="24" t="n">
        <v>54.799999</v>
      </c>
      <c r="C236" s="24" t="n">
        <v>20.85</v>
      </c>
      <c r="D236" s="24" t="n">
        <v>23.07</v>
      </c>
      <c r="E236" s="24" t="n">
        <v>50.810001</v>
      </c>
      <c r="F236" s="24" t="n">
        <v>34.412708</v>
      </c>
      <c r="G236" s="24" t="n">
        <v>22.799999</v>
      </c>
      <c r="H236" s="24" t="n">
        <v>22.790001</v>
      </c>
      <c r="I236" s="24" t="n">
        <v>45.723763</v>
      </c>
      <c r="J236" s="24" t="n">
        <v>60.450001</v>
      </c>
    </row>
    <row r="237" customFormat="false" ht="15" hidden="false" customHeight="false" outlineLevel="0" collapsed="false">
      <c r="A237" s="23" t="n">
        <v>44053</v>
      </c>
      <c r="B237" s="24" t="n">
        <v>53.970001</v>
      </c>
      <c r="C237" s="24" t="n">
        <v>20.75</v>
      </c>
      <c r="D237" s="24" t="n">
        <v>23.299999</v>
      </c>
      <c r="E237" s="24" t="n">
        <v>50.91</v>
      </c>
      <c r="F237" s="24" t="n">
        <v>33.903851</v>
      </c>
      <c r="G237" s="24" t="n">
        <v>22.780001</v>
      </c>
      <c r="H237" s="24" t="n">
        <v>23.450001</v>
      </c>
      <c r="I237" s="24" t="n">
        <v>45.446087</v>
      </c>
      <c r="J237" s="24" t="n">
        <v>62.200001</v>
      </c>
    </row>
    <row r="238" customFormat="false" ht="15" hidden="false" customHeight="false" outlineLevel="0" collapsed="false">
      <c r="A238" s="23" t="n">
        <v>44054</v>
      </c>
      <c r="B238" s="24" t="n">
        <v>55.720001</v>
      </c>
      <c r="C238" s="24" t="n">
        <v>20.280001</v>
      </c>
      <c r="D238" s="24" t="n">
        <v>23.959999</v>
      </c>
      <c r="E238" s="24" t="n">
        <v>50.790001</v>
      </c>
      <c r="F238" s="24" t="n">
        <v>34.592304</v>
      </c>
      <c r="G238" s="24" t="n">
        <v>23.690001</v>
      </c>
      <c r="H238" s="24" t="n">
        <v>23.08</v>
      </c>
      <c r="I238" s="24" t="n">
        <v>45.760784</v>
      </c>
      <c r="J238" s="24" t="n">
        <v>60.279999</v>
      </c>
    </row>
    <row r="239" customFormat="false" ht="15" hidden="false" customHeight="false" outlineLevel="0" collapsed="false">
      <c r="A239" s="23" t="n">
        <v>44055</v>
      </c>
      <c r="B239" s="24" t="n">
        <v>54.91</v>
      </c>
      <c r="C239" s="24" t="n">
        <v>20.5</v>
      </c>
      <c r="D239" s="24" t="n">
        <v>24.52</v>
      </c>
      <c r="E239" s="24" t="n">
        <v>50.450001</v>
      </c>
      <c r="F239" s="24" t="n">
        <v>35.061253</v>
      </c>
      <c r="G239" s="24" t="n">
        <v>23.42</v>
      </c>
      <c r="H239" s="24" t="n">
        <v>23.48</v>
      </c>
      <c r="I239" s="24" t="n">
        <v>44.307621</v>
      </c>
      <c r="J239" s="24" t="n">
        <v>61.5</v>
      </c>
    </row>
    <row r="240" customFormat="false" ht="15" hidden="false" customHeight="false" outlineLevel="0" collapsed="false">
      <c r="A240" s="23" t="n">
        <v>44056</v>
      </c>
      <c r="B240" s="24" t="n">
        <v>55.5</v>
      </c>
      <c r="C240" s="24" t="n">
        <v>20.216665</v>
      </c>
      <c r="D240" s="24" t="n">
        <v>25.25</v>
      </c>
      <c r="E240" s="24" t="n">
        <v>49.02</v>
      </c>
      <c r="F240" s="24" t="n">
        <v>35.220894</v>
      </c>
      <c r="G240" s="24" t="n">
        <v>22.030001</v>
      </c>
      <c r="H240" s="24" t="n">
        <v>22.84</v>
      </c>
      <c r="I240" s="24" t="n">
        <v>43.548645</v>
      </c>
      <c r="J240" s="24" t="n">
        <v>60.349998</v>
      </c>
    </row>
    <row r="241" customFormat="false" ht="15" hidden="false" customHeight="false" outlineLevel="0" collapsed="false">
      <c r="A241" s="23" t="n">
        <v>44057</v>
      </c>
      <c r="B241" s="24" t="n">
        <v>55.5</v>
      </c>
      <c r="C241" s="24" t="n">
        <v>20.190001</v>
      </c>
      <c r="D241" s="24" t="n">
        <v>25.15</v>
      </c>
      <c r="E241" s="24" t="n">
        <v>49.580002</v>
      </c>
      <c r="F241" s="24" t="n">
        <v>34.163269</v>
      </c>
      <c r="G241" s="24" t="n">
        <v>22.67</v>
      </c>
      <c r="H241" s="24" t="n">
        <v>22.67</v>
      </c>
      <c r="I241" s="24" t="n">
        <v>44.057716</v>
      </c>
      <c r="J241" s="24" t="n">
        <v>61.349998</v>
      </c>
    </row>
    <row r="242" customFormat="false" ht="15" hidden="false" customHeight="false" outlineLevel="0" collapsed="false">
      <c r="A242" s="23" t="n">
        <v>44060</v>
      </c>
      <c r="B242" s="24" t="n">
        <v>52.869999</v>
      </c>
      <c r="C242" s="24" t="n">
        <v>19.366667</v>
      </c>
      <c r="D242" s="24" t="n">
        <v>25.77</v>
      </c>
      <c r="E242" s="24" t="n">
        <v>47.720001</v>
      </c>
      <c r="F242" s="24" t="n">
        <v>33.04578</v>
      </c>
      <c r="G242" s="24" t="n">
        <v>21.85</v>
      </c>
      <c r="H242" s="24" t="n">
        <v>22.6</v>
      </c>
      <c r="I242" s="24" t="n">
        <v>43.437572</v>
      </c>
      <c r="J242" s="24" t="n">
        <v>62.23</v>
      </c>
    </row>
    <row r="243" customFormat="false" ht="15" hidden="false" customHeight="false" outlineLevel="0" collapsed="false">
      <c r="A243" s="23" t="n">
        <v>44061</v>
      </c>
      <c r="B243" s="24" t="n">
        <v>56.139999</v>
      </c>
      <c r="C243" s="24" t="n">
        <v>20.6</v>
      </c>
      <c r="D243" s="24" t="n">
        <v>25.870001</v>
      </c>
      <c r="E243" s="24" t="n">
        <v>49.599998</v>
      </c>
      <c r="F243" s="24" t="n">
        <v>33.604523</v>
      </c>
      <c r="G243" s="24" t="n">
        <v>21.84</v>
      </c>
      <c r="H243" s="24" t="n">
        <v>23.02</v>
      </c>
      <c r="I243" s="24" t="n">
        <v>44.853714</v>
      </c>
      <c r="J243" s="24" t="n">
        <v>63.060001</v>
      </c>
    </row>
    <row r="244" customFormat="false" ht="15" hidden="false" customHeight="false" outlineLevel="0" collapsed="false">
      <c r="A244" s="23" t="n">
        <v>44062</v>
      </c>
      <c r="B244" s="24" t="n">
        <v>54</v>
      </c>
      <c r="C244" s="24" t="n">
        <v>19.856667</v>
      </c>
      <c r="D244" s="24" t="n">
        <v>25.77</v>
      </c>
      <c r="E244" s="24" t="n">
        <v>49.009998</v>
      </c>
      <c r="F244" s="24" t="n">
        <v>32.676609</v>
      </c>
      <c r="G244" s="24" t="n">
        <v>21.559999</v>
      </c>
      <c r="H244" s="24" t="n">
        <v>22.889999</v>
      </c>
      <c r="I244" s="24" t="n">
        <v>42.956272</v>
      </c>
      <c r="J244" s="24" t="n">
        <v>62.389999</v>
      </c>
    </row>
    <row r="245" customFormat="false" ht="15" hidden="false" customHeight="false" outlineLevel="0" collapsed="false">
      <c r="A245" s="23" t="n">
        <v>44063</v>
      </c>
      <c r="B245" s="24" t="n">
        <v>53.130001</v>
      </c>
      <c r="C245" s="24" t="n">
        <v>20.780001</v>
      </c>
      <c r="D245" s="24" t="n">
        <v>26.18</v>
      </c>
      <c r="E245" s="24" t="n">
        <v>49.939999</v>
      </c>
      <c r="F245" s="24" t="n">
        <v>32.906094</v>
      </c>
      <c r="G245" s="24" t="n">
        <v>22.4</v>
      </c>
      <c r="H245" s="24" t="n">
        <v>22.73</v>
      </c>
      <c r="I245" s="24" t="n">
        <v>43.270969</v>
      </c>
      <c r="J245" s="24" t="n">
        <v>62.950001</v>
      </c>
    </row>
    <row r="246" customFormat="false" ht="15" hidden="false" customHeight="false" outlineLevel="0" collapsed="false">
      <c r="A246" s="23" t="n">
        <v>44064</v>
      </c>
      <c r="B246" s="24" t="n">
        <v>53.200001</v>
      </c>
      <c r="C246" s="24" t="n">
        <v>20.323334</v>
      </c>
      <c r="D246" s="24" t="n">
        <v>26.110001</v>
      </c>
      <c r="E246" s="24" t="n">
        <v>48.970001</v>
      </c>
      <c r="F246" s="24" t="n">
        <v>32.946003</v>
      </c>
      <c r="G246" s="24" t="n">
        <v>22.15</v>
      </c>
      <c r="H246" s="24" t="n">
        <v>22.559999</v>
      </c>
      <c r="I246" s="24" t="n">
        <v>42.761898</v>
      </c>
      <c r="J246" s="24" t="n">
        <v>62.200001</v>
      </c>
    </row>
    <row r="247" customFormat="false" ht="15" hidden="false" customHeight="false" outlineLevel="0" collapsed="false">
      <c r="A247" s="23" t="n">
        <v>44067</v>
      </c>
      <c r="B247" s="24" t="n">
        <v>53</v>
      </c>
      <c r="C247" s="24" t="n">
        <v>20.299999</v>
      </c>
      <c r="D247" s="24" t="n">
        <v>26.58</v>
      </c>
      <c r="E247" s="24" t="n">
        <v>49.040001</v>
      </c>
      <c r="F247" s="24" t="n">
        <v>32.726498</v>
      </c>
      <c r="G247" s="24" t="n">
        <v>22.09</v>
      </c>
      <c r="H247" s="24" t="n">
        <v>22.969999</v>
      </c>
      <c r="I247" s="24" t="n">
        <v>42.447201</v>
      </c>
      <c r="J247" s="24" t="n">
        <v>62.959999</v>
      </c>
    </row>
    <row r="248" customFormat="false" ht="15" hidden="false" customHeight="false" outlineLevel="0" collapsed="false">
      <c r="A248" s="23" t="n">
        <v>44068</v>
      </c>
      <c r="B248" s="24" t="n">
        <v>54</v>
      </c>
      <c r="C248" s="24" t="n">
        <v>20.616667</v>
      </c>
      <c r="D248" s="24" t="n">
        <v>26.129999</v>
      </c>
      <c r="E248" s="24" t="n">
        <v>49.169998</v>
      </c>
      <c r="F248" s="24" t="n">
        <v>32.926048</v>
      </c>
      <c r="G248" s="24" t="n">
        <v>21.629999</v>
      </c>
      <c r="H248" s="24" t="n">
        <v>22.870001</v>
      </c>
      <c r="I248" s="24" t="n">
        <v>42.160271</v>
      </c>
      <c r="J248" s="24" t="n">
        <v>61.619999</v>
      </c>
    </row>
    <row r="249" customFormat="false" ht="15" hidden="false" customHeight="false" outlineLevel="0" collapsed="false">
      <c r="A249" s="23" t="n">
        <v>44069</v>
      </c>
      <c r="B249" s="24" t="n">
        <v>54.169998</v>
      </c>
      <c r="C249" s="24" t="n">
        <v>20.166666</v>
      </c>
      <c r="D249" s="24" t="n">
        <v>26.18</v>
      </c>
      <c r="E249" s="24" t="n">
        <v>48.419998</v>
      </c>
      <c r="F249" s="24" t="n">
        <v>32.048019</v>
      </c>
      <c r="G249" s="24" t="n">
        <v>21.51</v>
      </c>
      <c r="H249" s="24" t="n">
        <v>22.219999</v>
      </c>
      <c r="I249" s="24" t="n">
        <v>41.373528</v>
      </c>
      <c r="J249" s="24" t="n">
        <v>61.75</v>
      </c>
    </row>
    <row r="250" customFormat="false" ht="15" hidden="false" customHeight="false" outlineLevel="0" collapsed="false">
      <c r="A250" s="23" t="n">
        <v>44070</v>
      </c>
      <c r="B250" s="24" t="n">
        <v>54.799999</v>
      </c>
      <c r="C250" s="24" t="n">
        <v>20.093332</v>
      </c>
      <c r="D250" s="24" t="n">
        <v>26.08</v>
      </c>
      <c r="E250" s="24" t="n">
        <v>49.110001</v>
      </c>
      <c r="F250" s="24" t="n">
        <v>32.287483</v>
      </c>
      <c r="G250" s="24" t="n">
        <v>21.5</v>
      </c>
      <c r="H250" s="24" t="n">
        <v>22.15</v>
      </c>
      <c r="I250" s="24" t="n">
        <v>40.836689</v>
      </c>
      <c r="J250" s="24" t="n">
        <v>60.790001</v>
      </c>
    </row>
    <row r="251" customFormat="false" ht="15" hidden="false" customHeight="false" outlineLevel="0" collapsed="false">
      <c r="A251" s="23" t="n">
        <v>44071</v>
      </c>
      <c r="B251" s="24" t="n">
        <v>57.060001</v>
      </c>
      <c r="C251" s="24" t="n">
        <v>20.34</v>
      </c>
      <c r="D251" s="24" t="n">
        <v>26.17</v>
      </c>
      <c r="E251" s="24" t="n">
        <v>50</v>
      </c>
      <c r="F251" s="24" t="n">
        <v>33.135578</v>
      </c>
      <c r="G251" s="24" t="n">
        <v>21.610001</v>
      </c>
      <c r="H251" s="24" t="n">
        <v>22.540001</v>
      </c>
      <c r="I251" s="24" t="n">
        <v>41.466084</v>
      </c>
      <c r="J251" s="24" t="n">
        <v>61.099998</v>
      </c>
    </row>
    <row r="252" customFormat="false" ht="15" hidden="false" customHeight="false" outlineLevel="0" collapsed="false">
      <c r="A252" s="23" t="n">
        <v>44074</v>
      </c>
      <c r="B252" s="24" t="n">
        <v>56.119999</v>
      </c>
      <c r="C252" s="24" t="n">
        <v>19.6</v>
      </c>
      <c r="D252" s="24" t="n">
        <v>25.75</v>
      </c>
      <c r="E252" s="24" t="n">
        <v>48.23</v>
      </c>
      <c r="F252" s="24" t="n">
        <v>32.197685</v>
      </c>
      <c r="G252" s="24" t="n">
        <v>20.82</v>
      </c>
      <c r="H252" s="24" t="n">
        <v>21.889999</v>
      </c>
      <c r="I252" s="24" t="n">
        <v>40.401665</v>
      </c>
      <c r="J252" s="24" t="n">
        <v>59.68</v>
      </c>
    </row>
    <row r="253" customFormat="false" ht="15" hidden="false" customHeight="false" outlineLevel="0" collapsed="false">
      <c r="A253" s="23" t="n">
        <v>44075</v>
      </c>
      <c r="B253" s="24" t="n">
        <v>58.869999</v>
      </c>
      <c r="C253" s="24" t="n">
        <v>20.016666</v>
      </c>
      <c r="D253" s="24" t="n">
        <v>26.09</v>
      </c>
      <c r="E253" s="24" t="n">
        <v>50.400002</v>
      </c>
      <c r="F253" s="24" t="n">
        <v>32.926048</v>
      </c>
      <c r="G253" s="24" t="n">
        <v>22.07</v>
      </c>
      <c r="H253" s="24" t="n">
        <v>22.870001</v>
      </c>
      <c r="I253" s="24" t="n">
        <v>40.901478</v>
      </c>
      <c r="J253" s="24" t="n">
        <v>61.759998</v>
      </c>
    </row>
    <row r="254" customFormat="false" ht="15" hidden="false" customHeight="false" outlineLevel="0" collapsed="false">
      <c r="A254" s="23" t="n">
        <v>44076</v>
      </c>
      <c r="B254" s="24" t="n">
        <v>59.389999</v>
      </c>
      <c r="C254" s="24" t="n">
        <v>19.99</v>
      </c>
      <c r="D254" s="24" t="n">
        <v>25.389999</v>
      </c>
      <c r="E254" s="24" t="n">
        <v>51.049999</v>
      </c>
      <c r="F254" s="24" t="n">
        <v>32.487034</v>
      </c>
      <c r="G254" s="24" t="n">
        <v>21.950001</v>
      </c>
      <c r="H254" s="24" t="n">
        <v>22.799999</v>
      </c>
      <c r="I254" s="24" t="n">
        <v>40.882969</v>
      </c>
      <c r="J254" s="24" t="n">
        <v>61.32</v>
      </c>
    </row>
    <row r="255" customFormat="false" ht="15" hidden="false" customHeight="false" outlineLevel="0" collapsed="false">
      <c r="A255" s="23" t="n">
        <v>44077</v>
      </c>
      <c r="B255" s="24" t="n">
        <v>58.169998</v>
      </c>
      <c r="C255" s="24" t="n">
        <v>19.273333</v>
      </c>
      <c r="D255" s="24" t="n">
        <v>25.1</v>
      </c>
      <c r="E255" s="24" t="n">
        <v>50.689999</v>
      </c>
      <c r="F255" s="24" t="n">
        <v>30.790842</v>
      </c>
      <c r="G255" s="24" t="n">
        <v>21.67</v>
      </c>
      <c r="H255" s="24" t="n">
        <v>22.879999</v>
      </c>
      <c r="I255" s="24" t="n">
        <v>40.63306</v>
      </c>
      <c r="J255" s="24" t="n">
        <v>59.32</v>
      </c>
    </row>
    <row r="256" customFormat="false" ht="15" hidden="false" customHeight="false" outlineLevel="0" collapsed="false">
      <c r="A256" s="23" t="n">
        <v>44078</v>
      </c>
      <c r="B256" s="24" t="n">
        <v>58.830002</v>
      </c>
      <c r="C256" s="24" t="n">
        <v>19.443333</v>
      </c>
      <c r="D256" s="24" t="n">
        <v>25.01</v>
      </c>
      <c r="E256" s="24" t="n">
        <v>50.75</v>
      </c>
      <c r="F256" s="24" t="n">
        <v>30.770887</v>
      </c>
      <c r="G256" s="24" t="n">
        <v>22.25</v>
      </c>
      <c r="H256" s="24" t="n">
        <v>22.92</v>
      </c>
      <c r="I256" s="24" t="n">
        <v>40.799664</v>
      </c>
      <c r="J256" s="24" t="n">
        <v>60.490002</v>
      </c>
    </row>
    <row r="257" customFormat="false" ht="15" hidden="false" customHeight="false" outlineLevel="0" collapsed="false">
      <c r="A257" s="23" t="n">
        <v>44082</v>
      </c>
      <c r="B257" s="24" t="n">
        <v>58.619999</v>
      </c>
      <c r="C257" s="24" t="n">
        <v>19.013332</v>
      </c>
      <c r="D257" s="24" t="n">
        <v>24.43</v>
      </c>
      <c r="E257" s="24" t="n">
        <v>53.73</v>
      </c>
      <c r="F257" s="24" t="n">
        <v>30.900597</v>
      </c>
      <c r="G257" s="24" t="n">
        <v>23.15</v>
      </c>
      <c r="H257" s="24" t="n">
        <v>22.26</v>
      </c>
      <c r="I257" s="24" t="n">
        <v>40.262829</v>
      </c>
      <c r="J257" s="24" t="n">
        <v>59.27</v>
      </c>
    </row>
    <row r="258" customFormat="false" ht="15" hidden="false" customHeight="false" outlineLevel="0" collapsed="false">
      <c r="A258" s="23" t="n">
        <v>44083</v>
      </c>
      <c r="B258" s="24" t="n">
        <v>60.220001</v>
      </c>
      <c r="C258" s="24" t="n">
        <v>19.42</v>
      </c>
      <c r="D258" s="24" t="n">
        <v>24.84</v>
      </c>
      <c r="E258" s="24" t="n">
        <v>54.869999</v>
      </c>
      <c r="F258" s="24" t="n">
        <v>30.840731</v>
      </c>
      <c r="G258" s="24" t="n">
        <v>22.799999</v>
      </c>
      <c r="H258" s="24" t="n">
        <v>22.73</v>
      </c>
      <c r="I258" s="24" t="n">
        <v>40.253571</v>
      </c>
      <c r="J258" s="24" t="n">
        <v>60</v>
      </c>
    </row>
    <row r="259" customFormat="false" ht="15" hidden="false" customHeight="false" outlineLevel="0" collapsed="false">
      <c r="A259" s="23" t="n">
        <v>44084</v>
      </c>
      <c r="B259" s="24" t="n">
        <v>56.959999</v>
      </c>
      <c r="C259" s="24" t="n">
        <v>18.666666</v>
      </c>
      <c r="D259" s="24" t="n">
        <v>24.530001</v>
      </c>
      <c r="E259" s="24" t="n">
        <v>51.919998</v>
      </c>
      <c r="F259" s="24" t="n">
        <v>30.082434</v>
      </c>
      <c r="G259" s="24" t="n">
        <v>22.32</v>
      </c>
      <c r="H259" s="24" t="n">
        <v>22.120001</v>
      </c>
      <c r="I259" s="24" t="n">
        <v>38.874454</v>
      </c>
      <c r="J259" s="24" t="n">
        <v>58.529999</v>
      </c>
    </row>
    <row r="260" customFormat="false" ht="15" hidden="false" customHeight="false" outlineLevel="0" collapsed="false">
      <c r="A260" s="23" t="n">
        <v>44085</v>
      </c>
      <c r="B260" s="24" t="n">
        <v>55.75</v>
      </c>
      <c r="C260" s="24" t="n">
        <v>18.673332</v>
      </c>
      <c r="D260" s="24" t="n">
        <v>24.200001</v>
      </c>
      <c r="E260" s="24" t="n">
        <v>50.540001</v>
      </c>
      <c r="F260" s="24" t="n">
        <v>29.423912</v>
      </c>
      <c r="G260" s="24" t="n">
        <v>21.77</v>
      </c>
      <c r="H260" s="24" t="n">
        <v>21.879999</v>
      </c>
      <c r="I260" s="24" t="n">
        <v>38.337616</v>
      </c>
      <c r="J260" s="24" t="n">
        <v>61.950001</v>
      </c>
    </row>
    <row r="261" customFormat="false" ht="15" hidden="false" customHeight="false" outlineLevel="0" collapsed="false">
      <c r="A261" s="23" t="n">
        <v>44088</v>
      </c>
      <c r="B261" s="24" t="n">
        <v>57.169998</v>
      </c>
      <c r="C261" s="24" t="n">
        <v>19.576666</v>
      </c>
      <c r="D261" s="24" t="n">
        <v>24.719999</v>
      </c>
      <c r="E261" s="24" t="n">
        <v>52.830002</v>
      </c>
      <c r="F261" s="24" t="n">
        <v>31.080193</v>
      </c>
      <c r="G261" s="24" t="n">
        <v>22.700001</v>
      </c>
      <c r="H261" s="24" t="n">
        <v>21.68</v>
      </c>
      <c r="I261" s="24" t="n">
        <v>38.763386</v>
      </c>
      <c r="J261" s="24" t="n">
        <v>61.91</v>
      </c>
    </row>
    <row r="262" customFormat="false" ht="15" hidden="false" customHeight="false" outlineLevel="0" collapsed="false">
      <c r="A262" s="23" t="n">
        <v>44089</v>
      </c>
      <c r="B262" s="24" t="n">
        <v>57.549999</v>
      </c>
      <c r="C262" s="24" t="n">
        <v>19.093332</v>
      </c>
      <c r="D262" s="24" t="n">
        <v>25.5</v>
      </c>
      <c r="E262" s="24" t="n">
        <v>52.82</v>
      </c>
      <c r="F262" s="24" t="n">
        <v>31.189947</v>
      </c>
      <c r="G262" s="24" t="n">
        <v>22.59</v>
      </c>
      <c r="H262" s="24" t="n">
        <v>21.67</v>
      </c>
      <c r="I262" s="24" t="n">
        <v>38.208035</v>
      </c>
      <c r="J262" s="24" t="n">
        <v>62.599998</v>
      </c>
    </row>
    <row r="263" customFormat="false" ht="15" hidden="false" customHeight="false" outlineLevel="0" collapsed="false">
      <c r="A263" s="23" t="n">
        <v>44090</v>
      </c>
      <c r="B263" s="24" t="n">
        <v>56.709999</v>
      </c>
      <c r="C263" s="24" t="n">
        <v>19.006666</v>
      </c>
      <c r="D263" s="24" t="n">
        <v>25.07</v>
      </c>
      <c r="E263" s="24" t="n">
        <v>52.68</v>
      </c>
      <c r="F263" s="24" t="n">
        <v>30.810799</v>
      </c>
      <c r="G263" s="24" t="n">
        <v>23.120001</v>
      </c>
      <c r="H263" s="24" t="n">
        <v>21.73</v>
      </c>
      <c r="I263" s="24" t="n">
        <v>38.180267</v>
      </c>
      <c r="J263" s="24" t="n">
        <v>60.970001</v>
      </c>
    </row>
    <row r="264" customFormat="false" ht="15" hidden="false" customHeight="false" outlineLevel="0" collapsed="false">
      <c r="A264" s="23" t="n">
        <v>44091</v>
      </c>
      <c r="B264" s="24" t="n">
        <v>56.200001</v>
      </c>
      <c r="C264" s="24" t="n">
        <v>18.893333</v>
      </c>
      <c r="D264" s="24" t="n">
        <v>25.41</v>
      </c>
      <c r="E264" s="24" t="n">
        <v>52.950001</v>
      </c>
      <c r="F264" s="24" t="n">
        <v>30.042524</v>
      </c>
      <c r="G264" s="24" t="n">
        <v>22.91</v>
      </c>
      <c r="H264" s="24" t="n">
        <v>22.15</v>
      </c>
      <c r="I264" s="24" t="n">
        <v>38.189522</v>
      </c>
      <c r="J264" s="24" t="n">
        <v>62.080002</v>
      </c>
    </row>
    <row r="265" customFormat="false" ht="15" hidden="false" customHeight="false" outlineLevel="0" collapsed="false">
      <c r="A265" s="23" t="n">
        <v>44092</v>
      </c>
      <c r="B265" s="24" t="n">
        <v>54.5</v>
      </c>
      <c r="C265" s="24" t="n">
        <v>18.709999</v>
      </c>
      <c r="D265" s="24" t="n">
        <v>25.309999</v>
      </c>
      <c r="E265" s="24" t="n">
        <v>52.700001</v>
      </c>
      <c r="F265" s="24" t="n">
        <v>29.334114</v>
      </c>
      <c r="G265" s="24" t="n">
        <v>22.07</v>
      </c>
      <c r="H265" s="24" t="n">
        <v>21.65</v>
      </c>
      <c r="I265" s="24" t="n">
        <v>37.15287</v>
      </c>
      <c r="J265" s="24" t="n">
        <v>61.66</v>
      </c>
    </row>
    <row r="266" customFormat="false" ht="15" hidden="false" customHeight="false" outlineLevel="0" collapsed="false">
      <c r="A266" s="23" t="n">
        <v>44095</v>
      </c>
      <c r="B266" s="24" t="n">
        <v>54.099998</v>
      </c>
      <c r="C266" s="24" t="n">
        <v>18.700001</v>
      </c>
      <c r="D266" s="24" t="n">
        <v>24.780001</v>
      </c>
      <c r="E266" s="24" t="n">
        <v>50.810001</v>
      </c>
      <c r="F266" s="24" t="n">
        <v>29.423912</v>
      </c>
      <c r="G266" s="24" t="n">
        <v>21.440001</v>
      </c>
      <c r="H266" s="24" t="n">
        <v>20.9</v>
      </c>
      <c r="I266" s="24" t="n">
        <v>37.930359</v>
      </c>
      <c r="J266" s="24" t="n">
        <v>60</v>
      </c>
    </row>
    <row r="267" customFormat="false" ht="15" hidden="false" customHeight="false" outlineLevel="0" collapsed="false">
      <c r="A267" s="23" t="n">
        <v>44096</v>
      </c>
      <c r="B267" s="24" t="n">
        <v>55.150002</v>
      </c>
      <c r="C267" s="24" t="n">
        <v>19.120001</v>
      </c>
      <c r="D267" s="24" t="n">
        <v>24.33</v>
      </c>
      <c r="E267" s="24" t="n">
        <v>51.740002</v>
      </c>
      <c r="F267" s="24" t="n">
        <v>29.074697</v>
      </c>
      <c r="G267" s="24" t="n">
        <v>21.360001</v>
      </c>
      <c r="H267" s="24" t="n">
        <v>20.799999</v>
      </c>
      <c r="I267" s="24" t="n">
        <v>37.86557</v>
      </c>
      <c r="J267" s="24" t="n">
        <v>57.810001</v>
      </c>
    </row>
    <row r="268" customFormat="false" ht="15" hidden="false" customHeight="false" outlineLevel="0" collapsed="false">
      <c r="A268" s="23" t="n">
        <v>44097</v>
      </c>
      <c r="B268" s="24" t="n">
        <v>53.650002</v>
      </c>
      <c r="C268" s="24" t="n">
        <v>18.629999</v>
      </c>
      <c r="D268" s="24" t="n">
        <v>24.26</v>
      </c>
      <c r="E268" s="24" t="n">
        <v>58.970001</v>
      </c>
      <c r="F268" s="24" t="n">
        <v>28.805304</v>
      </c>
      <c r="G268" s="24" t="n">
        <v>20.809999</v>
      </c>
      <c r="H268" s="24" t="n">
        <v>20.23</v>
      </c>
      <c r="I268" s="24" t="n">
        <v>37.467567</v>
      </c>
      <c r="J268" s="24" t="n">
        <v>59.099998</v>
      </c>
    </row>
    <row r="269" customFormat="false" ht="15" hidden="false" customHeight="false" outlineLevel="0" collapsed="false">
      <c r="A269" s="23" t="n">
        <v>44098</v>
      </c>
      <c r="B269" s="24" t="n">
        <v>53.900002</v>
      </c>
      <c r="C269" s="24" t="n">
        <v>19.656666</v>
      </c>
      <c r="D269" s="24" t="n">
        <v>24.43</v>
      </c>
      <c r="E269" s="24" t="n">
        <v>57.990002</v>
      </c>
      <c r="F269" s="24" t="n">
        <v>28.815281</v>
      </c>
      <c r="G269" s="24" t="n">
        <v>20.74</v>
      </c>
      <c r="H269" s="24" t="n">
        <v>20.4</v>
      </c>
      <c r="I269" s="24" t="n">
        <v>38.161755</v>
      </c>
      <c r="J269" s="24" t="n">
        <v>58.66</v>
      </c>
    </row>
    <row r="270" customFormat="false" ht="15" hidden="false" customHeight="false" outlineLevel="0" collapsed="false">
      <c r="A270" s="23" t="n">
        <v>44099</v>
      </c>
      <c r="B270" s="24" t="n">
        <v>54.540001</v>
      </c>
      <c r="C270" s="24" t="n">
        <v>19.116667</v>
      </c>
      <c r="D270" s="24" t="n">
        <v>24.549999</v>
      </c>
      <c r="E270" s="24" t="n">
        <v>59</v>
      </c>
      <c r="F270" s="24" t="n">
        <v>28.974922</v>
      </c>
      <c r="G270" s="24" t="n">
        <v>20.120001</v>
      </c>
      <c r="H270" s="24" t="n">
        <v>20.129999</v>
      </c>
      <c r="I270" s="24" t="n">
        <v>38.263569</v>
      </c>
      <c r="J270" s="24" t="n">
        <v>59.25</v>
      </c>
    </row>
    <row r="271" customFormat="false" ht="15" hidden="false" customHeight="false" outlineLevel="0" collapsed="false">
      <c r="A271" s="23" t="n">
        <v>44102</v>
      </c>
      <c r="B271" s="24" t="n">
        <v>52.900002</v>
      </c>
      <c r="C271" s="24" t="n">
        <v>18.336666</v>
      </c>
      <c r="D271" s="24" t="n">
        <v>23.809999</v>
      </c>
      <c r="E271" s="24" t="n">
        <v>56.650002</v>
      </c>
      <c r="F271" s="24" t="n">
        <v>27.737701</v>
      </c>
      <c r="G271" s="24" t="n">
        <v>19.42</v>
      </c>
      <c r="H271" s="24" t="n">
        <v>19.629999</v>
      </c>
      <c r="I271" s="24" t="n">
        <v>36.828918</v>
      </c>
      <c r="J271" s="24" t="n">
        <v>58.779999</v>
      </c>
    </row>
    <row r="272" customFormat="false" ht="15" hidden="false" customHeight="false" outlineLevel="0" collapsed="false">
      <c r="A272" s="23" t="n">
        <v>44103</v>
      </c>
      <c r="B272" s="24" t="n">
        <v>53.349998</v>
      </c>
      <c r="C272" s="24" t="n">
        <v>17.883333</v>
      </c>
      <c r="D272" s="24" t="n">
        <v>24</v>
      </c>
      <c r="E272" s="24" t="n">
        <v>56.790001</v>
      </c>
      <c r="F272" s="24" t="n">
        <v>28.306423</v>
      </c>
      <c r="G272" s="24" t="n">
        <v>19.209999</v>
      </c>
      <c r="H272" s="24" t="n">
        <v>19.309999</v>
      </c>
      <c r="I272" s="24" t="n">
        <v>36.458683</v>
      </c>
      <c r="J272" s="24" t="n">
        <v>58.349998</v>
      </c>
    </row>
    <row r="273" customFormat="false" ht="15" hidden="false" customHeight="false" outlineLevel="0" collapsed="false">
      <c r="A273" s="23" t="n">
        <v>44104</v>
      </c>
      <c r="B273" s="24" t="n">
        <v>54.34</v>
      </c>
      <c r="C273" s="24" t="n">
        <v>18.336666</v>
      </c>
      <c r="D273" s="24" t="n">
        <v>23.799999</v>
      </c>
      <c r="E273" s="24" t="n">
        <v>56.669998</v>
      </c>
      <c r="F273" s="24" t="n">
        <v>28.326378</v>
      </c>
      <c r="G273" s="24" t="n">
        <v>19.43</v>
      </c>
      <c r="H273" s="24" t="n">
        <v>19.610001</v>
      </c>
      <c r="I273" s="24" t="n">
        <v>36.53273</v>
      </c>
      <c r="J273" s="24" t="n">
        <v>59.110001</v>
      </c>
    </row>
    <row r="274" customFormat="false" ht="15" hidden="false" customHeight="false" outlineLevel="0" collapsed="false">
      <c r="A274" s="23" t="n">
        <v>44105</v>
      </c>
      <c r="B274" s="24" t="n">
        <v>55.43</v>
      </c>
      <c r="C274" s="24" t="n">
        <v>18.176666</v>
      </c>
      <c r="D274" s="24" t="n">
        <v>24.32</v>
      </c>
      <c r="E274" s="24" t="n">
        <v>57.119999</v>
      </c>
      <c r="F274" s="24" t="n">
        <v>29.264273</v>
      </c>
      <c r="G274" s="24" t="n">
        <v>20.549999</v>
      </c>
      <c r="H274" s="24" t="n">
        <v>19.85</v>
      </c>
      <c r="I274" s="24" t="n">
        <v>38.041431</v>
      </c>
      <c r="J274" s="24" t="n">
        <v>58.860001</v>
      </c>
    </row>
    <row r="275" customFormat="false" ht="15" hidden="false" customHeight="false" outlineLevel="0" collapsed="false">
      <c r="A275" s="23" t="n">
        <v>44106</v>
      </c>
      <c r="B275" s="24" t="n">
        <v>54.93</v>
      </c>
      <c r="C275" s="24" t="n">
        <v>17.753332</v>
      </c>
      <c r="D275" s="24" t="n">
        <v>23.879999</v>
      </c>
      <c r="E275" s="24" t="n">
        <v>56.700001</v>
      </c>
      <c r="F275" s="24" t="n">
        <v>28.52593</v>
      </c>
      <c r="G275" s="24" t="n">
        <v>20.26</v>
      </c>
      <c r="H275" s="24" t="n">
        <v>19.02</v>
      </c>
      <c r="I275" s="24" t="n">
        <v>37.86557</v>
      </c>
      <c r="J275" s="24" t="n">
        <v>58.32</v>
      </c>
    </row>
    <row r="276" customFormat="false" ht="15" hidden="false" customHeight="false" outlineLevel="0" collapsed="false">
      <c r="A276" s="23" t="n">
        <v>44109</v>
      </c>
      <c r="B276" s="24" t="n">
        <v>56.290001</v>
      </c>
      <c r="C276" s="24" t="n">
        <v>18.583332</v>
      </c>
      <c r="D276" s="24" t="n">
        <v>24.27</v>
      </c>
      <c r="E276" s="24" t="n">
        <v>57.25</v>
      </c>
      <c r="F276" s="24" t="n">
        <v>28.396221</v>
      </c>
      <c r="G276" s="24" t="n">
        <v>20.68</v>
      </c>
      <c r="H276" s="24" t="n">
        <v>20.030001</v>
      </c>
      <c r="I276" s="24" t="n">
        <v>38.041431</v>
      </c>
      <c r="J276" s="24" t="n">
        <v>59.59</v>
      </c>
    </row>
    <row r="277" customFormat="false" ht="15" hidden="false" customHeight="false" outlineLevel="0" collapsed="false">
      <c r="A277" s="23" t="n">
        <v>44110</v>
      </c>
      <c r="B277" s="24" t="n">
        <v>55.369999</v>
      </c>
      <c r="C277" s="24" t="n">
        <v>17.92</v>
      </c>
      <c r="D277" s="24" t="n">
        <v>24.059999</v>
      </c>
      <c r="E277" s="24" t="n">
        <v>57.310001</v>
      </c>
      <c r="F277" s="24" t="n">
        <v>28.476042</v>
      </c>
      <c r="G277" s="24" t="n">
        <v>21.15</v>
      </c>
      <c r="H277" s="24" t="n">
        <v>19.93</v>
      </c>
      <c r="I277" s="24" t="n">
        <v>38.115475</v>
      </c>
      <c r="J277" s="24" t="n">
        <v>58.619999</v>
      </c>
    </row>
    <row r="278" customFormat="false" ht="15" hidden="false" customHeight="false" outlineLevel="0" collapsed="false">
      <c r="A278" s="23" t="n">
        <v>44111</v>
      </c>
      <c r="B278" s="24" t="n">
        <v>55.580002</v>
      </c>
      <c r="C278" s="24" t="n">
        <v>17.903334</v>
      </c>
      <c r="D278" s="24" t="n">
        <v>24.440001</v>
      </c>
      <c r="E278" s="24" t="n">
        <v>56.889999</v>
      </c>
      <c r="F278" s="24" t="n">
        <v>27.667856</v>
      </c>
      <c r="G278" s="24" t="n">
        <v>21.6</v>
      </c>
      <c r="H278" s="24" t="n">
        <v>19.790001</v>
      </c>
      <c r="I278" s="24" t="n">
        <v>37.661942</v>
      </c>
      <c r="J278" s="24" t="n">
        <v>60.169998</v>
      </c>
    </row>
    <row r="279" customFormat="false" ht="15" hidden="false" customHeight="false" outlineLevel="0" collapsed="false">
      <c r="A279" s="23" t="n">
        <v>44112</v>
      </c>
      <c r="B279" s="24" t="n">
        <v>56.799999</v>
      </c>
      <c r="C279" s="24" t="n">
        <v>18.283333</v>
      </c>
      <c r="D279" s="24" t="n">
        <v>24.889999</v>
      </c>
      <c r="E279" s="24" t="n">
        <v>59.959999</v>
      </c>
      <c r="F279" s="24" t="n">
        <v>27.637924</v>
      </c>
      <c r="G279" s="24" t="n">
        <v>21.59</v>
      </c>
      <c r="H279" s="24" t="n">
        <v>20.440001</v>
      </c>
      <c r="I279" s="24" t="n">
        <v>37.902592</v>
      </c>
      <c r="J279" s="24" t="n">
        <v>61.290001</v>
      </c>
    </row>
    <row r="280" customFormat="false" ht="15" hidden="false" customHeight="false" outlineLevel="0" collapsed="false">
      <c r="A280" s="23" t="n">
        <v>44113</v>
      </c>
      <c r="B280" s="24" t="n">
        <v>54.860001</v>
      </c>
      <c r="C280" s="24" t="n">
        <v>18.236666</v>
      </c>
      <c r="D280" s="24" t="n">
        <v>24.18</v>
      </c>
      <c r="E280" s="24" t="n">
        <v>60.150002</v>
      </c>
      <c r="F280" s="24" t="n">
        <v>27.139046</v>
      </c>
      <c r="G280" s="24" t="n">
        <v>21.360001</v>
      </c>
      <c r="H280" s="24" t="n">
        <v>19.799999</v>
      </c>
      <c r="I280" s="24" t="n">
        <v>37.263943</v>
      </c>
      <c r="J280" s="24" t="n">
        <v>61.599998</v>
      </c>
    </row>
    <row r="281" customFormat="false" ht="15" hidden="false" customHeight="false" outlineLevel="0" collapsed="false">
      <c r="A281" s="23" t="n">
        <v>44117</v>
      </c>
      <c r="B281" s="24" t="n">
        <v>54.75</v>
      </c>
      <c r="C281" s="24" t="n">
        <v>18.266666</v>
      </c>
      <c r="D281" s="24" t="n">
        <v>24.66</v>
      </c>
      <c r="E281" s="24" t="n">
        <v>59.369999</v>
      </c>
      <c r="F281" s="24" t="n">
        <v>27.737701</v>
      </c>
      <c r="G281" s="24" t="n">
        <v>21.15</v>
      </c>
      <c r="H281" s="24" t="n">
        <v>20.129999</v>
      </c>
      <c r="I281" s="24" t="n">
        <v>37.680454</v>
      </c>
      <c r="J281" s="24" t="n">
        <v>62.139999</v>
      </c>
    </row>
    <row r="282" customFormat="false" ht="15" hidden="false" customHeight="false" outlineLevel="0" collapsed="false">
      <c r="A282" s="23" t="n">
        <v>44118</v>
      </c>
      <c r="B282" s="24" t="n">
        <v>54.709999</v>
      </c>
      <c r="C282" s="24" t="n">
        <v>18.793333</v>
      </c>
      <c r="D282" s="24" t="n">
        <v>24.450001</v>
      </c>
      <c r="E282" s="24" t="n">
        <v>61.689999</v>
      </c>
      <c r="F282" s="24" t="n">
        <v>27.188932</v>
      </c>
      <c r="G282" s="24" t="n">
        <v>21.17</v>
      </c>
      <c r="H282" s="24" t="n">
        <v>19.969999</v>
      </c>
      <c r="I282" s="24" t="n">
        <v>37.856312</v>
      </c>
      <c r="J282" s="24" t="n">
        <v>63</v>
      </c>
    </row>
    <row r="283" customFormat="false" ht="15" hidden="false" customHeight="false" outlineLevel="0" collapsed="false">
      <c r="A283" s="23" t="n">
        <v>44119</v>
      </c>
      <c r="B283" s="24" t="n">
        <v>53.790001</v>
      </c>
      <c r="C283" s="24" t="n">
        <v>18.536667</v>
      </c>
      <c r="D283" s="24" t="n">
        <v>24.82</v>
      </c>
      <c r="E283" s="24" t="n">
        <v>62.380001</v>
      </c>
      <c r="F283" s="24" t="n">
        <v>27.757656</v>
      </c>
      <c r="G283" s="24" t="n">
        <v>21.200001</v>
      </c>
      <c r="H283" s="24" t="n">
        <v>19.75</v>
      </c>
      <c r="I283" s="24" t="n">
        <v>37.310219</v>
      </c>
      <c r="J283" s="24" t="n">
        <v>62.470001</v>
      </c>
    </row>
    <row r="284" customFormat="false" ht="15" hidden="false" customHeight="false" outlineLevel="0" collapsed="false">
      <c r="A284" s="23" t="n">
        <v>44120</v>
      </c>
      <c r="B284" s="24" t="n">
        <v>53.73</v>
      </c>
      <c r="C284" s="24" t="n">
        <v>18.113333</v>
      </c>
      <c r="D284" s="24" t="n">
        <v>25.809999</v>
      </c>
      <c r="E284" s="24" t="n">
        <v>62.27</v>
      </c>
      <c r="F284" s="24" t="n">
        <v>27.298687</v>
      </c>
      <c r="G284" s="24" t="n">
        <v>20.9</v>
      </c>
      <c r="H284" s="24" t="n">
        <v>19.33</v>
      </c>
      <c r="I284" s="24" t="n">
        <v>37.00478</v>
      </c>
      <c r="J284" s="24" t="n">
        <v>62.240002</v>
      </c>
    </row>
    <row r="285" customFormat="false" ht="15" hidden="false" customHeight="false" outlineLevel="0" collapsed="false">
      <c r="A285" s="23" t="n">
        <v>44123</v>
      </c>
      <c r="B285" s="24" t="n">
        <v>54.630001</v>
      </c>
      <c r="C285" s="24" t="n">
        <v>18.713333</v>
      </c>
      <c r="D285" s="24" t="n">
        <v>25.18</v>
      </c>
      <c r="E285" s="24" t="n">
        <v>61.68</v>
      </c>
      <c r="F285" s="24" t="n">
        <v>27.438374</v>
      </c>
      <c r="G285" s="24" t="n">
        <v>21.059999</v>
      </c>
      <c r="H285" s="24" t="n">
        <v>19.52</v>
      </c>
      <c r="I285" s="24" t="n">
        <v>37.837803</v>
      </c>
      <c r="J285" s="24" t="n">
        <v>61.950001</v>
      </c>
    </row>
    <row r="286" customFormat="false" ht="15" hidden="false" customHeight="false" outlineLevel="0" collapsed="false">
      <c r="A286" s="23" t="n">
        <v>44124</v>
      </c>
      <c r="B286" s="24" t="n">
        <v>55.099998</v>
      </c>
      <c r="C286" s="24" t="n">
        <v>19.299999</v>
      </c>
      <c r="D286" s="24" t="n">
        <v>25.5</v>
      </c>
      <c r="E286" s="24" t="n">
        <v>64.470001</v>
      </c>
      <c r="F286" s="24" t="n">
        <v>27.338596</v>
      </c>
      <c r="G286" s="24" t="n">
        <v>21.18</v>
      </c>
      <c r="H286" s="24" t="n">
        <v>20.18</v>
      </c>
      <c r="I286" s="24" t="n">
        <v>38.800407</v>
      </c>
      <c r="J286" s="24" t="n">
        <v>61.84</v>
      </c>
    </row>
    <row r="287" customFormat="false" ht="15" hidden="false" customHeight="false" outlineLevel="0" collapsed="false">
      <c r="A287" s="23" t="n">
        <v>44125</v>
      </c>
      <c r="B287" s="24" t="n">
        <v>54.18</v>
      </c>
      <c r="C287" s="24" t="n">
        <v>19.123333</v>
      </c>
      <c r="D287" s="24" t="n">
        <v>25.200001</v>
      </c>
      <c r="E287" s="24" t="n">
        <v>62.889999</v>
      </c>
      <c r="F287" s="24" t="n">
        <v>26.520435</v>
      </c>
      <c r="G287" s="24" t="n">
        <v>21.969999</v>
      </c>
      <c r="H287" s="24" t="n">
        <v>20.16</v>
      </c>
      <c r="I287" s="24" t="n">
        <v>39.624176</v>
      </c>
      <c r="J287" s="24" t="n">
        <v>62.849998</v>
      </c>
    </row>
    <row r="288" customFormat="false" ht="15" hidden="false" customHeight="false" outlineLevel="0" collapsed="false">
      <c r="A288" s="23" t="n">
        <v>44126</v>
      </c>
      <c r="B288" s="24" t="n">
        <v>52.57</v>
      </c>
      <c r="C288" s="24" t="n">
        <v>18.690001</v>
      </c>
      <c r="D288" s="24" t="n">
        <v>25.35</v>
      </c>
      <c r="E288" s="24" t="n">
        <v>64</v>
      </c>
      <c r="F288" s="24" t="n">
        <v>25.961691</v>
      </c>
      <c r="G288" s="24" t="n">
        <v>21.59</v>
      </c>
      <c r="H288" s="24" t="n">
        <v>20.84</v>
      </c>
      <c r="I288" s="24" t="n">
        <v>39.050316</v>
      </c>
      <c r="J288" s="24" t="n">
        <v>63.099998</v>
      </c>
    </row>
    <row r="289" customFormat="false" ht="15" hidden="false" customHeight="false" outlineLevel="0" collapsed="false">
      <c r="A289" s="23" t="n">
        <v>44127</v>
      </c>
      <c r="B289" s="24" t="n">
        <v>61</v>
      </c>
      <c r="C289" s="24" t="n">
        <v>18.266666</v>
      </c>
      <c r="D289" s="24" t="n">
        <v>25.5</v>
      </c>
      <c r="E289" s="24" t="n">
        <v>62.560001</v>
      </c>
      <c r="F289" s="24" t="n">
        <v>25.831982</v>
      </c>
      <c r="G289" s="24" t="n">
        <v>21.209999</v>
      </c>
      <c r="H289" s="24" t="n">
        <v>20.57</v>
      </c>
      <c r="I289" s="24" t="n">
        <v>38.189522</v>
      </c>
      <c r="J289" s="24" t="n">
        <v>63.450001</v>
      </c>
    </row>
    <row r="290" customFormat="false" ht="15" hidden="false" customHeight="false" outlineLevel="0" collapsed="false">
      <c r="A290" s="23" t="n">
        <v>44130</v>
      </c>
      <c r="B290" s="24" t="n">
        <v>62.16</v>
      </c>
      <c r="C290" s="24" t="n">
        <v>18.326666</v>
      </c>
      <c r="D290" s="24" t="n">
        <v>25.200001</v>
      </c>
      <c r="E290" s="24" t="n">
        <v>62.889999</v>
      </c>
      <c r="F290" s="24" t="n">
        <v>26.071444</v>
      </c>
      <c r="G290" s="24" t="n">
        <v>20.299999</v>
      </c>
      <c r="H290" s="24" t="n">
        <v>20.25</v>
      </c>
      <c r="I290" s="24" t="n">
        <v>38.328362</v>
      </c>
      <c r="J290" s="24" t="n">
        <v>62.5</v>
      </c>
    </row>
    <row r="291" customFormat="false" ht="15" hidden="false" customHeight="false" outlineLevel="0" collapsed="false">
      <c r="A291" s="23" t="n">
        <v>44131</v>
      </c>
      <c r="B291" s="24" t="n">
        <v>61.25</v>
      </c>
      <c r="C291" s="24" t="n">
        <v>17.583332</v>
      </c>
      <c r="D291" s="24" t="n">
        <v>24.780001</v>
      </c>
      <c r="E291" s="24" t="n">
        <v>64.57</v>
      </c>
      <c r="F291" s="24" t="n">
        <v>25.79207</v>
      </c>
      <c r="G291" s="24" t="n">
        <v>20.09</v>
      </c>
      <c r="H291" s="24" t="n">
        <v>19.879999</v>
      </c>
      <c r="I291" s="24" t="n">
        <v>38.133987</v>
      </c>
      <c r="J291" s="24" t="n">
        <v>62.529999</v>
      </c>
    </row>
    <row r="292" customFormat="false" ht="15" hidden="false" customHeight="false" outlineLevel="0" collapsed="false">
      <c r="A292" s="23" t="n">
        <v>44132</v>
      </c>
      <c r="B292" s="24" t="n">
        <v>60.200001</v>
      </c>
      <c r="C292" s="24" t="n">
        <v>17.110001</v>
      </c>
      <c r="D292" s="24" t="n">
        <v>23.950001</v>
      </c>
      <c r="E292" s="24" t="n">
        <v>62.549999</v>
      </c>
      <c r="F292" s="24" t="n">
        <v>24.664602</v>
      </c>
      <c r="G292" s="24" t="n">
        <v>19.02</v>
      </c>
      <c r="H292" s="24" t="n">
        <v>18.67</v>
      </c>
      <c r="I292" s="24" t="n">
        <v>37.273197</v>
      </c>
      <c r="J292" s="24" t="n">
        <v>60.259998</v>
      </c>
    </row>
    <row r="293" customFormat="false" ht="15" hidden="false" customHeight="false" outlineLevel="0" collapsed="false">
      <c r="A293" s="23" t="n">
        <v>44133</v>
      </c>
      <c r="B293" s="24" t="n">
        <v>62.130001</v>
      </c>
      <c r="C293" s="24" t="n">
        <v>17.66</v>
      </c>
      <c r="D293" s="24" t="n">
        <v>23.84</v>
      </c>
      <c r="E293" s="24" t="n">
        <v>62.560001</v>
      </c>
      <c r="F293" s="24" t="n">
        <v>24.63467</v>
      </c>
      <c r="G293" s="24" t="n">
        <v>19.1</v>
      </c>
      <c r="H293" s="24" t="n">
        <v>19.290001</v>
      </c>
      <c r="I293" s="24" t="n">
        <v>36.893707</v>
      </c>
      <c r="J293" s="24" t="n">
        <v>62.02</v>
      </c>
    </row>
    <row r="294" customFormat="false" ht="15" hidden="false" customHeight="false" outlineLevel="0" collapsed="false">
      <c r="A294" s="23" t="n">
        <v>44134</v>
      </c>
      <c r="B294" s="24" t="n">
        <v>60.299999</v>
      </c>
      <c r="C294" s="24" t="n">
        <v>17.016666</v>
      </c>
      <c r="D294" s="24" t="n">
        <v>23.790001</v>
      </c>
      <c r="E294" s="24" t="n">
        <v>60.68</v>
      </c>
      <c r="F294" s="24" t="n">
        <v>23.177942</v>
      </c>
      <c r="G294" s="24" t="n">
        <v>18.969999</v>
      </c>
      <c r="H294" s="24" t="n">
        <v>18.940001</v>
      </c>
      <c r="I294" s="24" t="n">
        <v>36.62529</v>
      </c>
      <c r="J294" s="24" t="n">
        <v>60.549999</v>
      </c>
    </row>
    <row r="295" customFormat="false" ht="15" hidden="false" customHeight="false" outlineLevel="0" collapsed="false">
      <c r="A295" s="23" t="n">
        <v>44138</v>
      </c>
      <c r="B295" s="24" t="n">
        <v>59.799999</v>
      </c>
      <c r="C295" s="24" t="n">
        <v>16.99</v>
      </c>
      <c r="D295" s="24" t="n">
        <v>24.219999</v>
      </c>
      <c r="E295" s="24" t="n">
        <v>63.77</v>
      </c>
      <c r="F295" s="24" t="n">
        <v>23.716732</v>
      </c>
      <c r="G295" s="24" t="n">
        <v>18.65</v>
      </c>
      <c r="H295" s="24" t="n">
        <v>19.65</v>
      </c>
      <c r="I295" s="24" t="n">
        <v>36.162498</v>
      </c>
      <c r="J295" s="24" t="n">
        <v>63.34</v>
      </c>
    </row>
    <row r="296" customFormat="false" ht="15" hidden="false" customHeight="false" outlineLevel="0" collapsed="false">
      <c r="A296" s="23" t="n">
        <v>44139</v>
      </c>
      <c r="B296" s="24" t="n">
        <v>64.089996</v>
      </c>
      <c r="C296" s="24" t="n">
        <v>18.033333</v>
      </c>
      <c r="D296" s="24" t="n">
        <v>23.889999</v>
      </c>
      <c r="E296" s="24" t="n">
        <v>66.300003</v>
      </c>
      <c r="F296" s="24" t="n">
        <v>24.894087</v>
      </c>
      <c r="G296" s="24" t="n">
        <v>19.389999</v>
      </c>
      <c r="H296" s="24" t="n">
        <v>19.719999</v>
      </c>
      <c r="I296" s="24" t="n">
        <v>37.00478</v>
      </c>
      <c r="J296" s="24" t="n">
        <v>61.580002</v>
      </c>
    </row>
    <row r="297" customFormat="false" ht="15" hidden="false" customHeight="false" outlineLevel="0" collapsed="false">
      <c r="A297" s="23" t="n">
        <v>44140</v>
      </c>
      <c r="B297" s="24" t="n">
        <v>64.139999</v>
      </c>
      <c r="C297" s="24" t="n">
        <v>18.870001</v>
      </c>
      <c r="D297" s="24" t="n">
        <v>24.059999</v>
      </c>
      <c r="E297" s="24" t="n">
        <v>67.879997</v>
      </c>
      <c r="F297" s="24" t="n">
        <v>25.203394</v>
      </c>
      <c r="G297" s="24" t="n">
        <v>20.709999</v>
      </c>
      <c r="H297" s="24" t="n">
        <v>19.889999</v>
      </c>
      <c r="I297" s="24" t="n">
        <v>38.365383</v>
      </c>
      <c r="J297" s="24" t="n">
        <v>62.549999</v>
      </c>
    </row>
    <row r="298" customFormat="false" ht="15" hidden="false" customHeight="false" outlineLevel="0" collapsed="false">
      <c r="A298" s="23" t="n">
        <v>44141</v>
      </c>
      <c r="B298" s="24" t="n">
        <v>63.209999</v>
      </c>
      <c r="C298" s="24" t="n">
        <v>18.873333</v>
      </c>
      <c r="D298" s="24" t="n">
        <v>23.780001</v>
      </c>
      <c r="E298" s="24" t="n">
        <v>68</v>
      </c>
      <c r="F298" s="24" t="n">
        <v>24.96393</v>
      </c>
      <c r="G298" s="24" t="n">
        <v>21.5</v>
      </c>
      <c r="H298" s="24" t="n">
        <v>19.75</v>
      </c>
      <c r="I298" s="24" t="n">
        <v>38.559757</v>
      </c>
      <c r="J298" s="24" t="n">
        <v>63.189999</v>
      </c>
    </row>
    <row r="299" customFormat="false" ht="15" hidden="false" customHeight="false" outlineLevel="0" collapsed="false">
      <c r="A299" s="23" t="n">
        <v>44144</v>
      </c>
      <c r="B299" s="24" t="n">
        <v>64.949997</v>
      </c>
      <c r="C299" s="24" t="n">
        <v>17.950001</v>
      </c>
      <c r="D299" s="24" t="n">
        <v>23.889999</v>
      </c>
      <c r="E299" s="24" t="n">
        <v>66.099998</v>
      </c>
      <c r="F299" s="24" t="n">
        <v>25.213369</v>
      </c>
      <c r="G299" s="24" t="n">
        <v>24.52</v>
      </c>
      <c r="H299" s="24" t="n">
        <v>21.610001</v>
      </c>
      <c r="I299" s="24" t="n">
        <v>38.43943</v>
      </c>
      <c r="J299" s="24" t="n">
        <v>63.189999</v>
      </c>
    </row>
    <row r="300" customFormat="false" ht="15" hidden="false" customHeight="false" outlineLevel="0" collapsed="false">
      <c r="A300" s="23" t="n">
        <v>44145</v>
      </c>
      <c r="B300" s="24" t="n">
        <v>65.699997</v>
      </c>
      <c r="C300" s="24" t="n">
        <v>18.033333</v>
      </c>
      <c r="D300" s="24" t="n">
        <v>23.190001</v>
      </c>
      <c r="E300" s="24" t="n">
        <v>66.32</v>
      </c>
      <c r="F300" s="24" t="n">
        <v>25.053728</v>
      </c>
      <c r="G300" s="24" t="n">
        <v>24.040001</v>
      </c>
      <c r="H300" s="24" t="n">
        <v>23.08</v>
      </c>
      <c r="I300" s="24" t="n">
        <v>39.587151</v>
      </c>
      <c r="J300" s="24" t="n">
        <v>63.16</v>
      </c>
    </row>
    <row r="301" customFormat="false" ht="15" hidden="false" customHeight="false" outlineLevel="0" collapsed="false">
      <c r="A301" s="23" t="n">
        <v>44146</v>
      </c>
      <c r="B301" s="24" t="n">
        <v>65.489998</v>
      </c>
      <c r="C301" s="24" t="n">
        <v>18.466665</v>
      </c>
      <c r="D301" s="24" t="n">
        <v>23.09</v>
      </c>
      <c r="E301" s="24" t="n">
        <v>66.220001</v>
      </c>
      <c r="F301" s="24" t="n">
        <v>24.365274</v>
      </c>
      <c r="G301" s="24" t="n">
        <v>23.629999</v>
      </c>
      <c r="H301" s="24" t="n">
        <v>22.879999</v>
      </c>
      <c r="I301" s="24" t="n">
        <v>38.698593</v>
      </c>
      <c r="J301" s="24" t="n">
        <v>63.599998</v>
      </c>
    </row>
    <row r="302" customFormat="false" ht="15" hidden="false" customHeight="false" outlineLevel="0" collapsed="false">
      <c r="A302" s="23" t="n">
        <v>44147</v>
      </c>
      <c r="B302" s="24" t="n">
        <v>64.150002</v>
      </c>
      <c r="C302" s="24" t="n">
        <v>17.926666</v>
      </c>
      <c r="D302" s="24" t="n">
        <v>23.48</v>
      </c>
      <c r="E302" s="24" t="n">
        <v>65.449997</v>
      </c>
      <c r="F302" s="24" t="n">
        <v>23.876373</v>
      </c>
      <c r="G302" s="24" t="n">
        <v>22.99</v>
      </c>
      <c r="H302" s="24" t="n">
        <v>21.91</v>
      </c>
      <c r="I302" s="24" t="n">
        <v>37.53236</v>
      </c>
      <c r="J302" s="24" t="n">
        <v>62.669998</v>
      </c>
    </row>
    <row r="303" customFormat="false" ht="15" hidden="false" customHeight="false" outlineLevel="0" collapsed="false">
      <c r="A303" s="23" t="n">
        <v>44148</v>
      </c>
      <c r="B303" s="24" t="n">
        <v>67.989998</v>
      </c>
      <c r="C303" s="24" t="n">
        <v>17.9</v>
      </c>
      <c r="D303" s="24" t="n">
        <v>24.48</v>
      </c>
      <c r="E303" s="24" t="n">
        <v>67</v>
      </c>
      <c r="F303" s="24" t="n">
        <v>23.996103</v>
      </c>
      <c r="G303" s="24" t="n">
        <v>22.450001</v>
      </c>
      <c r="H303" s="24" t="n">
        <v>22.629999</v>
      </c>
      <c r="I303" s="24" t="n">
        <v>38.874454</v>
      </c>
      <c r="J303" s="24" t="n">
        <v>63.25</v>
      </c>
    </row>
    <row r="304" customFormat="false" ht="15" hidden="false" customHeight="false" outlineLevel="0" collapsed="false">
      <c r="A304" s="23" t="n">
        <v>44151</v>
      </c>
      <c r="B304" s="24" t="n">
        <v>70.419998</v>
      </c>
      <c r="C304" s="24" t="n">
        <v>17.799999</v>
      </c>
      <c r="D304" s="24" t="n">
        <v>24.23</v>
      </c>
      <c r="E304" s="24" t="n">
        <v>66.82</v>
      </c>
      <c r="F304" s="24" t="n">
        <v>23.527159</v>
      </c>
      <c r="G304" s="24" t="n">
        <v>22.719999</v>
      </c>
      <c r="H304" s="24" t="n">
        <v>23.290001</v>
      </c>
      <c r="I304" s="24" t="n">
        <v>39.707478</v>
      </c>
      <c r="J304" s="24" t="n">
        <v>64.919998</v>
      </c>
    </row>
    <row r="305" customFormat="false" ht="15" hidden="false" customHeight="false" outlineLevel="0" collapsed="false">
      <c r="A305" s="23" t="n">
        <v>44152</v>
      </c>
      <c r="B305" s="24" t="n">
        <v>69.220001</v>
      </c>
      <c r="C305" s="24" t="n">
        <v>17.85</v>
      </c>
      <c r="D305" s="24" t="n">
        <v>23.799999</v>
      </c>
      <c r="E305" s="24" t="n">
        <v>66</v>
      </c>
      <c r="F305" s="24" t="n">
        <v>23.816507</v>
      </c>
      <c r="G305" s="24" t="n">
        <v>23.09</v>
      </c>
      <c r="H305" s="24" t="n">
        <v>23.690001</v>
      </c>
      <c r="I305" s="24" t="n">
        <v>39.77227</v>
      </c>
      <c r="J305" s="24" t="n">
        <v>66.970001</v>
      </c>
    </row>
    <row r="306" customFormat="false" ht="15" hidden="false" customHeight="false" outlineLevel="0" collapsed="false">
      <c r="A306" s="23" t="n">
        <v>44153</v>
      </c>
      <c r="B306" s="24" t="n">
        <v>68.699997</v>
      </c>
      <c r="C306" s="24" t="n">
        <v>18.016666</v>
      </c>
      <c r="D306" s="24" t="n">
        <v>23.799999</v>
      </c>
      <c r="E306" s="24" t="n">
        <v>64.489998</v>
      </c>
      <c r="F306" s="24" t="n">
        <v>24.335342</v>
      </c>
      <c r="G306" s="24" t="n">
        <v>22.120001</v>
      </c>
      <c r="H306" s="24" t="n">
        <v>23.549999</v>
      </c>
      <c r="I306" s="24" t="n">
        <v>38.633804</v>
      </c>
      <c r="J306" s="24" t="n">
        <v>66.449997</v>
      </c>
    </row>
    <row r="307" customFormat="false" ht="15" hidden="false" customHeight="false" outlineLevel="0" collapsed="false">
      <c r="A307" s="23" t="n">
        <v>44154</v>
      </c>
      <c r="B307" s="24" t="n">
        <v>69.209999</v>
      </c>
      <c r="C307" s="24" t="n">
        <v>18.440001</v>
      </c>
      <c r="D307" s="24" t="n">
        <v>23.360001</v>
      </c>
      <c r="E307" s="24" t="n">
        <v>65.480003</v>
      </c>
      <c r="F307" s="24" t="n">
        <v>24.205633</v>
      </c>
      <c r="G307" s="24" t="n">
        <v>22</v>
      </c>
      <c r="H307" s="24" t="n">
        <v>23.82</v>
      </c>
      <c r="I307" s="24" t="n">
        <v>38.606033</v>
      </c>
      <c r="J307" s="24" t="n">
        <v>67.720001</v>
      </c>
    </row>
    <row r="308" customFormat="false" ht="15" hidden="false" customHeight="false" outlineLevel="0" collapsed="false">
      <c r="A308" s="23" t="n">
        <v>44158</v>
      </c>
      <c r="B308" s="24" t="n">
        <v>71.879997</v>
      </c>
      <c r="C308" s="24" t="n">
        <v>18.030001</v>
      </c>
      <c r="D308" s="24" t="n">
        <v>23.43</v>
      </c>
      <c r="E308" s="24" t="n">
        <v>65.360001</v>
      </c>
      <c r="F308" s="24" t="n">
        <v>23.646889</v>
      </c>
      <c r="G308" s="24" t="n">
        <v>21.93</v>
      </c>
      <c r="H308" s="24" t="n">
        <v>25.1</v>
      </c>
      <c r="I308" s="24" t="n">
        <v>38.892967</v>
      </c>
      <c r="J308" s="24" t="n">
        <v>71.290001</v>
      </c>
    </row>
    <row r="309" customFormat="false" ht="15" hidden="false" customHeight="false" outlineLevel="0" collapsed="false">
      <c r="A309" s="23" t="n">
        <v>44159</v>
      </c>
      <c r="B309" s="24" t="n">
        <v>71.93</v>
      </c>
      <c r="C309" s="24" t="n">
        <v>18.566666</v>
      </c>
      <c r="D309" s="24" t="n">
        <v>23.530001</v>
      </c>
      <c r="E309" s="24" t="n">
        <v>65.599998</v>
      </c>
      <c r="F309" s="24" t="n">
        <v>23.656866</v>
      </c>
      <c r="G309" s="24" t="n">
        <v>23.5</v>
      </c>
      <c r="H309" s="24" t="n">
        <v>26.219999</v>
      </c>
      <c r="I309" s="24" t="n">
        <v>39.809292</v>
      </c>
      <c r="J309" s="24" t="n">
        <v>74.800003</v>
      </c>
    </row>
    <row r="310" customFormat="false" ht="15" hidden="false" customHeight="false" outlineLevel="0" collapsed="false">
      <c r="A310" s="23" t="n">
        <v>44160</v>
      </c>
      <c r="B310" s="24" t="n">
        <v>71.519997</v>
      </c>
      <c r="C310" s="24" t="n">
        <v>18.870001</v>
      </c>
      <c r="D310" s="24" t="n">
        <v>23.34</v>
      </c>
      <c r="E310" s="24" t="n">
        <v>65.75</v>
      </c>
      <c r="F310" s="24" t="n">
        <v>23.597</v>
      </c>
      <c r="G310" s="24" t="n">
        <v>23.74</v>
      </c>
      <c r="H310" s="24" t="n">
        <v>26.25</v>
      </c>
      <c r="I310" s="24" t="n">
        <v>40.540501</v>
      </c>
      <c r="J310" s="24" t="n">
        <v>75.5</v>
      </c>
    </row>
    <row r="311" customFormat="false" ht="15" hidden="false" customHeight="false" outlineLevel="0" collapsed="false">
      <c r="A311" s="23" t="n">
        <v>44161</v>
      </c>
      <c r="B311" s="24" t="n">
        <v>71.199997</v>
      </c>
      <c r="C311" s="24" t="n">
        <v>19</v>
      </c>
      <c r="D311" s="24" t="n">
        <v>24.09</v>
      </c>
      <c r="E311" s="24" t="n">
        <v>65.440002</v>
      </c>
      <c r="F311" s="24" t="n">
        <v>23.646889</v>
      </c>
      <c r="G311" s="24" t="n">
        <v>23.440001</v>
      </c>
      <c r="H311" s="24" t="n">
        <v>25.82</v>
      </c>
      <c r="I311" s="24" t="n">
        <v>40.947758</v>
      </c>
      <c r="J311" s="24" t="n">
        <v>76.57</v>
      </c>
    </row>
    <row r="312" customFormat="false" ht="15" hidden="false" customHeight="false" outlineLevel="0" collapsed="false">
      <c r="A312" s="23" t="n">
        <v>44162</v>
      </c>
      <c r="B312" s="24" t="n">
        <v>71</v>
      </c>
      <c r="C312" s="24" t="n">
        <v>18.966665</v>
      </c>
      <c r="D312" s="24" t="n">
        <v>25.01</v>
      </c>
      <c r="E312" s="24" t="n">
        <v>66.440002</v>
      </c>
      <c r="F312" s="24" t="n">
        <v>23.587023</v>
      </c>
      <c r="G312" s="24" t="n">
        <v>23.5</v>
      </c>
      <c r="H312" s="24" t="n">
        <v>25.5</v>
      </c>
      <c r="I312" s="24" t="n">
        <v>41.133209</v>
      </c>
      <c r="J312" s="24" t="n">
        <v>78.440002</v>
      </c>
    </row>
    <row r="313" customFormat="false" ht="15" hidden="false" customHeight="false" outlineLevel="0" collapsed="false">
      <c r="A313" s="23" t="n">
        <v>44165</v>
      </c>
      <c r="B313" s="24" t="n">
        <v>69.449997</v>
      </c>
      <c r="C313" s="24" t="n">
        <v>18.709999</v>
      </c>
      <c r="D313" s="24" t="n">
        <v>25.01</v>
      </c>
      <c r="E313" s="24" t="n">
        <v>67.220001</v>
      </c>
      <c r="F313" s="24" t="n">
        <v>22.878614</v>
      </c>
      <c r="G313" s="24" t="n">
        <v>22.67</v>
      </c>
      <c r="H313" s="24" t="n">
        <v>24.9</v>
      </c>
      <c r="I313" s="24" t="n">
        <v>40.23737</v>
      </c>
      <c r="J313" s="24" t="n">
        <v>78</v>
      </c>
    </row>
    <row r="314" customFormat="false" ht="15" hidden="false" customHeight="false" outlineLevel="0" collapsed="false">
      <c r="A314" s="23" t="n">
        <v>44166</v>
      </c>
      <c r="B314" s="24" t="n">
        <v>69.160004</v>
      </c>
      <c r="C314" s="24" t="n">
        <v>18.926666</v>
      </c>
      <c r="D314" s="24" t="n">
        <v>25.559999</v>
      </c>
      <c r="E314" s="24" t="n">
        <v>65.449997</v>
      </c>
      <c r="F314" s="24" t="n">
        <v>22.93848</v>
      </c>
      <c r="G314" s="24" t="n">
        <v>24.040001</v>
      </c>
      <c r="H314" s="24" t="n">
        <v>25.6</v>
      </c>
      <c r="I314" s="24" t="n">
        <v>40.859741</v>
      </c>
      <c r="J314" s="24" t="n">
        <v>81.25</v>
      </c>
    </row>
    <row r="315" customFormat="false" ht="15" hidden="false" customHeight="false" outlineLevel="0" collapsed="false">
      <c r="A315" s="23" t="n">
        <v>44167</v>
      </c>
      <c r="B315" s="24" t="n">
        <v>70.849998</v>
      </c>
      <c r="C315" s="24" t="n">
        <v>19.866667</v>
      </c>
      <c r="D315" s="24" t="n">
        <v>24.91</v>
      </c>
      <c r="E315" s="24" t="n">
        <v>65.57</v>
      </c>
      <c r="F315" s="24" t="n">
        <v>22.968412</v>
      </c>
      <c r="G315" s="24" t="n">
        <v>24.4</v>
      </c>
      <c r="H315" s="24" t="n">
        <v>25.91</v>
      </c>
      <c r="I315" s="24" t="n">
        <v>41.453827</v>
      </c>
      <c r="J315" s="24" t="n">
        <v>79.839996</v>
      </c>
    </row>
    <row r="316" customFormat="false" ht="15" hidden="false" customHeight="false" outlineLevel="0" collapsed="false">
      <c r="A316" s="23" t="n">
        <v>44168</v>
      </c>
      <c r="B316" s="24" t="n">
        <v>69.410004</v>
      </c>
      <c r="C316" s="24" t="n">
        <v>19.629999</v>
      </c>
      <c r="D316" s="24" t="n">
        <v>24.23</v>
      </c>
      <c r="E316" s="24" t="n">
        <v>68.089996</v>
      </c>
      <c r="F316" s="24" t="n">
        <v>23.597</v>
      </c>
      <c r="G316" s="24" t="n">
        <v>25.15</v>
      </c>
      <c r="H316" s="24" t="n">
        <v>26.639999</v>
      </c>
      <c r="I316" s="24" t="n">
        <v>41.774441</v>
      </c>
      <c r="J316" s="24" t="n">
        <v>78.959999</v>
      </c>
    </row>
    <row r="317" customFormat="false" ht="15" hidden="false" customHeight="false" outlineLevel="0" collapsed="false">
      <c r="A317" s="23" t="n">
        <v>44169</v>
      </c>
      <c r="B317" s="24" t="n">
        <v>70.900002</v>
      </c>
      <c r="C317" s="24" t="n">
        <v>19.59</v>
      </c>
      <c r="D317" s="24" t="n">
        <v>24.18</v>
      </c>
      <c r="E317" s="24" t="n">
        <v>67.019997</v>
      </c>
      <c r="F317" s="24" t="n">
        <v>25.253281</v>
      </c>
      <c r="G317" s="24" t="n">
        <v>24.76</v>
      </c>
      <c r="H317" s="24" t="n">
        <v>27.530001</v>
      </c>
      <c r="I317" s="24" t="n">
        <v>41.548126</v>
      </c>
      <c r="J317" s="24" t="n">
        <v>81.980003</v>
      </c>
    </row>
    <row r="318" customFormat="false" ht="15" hidden="false" customHeight="false" outlineLevel="0" collapsed="false">
      <c r="A318" s="23" t="n">
        <v>44172</v>
      </c>
      <c r="B318" s="24" t="n">
        <v>70.190002</v>
      </c>
      <c r="C318" s="24" t="n">
        <v>19.486666</v>
      </c>
      <c r="D318" s="24" t="n">
        <v>24.309999</v>
      </c>
      <c r="E318" s="24" t="n">
        <v>64.959999</v>
      </c>
      <c r="F318" s="24" t="n">
        <v>25.38299</v>
      </c>
      <c r="G318" s="24" t="n">
        <v>24.9</v>
      </c>
      <c r="H318" s="24" t="n">
        <v>27</v>
      </c>
      <c r="I318" s="24" t="n">
        <v>40.642853</v>
      </c>
      <c r="J318" s="24" t="n">
        <v>82.949997</v>
      </c>
    </row>
    <row r="319" customFormat="false" ht="15" hidden="false" customHeight="false" outlineLevel="0" collapsed="false">
      <c r="A319" s="23" t="n">
        <v>44173</v>
      </c>
      <c r="B319" s="24" t="n">
        <v>70.139999</v>
      </c>
      <c r="C319" s="24" t="n">
        <v>19.373333</v>
      </c>
      <c r="D319" s="24" t="n">
        <v>23.870001</v>
      </c>
      <c r="E319" s="24" t="n">
        <v>65.959999</v>
      </c>
      <c r="F319" s="24" t="n">
        <v>25.38299</v>
      </c>
      <c r="G319" s="24" t="n">
        <v>24.49</v>
      </c>
      <c r="H319" s="24" t="n">
        <v>26.66</v>
      </c>
      <c r="I319" s="24" t="n">
        <v>40.407108</v>
      </c>
      <c r="J319" s="24" t="n">
        <v>82.900002</v>
      </c>
    </row>
    <row r="320" customFormat="false" ht="15" hidden="false" customHeight="false" outlineLevel="0" collapsed="false">
      <c r="A320" s="23" t="n">
        <v>44174</v>
      </c>
      <c r="B320" s="24" t="n">
        <v>69.949997</v>
      </c>
      <c r="C320" s="24" t="n">
        <v>18.883333</v>
      </c>
      <c r="D320" s="24" t="n">
        <v>23.719999</v>
      </c>
      <c r="E320" s="24" t="n">
        <v>63.869999</v>
      </c>
      <c r="F320" s="24" t="n">
        <v>24.285454</v>
      </c>
      <c r="G320" s="24" t="n">
        <v>24.84</v>
      </c>
      <c r="H320" s="24" t="n">
        <v>26.940001</v>
      </c>
      <c r="I320" s="24" t="n">
        <v>39.963902</v>
      </c>
      <c r="J320" s="24" t="n">
        <v>82.699997</v>
      </c>
    </row>
    <row r="321" customFormat="false" ht="15" hidden="false" customHeight="false" outlineLevel="0" collapsed="false">
      <c r="A321" s="23" t="n">
        <v>44175</v>
      </c>
      <c r="B321" s="24" t="n">
        <v>69.599998</v>
      </c>
      <c r="C321" s="24" t="n">
        <v>19.403334</v>
      </c>
      <c r="D321" s="24" t="n">
        <v>23.809999</v>
      </c>
      <c r="E321" s="24" t="n">
        <v>63.529999</v>
      </c>
      <c r="F321" s="24" t="n">
        <v>24.924021</v>
      </c>
      <c r="G321" s="24" t="n">
        <v>25.950001</v>
      </c>
      <c r="H321" s="24" t="n">
        <v>27.82</v>
      </c>
      <c r="I321" s="24" t="n">
        <v>41.91589</v>
      </c>
      <c r="J321" s="24" t="n">
        <v>85</v>
      </c>
    </row>
    <row r="322" customFormat="false" ht="15" hidden="false" customHeight="false" outlineLevel="0" collapsed="false">
      <c r="A322" s="23" t="n">
        <v>44176</v>
      </c>
      <c r="B322" s="24" t="n">
        <v>69.610001</v>
      </c>
      <c r="C322" s="24" t="n">
        <v>19.613333</v>
      </c>
      <c r="D322" s="24" t="n">
        <v>23.82</v>
      </c>
      <c r="E322" s="24" t="n">
        <v>63.700001</v>
      </c>
      <c r="F322" s="24" t="n">
        <v>23.557091</v>
      </c>
      <c r="G322" s="24" t="n">
        <v>25.02</v>
      </c>
      <c r="H322" s="24" t="n">
        <v>27.57</v>
      </c>
      <c r="I322" s="24" t="n">
        <v>42.472256</v>
      </c>
      <c r="J322" s="24" t="n">
        <v>84.860001</v>
      </c>
    </row>
    <row r="323" customFormat="false" ht="15" hidden="false" customHeight="false" outlineLevel="0" collapsed="false">
      <c r="A323" s="23" t="n">
        <v>44179</v>
      </c>
      <c r="B323" s="24" t="n">
        <v>70.18</v>
      </c>
      <c r="C323" s="24" t="n">
        <v>19.426666</v>
      </c>
      <c r="D323" s="24" t="n">
        <v>23.950001</v>
      </c>
      <c r="E323" s="24" t="n">
        <v>63.290001</v>
      </c>
      <c r="F323" s="24" t="n">
        <v>23.457314</v>
      </c>
      <c r="G323" s="24" t="n">
        <v>25.059999</v>
      </c>
      <c r="H323" s="24" t="n">
        <v>27.620001</v>
      </c>
      <c r="I323" s="24" t="n">
        <v>42.293087</v>
      </c>
      <c r="J323" s="24" t="n">
        <v>83.550003</v>
      </c>
    </row>
    <row r="324" customFormat="false" ht="15" hidden="false" customHeight="false" outlineLevel="0" collapsed="false">
      <c r="A324" s="23" t="n">
        <v>44180</v>
      </c>
      <c r="B324" s="24" t="n">
        <v>70.419998</v>
      </c>
      <c r="C324" s="24" t="n">
        <v>19.626665</v>
      </c>
      <c r="D324" s="24" t="n">
        <v>24.4</v>
      </c>
      <c r="E324" s="24" t="n">
        <v>64.699997</v>
      </c>
      <c r="F324" s="24" t="n">
        <v>25.213369</v>
      </c>
      <c r="G324" s="24" t="n">
        <v>25.059999</v>
      </c>
      <c r="H324" s="24" t="n">
        <v>27.85</v>
      </c>
      <c r="I324" s="24" t="n">
        <v>42.019619</v>
      </c>
      <c r="J324" s="24" t="n">
        <v>84.5</v>
      </c>
    </row>
    <row r="325" customFormat="false" ht="15" hidden="false" customHeight="false" outlineLevel="0" collapsed="false">
      <c r="A325" s="23" t="n">
        <v>44181</v>
      </c>
      <c r="B325" s="24" t="n">
        <v>70.839996</v>
      </c>
      <c r="C325" s="24" t="n">
        <v>20.183332</v>
      </c>
      <c r="D325" s="24" t="n">
        <v>24.75</v>
      </c>
      <c r="E325" s="24" t="n">
        <v>65.959999</v>
      </c>
      <c r="F325" s="24" t="n">
        <v>25.562586</v>
      </c>
      <c r="G325" s="24" t="n">
        <v>25.299999</v>
      </c>
      <c r="H325" s="24" t="n">
        <v>28.190001</v>
      </c>
      <c r="I325" s="24" t="n">
        <v>42.575981</v>
      </c>
      <c r="J325" s="24" t="n">
        <v>86.220001</v>
      </c>
    </row>
    <row r="326" customFormat="false" ht="15" hidden="false" customHeight="false" outlineLevel="0" collapsed="false">
      <c r="A326" s="23" t="n">
        <v>44182</v>
      </c>
      <c r="B326" s="24" t="n">
        <v>70.220001</v>
      </c>
      <c r="C326" s="24" t="n">
        <v>20.15</v>
      </c>
      <c r="D326" s="24" t="n">
        <v>25.01</v>
      </c>
      <c r="E326" s="24" t="n">
        <v>67.129997</v>
      </c>
      <c r="F326" s="24" t="n">
        <v>26.141287</v>
      </c>
      <c r="G326" s="24" t="n">
        <v>24.91</v>
      </c>
      <c r="H326" s="24" t="n">
        <v>28.24</v>
      </c>
      <c r="I326" s="24" t="n">
        <v>42.189358</v>
      </c>
      <c r="J326" s="24" t="n">
        <v>87.199997</v>
      </c>
    </row>
    <row r="327" customFormat="false" ht="15" hidden="false" customHeight="false" outlineLevel="0" collapsed="false">
      <c r="A327" s="23" t="n">
        <v>44183</v>
      </c>
      <c r="B327" s="24" t="n">
        <v>68.440002</v>
      </c>
      <c r="C327" s="24" t="n">
        <v>19.933332</v>
      </c>
      <c r="D327" s="24" t="n">
        <v>25.639999</v>
      </c>
      <c r="E327" s="24" t="n">
        <v>66.709999</v>
      </c>
      <c r="F327" s="24" t="n">
        <v>25.472788</v>
      </c>
      <c r="G327" s="24" t="n">
        <v>24.370001</v>
      </c>
      <c r="H327" s="24" t="n">
        <v>28.1</v>
      </c>
      <c r="I327" s="24" t="n">
        <v>41.708431</v>
      </c>
      <c r="J327" s="24" t="n">
        <v>87.800003</v>
      </c>
    </row>
    <row r="328" customFormat="false" ht="15" hidden="false" customHeight="false" outlineLevel="0" collapsed="false">
      <c r="A328" s="23" t="n">
        <v>44186</v>
      </c>
      <c r="B328" s="24" t="n">
        <v>67.959999</v>
      </c>
      <c r="C328" s="24" t="n">
        <v>19.666666</v>
      </c>
      <c r="D328" s="24" t="n">
        <v>24.92</v>
      </c>
      <c r="E328" s="24" t="n">
        <v>65.739998</v>
      </c>
      <c r="F328" s="24" t="n">
        <v>24.874132</v>
      </c>
      <c r="G328" s="24" t="n">
        <v>23.799999</v>
      </c>
      <c r="H328" s="24" t="n">
        <v>27.02</v>
      </c>
      <c r="I328" s="24" t="n">
        <v>41.218079</v>
      </c>
      <c r="J328" s="24" t="n">
        <v>86.860001</v>
      </c>
    </row>
    <row r="329" customFormat="false" ht="15" hidden="false" customHeight="false" outlineLevel="0" collapsed="false">
      <c r="A329" s="23" t="n">
        <v>44187</v>
      </c>
      <c r="B329" s="24" t="n">
        <v>67.900002</v>
      </c>
      <c r="C329" s="24" t="n">
        <v>20.093332</v>
      </c>
      <c r="D329" s="24" t="n">
        <v>25.68</v>
      </c>
      <c r="E329" s="24" t="n">
        <v>64.879997</v>
      </c>
      <c r="F329" s="24" t="n">
        <v>24.824244</v>
      </c>
      <c r="G329" s="24" t="n">
        <v>23.24</v>
      </c>
      <c r="H329" s="24" t="n">
        <v>27.280001</v>
      </c>
      <c r="I329" s="24" t="n">
        <v>40.444828</v>
      </c>
      <c r="J329" s="24" t="n">
        <v>86.940002</v>
      </c>
    </row>
    <row r="330" customFormat="false" ht="15" hidden="false" customHeight="false" outlineLevel="0" collapsed="false">
      <c r="A330" s="23" t="n">
        <v>44188</v>
      </c>
      <c r="B330" s="24" t="n">
        <v>67.459999</v>
      </c>
      <c r="C330" s="24" t="n">
        <v>19.996666</v>
      </c>
      <c r="D330" s="24" t="n">
        <v>25.139999</v>
      </c>
      <c r="E330" s="24" t="n">
        <v>66.599998</v>
      </c>
      <c r="F330" s="24" t="n">
        <v>25.103617</v>
      </c>
      <c r="G330" s="24" t="n">
        <v>23.74</v>
      </c>
      <c r="H330" s="24" t="n">
        <v>27.950001</v>
      </c>
      <c r="I330" s="24" t="n">
        <v>40.623997</v>
      </c>
      <c r="J330" s="24" t="n">
        <v>87.360001</v>
      </c>
    </row>
    <row r="331" customFormat="false" ht="15" hidden="false" customHeight="false" outlineLevel="0" collapsed="false">
      <c r="A331" s="23" t="n">
        <v>44193</v>
      </c>
      <c r="B331" s="24" t="n">
        <v>68.599998</v>
      </c>
      <c r="C331" s="24" t="n">
        <v>20.5</v>
      </c>
      <c r="D331" s="24" t="n">
        <v>25.440001</v>
      </c>
      <c r="E331" s="24" t="n">
        <v>66.699997</v>
      </c>
      <c r="F331" s="24" t="n">
        <v>26.0016</v>
      </c>
      <c r="G331" s="24" t="n">
        <v>24.26</v>
      </c>
      <c r="H331" s="24" t="n">
        <v>28.18</v>
      </c>
      <c r="I331" s="24" t="n">
        <v>40.793732</v>
      </c>
      <c r="J331" s="24" t="n">
        <v>87.309998</v>
      </c>
    </row>
    <row r="332" customFormat="false" ht="15" hidden="false" customHeight="false" outlineLevel="0" collapsed="false">
      <c r="A332" s="23" t="n">
        <v>44194</v>
      </c>
      <c r="B332" s="24" t="n">
        <v>68.139999</v>
      </c>
      <c r="C332" s="24" t="n">
        <v>20.606667</v>
      </c>
      <c r="D332" s="24" t="n">
        <v>25.57</v>
      </c>
      <c r="E332" s="24" t="n">
        <v>67.059998</v>
      </c>
      <c r="F332" s="24" t="n">
        <v>26.151264</v>
      </c>
      <c r="G332" s="24" t="n">
        <v>23.360001</v>
      </c>
      <c r="H332" s="24" t="n">
        <v>28.27</v>
      </c>
      <c r="I332" s="24" t="n">
        <v>42.236507</v>
      </c>
      <c r="J332" s="24" t="n">
        <v>87.07</v>
      </c>
    </row>
    <row r="333" customFormat="false" ht="15" hidden="false" customHeight="false" outlineLevel="0" collapsed="false">
      <c r="A333" s="23" t="n">
        <v>44195</v>
      </c>
      <c r="B333" s="24" t="n">
        <v>68.18</v>
      </c>
      <c r="C333" s="24" t="n">
        <v>20.66</v>
      </c>
      <c r="D333" s="24" t="n">
        <v>26.549999</v>
      </c>
      <c r="E333" s="24" t="n">
        <v>68.949997</v>
      </c>
      <c r="F333" s="24" t="n">
        <v>26.231085</v>
      </c>
      <c r="G333" s="24" t="n">
        <v>23.530001</v>
      </c>
      <c r="H333" s="24" t="n">
        <v>28.34</v>
      </c>
      <c r="I333" s="24" t="n">
        <v>41.585842</v>
      </c>
      <c r="J333" s="24" t="n">
        <v>87.449997</v>
      </c>
    </row>
    <row r="334" customFormat="false" ht="15" hidden="false" customHeight="false" outlineLevel="0" collapsed="false">
      <c r="A334" s="23" t="n">
        <v>44200</v>
      </c>
      <c r="B334" s="24" t="n">
        <v>68</v>
      </c>
      <c r="C334" s="24" t="n">
        <v>20.326666</v>
      </c>
      <c r="D334" s="24" t="n">
        <v>26.049999</v>
      </c>
      <c r="E334" s="24" t="n">
        <v>67.779999</v>
      </c>
      <c r="F334" s="24" t="n">
        <v>25.442856</v>
      </c>
      <c r="G334" s="24" t="n">
        <v>22.549999</v>
      </c>
      <c r="H334" s="24" t="n">
        <v>28.91</v>
      </c>
      <c r="I334" s="24" t="n">
        <v>40.293949</v>
      </c>
      <c r="J334" s="24" t="n">
        <v>91.459999</v>
      </c>
    </row>
    <row r="335" customFormat="false" ht="15" hidden="false" customHeight="false" outlineLevel="0" collapsed="false">
      <c r="A335" s="23" t="n">
        <v>44201</v>
      </c>
      <c r="B335" s="24" t="n">
        <v>66.959999</v>
      </c>
      <c r="C335" s="24" t="n">
        <v>20.366667</v>
      </c>
      <c r="D335" s="24" t="n">
        <v>25.870001</v>
      </c>
      <c r="E335" s="24" t="n">
        <v>67.379997</v>
      </c>
      <c r="F335" s="24" t="n">
        <v>24.93</v>
      </c>
      <c r="G335" s="24" t="n">
        <v>22.58</v>
      </c>
      <c r="H335" s="24" t="n">
        <v>30.040001</v>
      </c>
      <c r="I335" s="24" t="n">
        <v>40.16193</v>
      </c>
      <c r="J335" s="24" t="n">
        <v>93</v>
      </c>
    </row>
    <row r="336" customFormat="false" ht="15" hidden="false" customHeight="false" outlineLevel="0" collapsed="false">
      <c r="A336" s="23" t="n">
        <v>44202</v>
      </c>
      <c r="B336" s="24" t="n">
        <v>63</v>
      </c>
      <c r="C336" s="24" t="n">
        <v>20.033333</v>
      </c>
      <c r="D336" s="24" t="n">
        <v>26.360001</v>
      </c>
      <c r="E336" s="24" t="n">
        <v>63.5</v>
      </c>
      <c r="F336" s="24" t="n">
        <v>23.469999</v>
      </c>
      <c r="G336" s="24" t="n">
        <v>21.620001</v>
      </c>
      <c r="H336" s="24" t="n">
        <v>30.1</v>
      </c>
      <c r="I336" s="24" t="n">
        <v>39.31324</v>
      </c>
      <c r="J336" s="24" t="n">
        <v>96.050003</v>
      </c>
    </row>
    <row r="337" customFormat="false" ht="15" hidden="false" customHeight="false" outlineLevel="0" collapsed="false">
      <c r="A337" s="23" t="n">
        <v>44203</v>
      </c>
      <c r="B337" s="24" t="n">
        <v>62.919998</v>
      </c>
      <c r="C337" s="24" t="n">
        <v>20.593332</v>
      </c>
      <c r="D337" s="24" t="n">
        <v>27.76</v>
      </c>
      <c r="E337" s="24" t="n">
        <v>66.510002</v>
      </c>
      <c r="F337" s="24" t="n">
        <v>23.18</v>
      </c>
      <c r="G337" s="24" t="n">
        <v>21.6</v>
      </c>
      <c r="H337" s="24" t="n">
        <v>31</v>
      </c>
      <c r="I337" s="24" t="n">
        <v>38.709724</v>
      </c>
      <c r="J337" s="24" t="n">
        <v>102.32</v>
      </c>
    </row>
    <row r="338" customFormat="false" ht="15" hidden="false" customHeight="false" outlineLevel="0" collapsed="false">
      <c r="A338" s="23" t="n">
        <v>44204</v>
      </c>
      <c r="B338" s="24" t="n">
        <v>64.099998</v>
      </c>
      <c r="C338" s="24" t="n">
        <v>20.896666</v>
      </c>
      <c r="D338" s="24" t="n">
        <v>28.889999</v>
      </c>
      <c r="E338" s="24" t="n">
        <v>71</v>
      </c>
      <c r="F338" s="24" t="n">
        <v>23.84</v>
      </c>
      <c r="G338" s="24" t="n">
        <v>22.379999</v>
      </c>
      <c r="H338" s="24" t="n">
        <v>31.120001</v>
      </c>
      <c r="I338" s="24" t="n">
        <v>40.293949</v>
      </c>
      <c r="J338" s="24" t="n">
        <v>102</v>
      </c>
    </row>
    <row r="339" customFormat="false" ht="15" hidden="false" customHeight="false" outlineLevel="0" collapsed="false">
      <c r="A339" s="23" t="n">
        <v>44207</v>
      </c>
      <c r="B339" s="24" t="n">
        <v>63.099998</v>
      </c>
      <c r="C339" s="24" t="n">
        <v>20.036667</v>
      </c>
      <c r="D339" s="24" t="n">
        <v>29.5</v>
      </c>
      <c r="E339" s="24" t="n">
        <v>69.620003</v>
      </c>
      <c r="F339" s="24" t="n">
        <v>23.379999</v>
      </c>
      <c r="G339" s="24" t="n">
        <v>21.42</v>
      </c>
      <c r="H339" s="24" t="n">
        <v>30.860001</v>
      </c>
      <c r="I339" s="24" t="n">
        <v>39.992191</v>
      </c>
      <c r="J339" s="24" t="n">
        <v>101.980003</v>
      </c>
    </row>
    <row r="340" customFormat="false" ht="15" hidden="false" customHeight="false" outlineLevel="0" collapsed="false">
      <c r="A340" s="23" t="n">
        <v>44208</v>
      </c>
      <c r="B340" s="24" t="n">
        <v>63.810001</v>
      </c>
      <c r="C340" s="24" t="n">
        <v>20.616667</v>
      </c>
      <c r="D340" s="24" t="n">
        <v>29.690001</v>
      </c>
      <c r="E340" s="24" t="n">
        <v>71.080002</v>
      </c>
      <c r="F340" s="24" t="n">
        <v>23.66</v>
      </c>
      <c r="G340" s="24" t="n">
        <v>21.639999</v>
      </c>
      <c r="H340" s="24" t="n">
        <v>30.629999</v>
      </c>
      <c r="I340" s="24" t="n">
        <v>40.001621</v>
      </c>
      <c r="J340" s="24" t="n">
        <v>99.190002</v>
      </c>
    </row>
    <row r="341" customFormat="false" ht="15" hidden="false" customHeight="false" outlineLevel="0" collapsed="false">
      <c r="A341" s="23" t="n">
        <v>44209</v>
      </c>
      <c r="B341" s="24" t="n">
        <v>63.799999</v>
      </c>
      <c r="C341" s="24" t="n">
        <v>20.700001</v>
      </c>
      <c r="D341" s="24" t="n">
        <v>28.879999</v>
      </c>
      <c r="E341" s="24" t="n">
        <v>71.050003</v>
      </c>
      <c r="F341" s="24" t="n">
        <v>23.6</v>
      </c>
      <c r="G341" s="24" t="n">
        <v>21.48</v>
      </c>
      <c r="H341" s="24" t="n">
        <v>29.15</v>
      </c>
      <c r="I341" s="24" t="n">
        <v>40.21851</v>
      </c>
      <c r="J341" s="24" t="n">
        <v>96.220001</v>
      </c>
    </row>
    <row r="342" customFormat="false" ht="15" hidden="false" customHeight="false" outlineLevel="0" collapsed="false">
      <c r="A342" s="23" t="n">
        <v>44210</v>
      </c>
      <c r="B342" s="24" t="n">
        <v>66.209999</v>
      </c>
      <c r="C342" s="24" t="n">
        <v>20.553333</v>
      </c>
      <c r="D342" s="24" t="n">
        <v>28.42</v>
      </c>
      <c r="E342" s="24" t="n">
        <v>73.93</v>
      </c>
      <c r="F342" s="24" t="n">
        <v>23.98</v>
      </c>
      <c r="G342" s="24" t="n">
        <v>21.940001</v>
      </c>
      <c r="H342" s="24" t="n">
        <v>29.450001</v>
      </c>
      <c r="I342" s="24" t="n">
        <v>40.397678</v>
      </c>
      <c r="J342" s="24" t="n">
        <v>97.800003</v>
      </c>
    </row>
    <row r="343" customFormat="false" ht="15" hidden="false" customHeight="false" outlineLevel="0" collapsed="false">
      <c r="A343" s="23" t="n">
        <v>44211</v>
      </c>
      <c r="B343" s="24" t="n">
        <v>67.410004</v>
      </c>
      <c r="C343" s="24" t="n">
        <v>19.940001</v>
      </c>
      <c r="D343" s="24" t="n">
        <v>28.889999</v>
      </c>
      <c r="E343" s="24" t="n">
        <v>70.709999</v>
      </c>
      <c r="F343" s="24" t="n">
        <v>24.299999</v>
      </c>
      <c r="G343" s="24" t="n">
        <v>21.35</v>
      </c>
      <c r="H343" s="24" t="n">
        <v>28.120001</v>
      </c>
      <c r="I343" s="24" t="n">
        <v>39.765873</v>
      </c>
      <c r="J343" s="24" t="n">
        <v>93.550003</v>
      </c>
    </row>
    <row r="344" customFormat="false" ht="15" hidden="false" customHeight="false" outlineLevel="0" collapsed="false">
      <c r="A344" s="23" t="n">
        <v>44214</v>
      </c>
      <c r="B344" s="24" t="n">
        <v>68.709999</v>
      </c>
      <c r="C344" s="24" t="n">
        <v>20.266666</v>
      </c>
      <c r="D344" s="24" t="n">
        <v>29.290001</v>
      </c>
      <c r="E344" s="24" t="n">
        <v>70.690002</v>
      </c>
      <c r="F344" s="24" t="n">
        <v>24.370001</v>
      </c>
      <c r="G344" s="24" t="n">
        <v>21.42</v>
      </c>
      <c r="H344" s="24" t="n">
        <v>28.07</v>
      </c>
      <c r="I344" s="24" t="n">
        <v>39.35096</v>
      </c>
      <c r="J344" s="24" t="n">
        <v>94.309998</v>
      </c>
    </row>
    <row r="345" customFormat="false" ht="15" hidden="false" customHeight="false" outlineLevel="0" collapsed="false">
      <c r="A345" s="23" t="n">
        <v>44215</v>
      </c>
      <c r="B345" s="24" t="n">
        <v>70.25</v>
      </c>
      <c r="C345" s="24" t="n">
        <v>20.196667</v>
      </c>
      <c r="D345" s="24" t="n">
        <v>29.190001</v>
      </c>
      <c r="E345" s="24" t="n">
        <v>68.800003</v>
      </c>
      <c r="F345" s="24" t="n">
        <v>24.65</v>
      </c>
      <c r="G345" s="24" t="n">
        <v>21.190001</v>
      </c>
      <c r="H345" s="24" t="n">
        <v>28.690001</v>
      </c>
      <c r="I345" s="24" t="n">
        <v>38.756874</v>
      </c>
      <c r="J345" s="24" t="n">
        <v>94.059998</v>
      </c>
    </row>
    <row r="346" customFormat="false" ht="15" hidden="false" customHeight="false" outlineLevel="0" collapsed="false">
      <c r="A346" s="23" t="n">
        <v>44216</v>
      </c>
      <c r="B346" s="24" t="n">
        <v>70</v>
      </c>
      <c r="C346" s="24" t="n">
        <v>20</v>
      </c>
      <c r="D346" s="24" t="n">
        <v>29.209999</v>
      </c>
      <c r="E346" s="24" t="n">
        <v>69.57</v>
      </c>
      <c r="F346" s="24" t="n">
        <v>25.65</v>
      </c>
      <c r="G346" s="24" t="n">
        <v>20.959999</v>
      </c>
      <c r="H346" s="24" t="n">
        <v>28.209999</v>
      </c>
      <c r="I346" s="24" t="n">
        <v>38.568275</v>
      </c>
      <c r="J346" s="24" t="n">
        <v>92.32</v>
      </c>
    </row>
    <row r="347" customFormat="false" ht="15" hidden="false" customHeight="false" outlineLevel="0" collapsed="false">
      <c r="A347" s="23" t="n">
        <v>44217</v>
      </c>
      <c r="B347" s="24" t="n">
        <v>70</v>
      </c>
      <c r="C347" s="24" t="n">
        <v>19.366667</v>
      </c>
      <c r="D347" s="24" t="n">
        <v>29.09</v>
      </c>
      <c r="E347" s="24" t="n">
        <v>67.910004</v>
      </c>
      <c r="F347" s="24" t="n">
        <v>25.290001</v>
      </c>
      <c r="G347" s="24" t="n">
        <v>20.59</v>
      </c>
      <c r="H347" s="24" t="n">
        <v>27.549999</v>
      </c>
      <c r="I347" s="24" t="n">
        <v>38.228802</v>
      </c>
      <c r="J347" s="24" t="n">
        <v>93.360001</v>
      </c>
    </row>
    <row r="348" customFormat="false" ht="15" hidden="false" customHeight="false" outlineLevel="0" collapsed="false">
      <c r="A348" s="23" t="n">
        <v>44218</v>
      </c>
      <c r="B348" s="24" t="n">
        <v>69.480003</v>
      </c>
      <c r="C348" s="24" t="n">
        <v>19.516666</v>
      </c>
      <c r="D348" s="24" t="n">
        <v>28.51</v>
      </c>
      <c r="E348" s="24" t="n">
        <v>67.510002</v>
      </c>
      <c r="F348" s="24" t="n">
        <v>24.77</v>
      </c>
      <c r="G348" s="24" t="n">
        <v>20.379999</v>
      </c>
      <c r="H348" s="24" t="n">
        <v>27.09</v>
      </c>
      <c r="I348" s="24" t="n">
        <v>37.766735</v>
      </c>
      <c r="J348" s="24" t="n">
        <v>93.169998</v>
      </c>
    </row>
    <row r="349" customFormat="false" ht="15" hidden="false" customHeight="false" outlineLevel="0" collapsed="false">
      <c r="A349" s="23" t="n">
        <v>44222</v>
      </c>
      <c r="B349" s="24" t="n">
        <v>69.010002</v>
      </c>
      <c r="C349" s="24" t="n">
        <v>19.766666</v>
      </c>
      <c r="D349" s="24" t="n">
        <v>29.290001</v>
      </c>
      <c r="E349" s="24" t="n">
        <v>65.959999</v>
      </c>
      <c r="F349" s="24" t="n">
        <v>24.35</v>
      </c>
      <c r="G349" s="24" t="n">
        <v>20.51</v>
      </c>
      <c r="H349" s="24" t="n">
        <v>27</v>
      </c>
      <c r="I349" s="24" t="n">
        <v>37.804455</v>
      </c>
      <c r="J349" s="24" t="n">
        <v>91.75</v>
      </c>
    </row>
    <row r="350" customFormat="false" ht="15" hidden="false" customHeight="false" outlineLevel="0" collapsed="false">
      <c r="A350" s="23" t="n">
        <v>44223</v>
      </c>
      <c r="B350" s="24" t="n">
        <v>71.029999</v>
      </c>
      <c r="C350" s="24" t="n">
        <v>19.67</v>
      </c>
      <c r="D350" s="24" t="n">
        <v>28.700001</v>
      </c>
      <c r="E350" s="24" t="n">
        <v>64.980003</v>
      </c>
      <c r="F350" s="24" t="n">
        <v>24.450001</v>
      </c>
      <c r="G350" s="24" t="n">
        <v>20.43</v>
      </c>
      <c r="H350" s="24" t="n">
        <v>27.4</v>
      </c>
      <c r="I350" s="24" t="n">
        <v>38.021343</v>
      </c>
      <c r="J350" s="24" t="n">
        <v>89.199997</v>
      </c>
    </row>
    <row r="351" customFormat="false" ht="15" hidden="false" customHeight="false" outlineLevel="0" collapsed="false">
      <c r="A351" s="23" t="n">
        <v>44224</v>
      </c>
      <c r="B351" s="24" t="n">
        <v>72.589996</v>
      </c>
      <c r="C351" s="24" t="n">
        <v>20.43</v>
      </c>
      <c r="D351" s="24" t="n">
        <v>28.290001</v>
      </c>
      <c r="E351" s="24" t="n">
        <v>67.239998</v>
      </c>
      <c r="F351" s="24" t="n">
        <v>24.85</v>
      </c>
      <c r="G351" s="24" t="n">
        <v>21.799999</v>
      </c>
      <c r="H351" s="24" t="n">
        <v>27.76</v>
      </c>
      <c r="I351" s="24" t="n">
        <v>38.681435</v>
      </c>
      <c r="J351" s="24" t="n">
        <v>91.099998</v>
      </c>
    </row>
    <row r="352" customFormat="false" ht="15" hidden="false" customHeight="false" outlineLevel="0" collapsed="false">
      <c r="A352" s="23" t="n">
        <v>44225</v>
      </c>
      <c r="B352" s="24" t="n">
        <v>70.57</v>
      </c>
      <c r="C352" s="24" t="n">
        <v>19.933332</v>
      </c>
      <c r="D352" s="24" t="n">
        <v>27.9</v>
      </c>
      <c r="E352" s="24" t="n">
        <v>63.880001</v>
      </c>
      <c r="F352" s="24" t="n">
        <v>24.09</v>
      </c>
      <c r="G352" s="24" t="n">
        <v>21.200001</v>
      </c>
      <c r="H352" s="24" t="n">
        <v>26.690001</v>
      </c>
      <c r="I352" s="24" t="n">
        <v>38.181652</v>
      </c>
      <c r="J352" s="24" t="n">
        <v>87.949997</v>
      </c>
    </row>
    <row r="353" customFormat="false" ht="15" hidden="false" customHeight="false" outlineLevel="0" collapsed="false">
      <c r="A353" s="23" t="n">
        <v>44228</v>
      </c>
      <c r="B353" s="24" t="n">
        <v>71.900002</v>
      </c>
      <c r="C353" s="24" t="n">
        <v>20.416666</v>
      </c>
      <c r="D353" s="24" t="n">
        <v>28.280001</v>
      </c>
      <c r="E353" s="24" t="n">
        <v>63.950001</v>
      </c>
      <c r="F353" s="24" t="n">
        <v>23.93</v>
      </c>
      <c r="G353" s="24" t="n">
        <v>21.309999</v>
      </c>
      <c r="H353" s="24" t="n">
        <v>27.530001</v>
      </c>
      <c r="I353" s="24" t="n">
        <v>37.314102</v>
      </c>
      <c r="J353" s="24" t="n">
        <v>91.269997</v>
      </c>
    </row>
    <row r="354" customFormat="false" ht="15" hidden="false" customHeight="false" outlineLevel="0" collapsed="false">
      <c r="A354" s="23" t="n">
        <v>44229</v>
      </c>
      <c r="B354" s="24" t="n">
        <v>72.5</v>
      </c>
      <c r="C354" s="24" t="n">
        <v>20.896666</v>
      </c>
      <c r="D354" s="24" t="n">
        <v>28.040001</v>
      </c>
      <c r="E354" s="24" t="n">
        <v>67.510002</v>
      </c>
      <c r="F354" s="24" t="n">
        <v>25.25</v>
      </c>
      <c r="G354" s="24" t="n">
        <v>21.299999</v>
      </c>
      <c r="H354" s="24" t="n">
        <v>28.66</v>
      </c>
      <c r="I354" s="24" t="n">
        <v>37.116074</v>
      </c>
      <c r="J354" s="24" t="n">
        <v>87.660004</v>
      </c>
    </row>
    <row r="355" customFormat="false" ht="15" hidden="false" customHeight="false" outlineLevel="0" collapsed="false">
      <c r="A355" s="23" t="n">
        <v>44230</v>
      </c>
      <c r="B355" s="24" t="n">
        <v>72.5</v>
      </c>
      <c r="C355" s="24" t="n">
        <v>20.986666</v>
      </c>
      <c r="D355" s="24" t="n">
        <v>28.43</v>
      </c>
      <c r="E355" s="24" t="n">
        <v>68.800003</v>
      </c>
      <c r="F355" s="24" t="n">
        <v>25.25</v>
      </c>
      <c r="G355" s="24" t="n">
        <v>22.5</v>
      </c>
      <c r="H355" s="24" t="n">
        <v>28.940001</v>
      </c>
      <c r="I355" s="24" t="n">
        <v>38.162792</v>
      </c>
      <c r="J355" s="24" t="n">
        <v>90.43</v>
      </c>
    </row>
    <row r="356" customFormat="false" ht="15" hidden="false" customHeight="false" outlineLevel="0" collapsed="false">
      <c r="A356" s="23" t="n">
        <v>44231</v>
      </c>
      <c r="B356" s="24" t="n">
        <v>74.510002</v>
      </c>
      <c r="C356" s="24" t="n">
        <v>20.813334</v>
      </c>
      <c r="D356" s="24" t="n">
        <v>28.139999</v>
      </c>
      <c r="E356" s="24" t="n">
        <v>69.599998</v>
      </c>
      <c r="F356" s="24" t="n">
        <v>24.809999</v>
      </c>
      <c r="G356" s="24" t="n">
        <v>22.129999</v>
      </c>
      <c r="H356" s="24" t="n">
        <v>28.82</v>
      </c>
      <c r="I356" s="24" t="n">
        <v>37.323532</v>
      </c>
      <c r="J356" s="24" t="n">
        <v>89.290001</v>
      </c>
    </row>
    <row r="357" customFormat="false" ht="15" hidden="false" customHeight="false" outlineLevel="0" collapsed="false">
      <c r="A357" s="23" t="n">
        <v>44232</v>
      </c>
      <c r="B357" s="24" t="n">
        <v>74</v>
      </c>
      <c r="C357" s="24" t="n">
        <v>21.15</v>
      </c>
      <c r="D357" s="24" t="n">
        <v>28.450001</v>
      </c>
      <c r="E357" s="24" t="n">
        <v>68.870003</v>
      </c>
      <c r="F357" s="24" t="n">
        <v>24.799999</v>
      </c>
      <c r="G357" s="24" t="n">
        <v>21.84</v>
      </c>
      <c r="H357" s="24" t="n">
        <v>28.84</v>
      </c>
      <c r="I357" s="24" t="n">
        <v>37.823315</v>
      </c>
      <c r="J357" s="24" t="n">
        <v>92.690002</v>
      </c>
    </row>
    <row r="358" customFormat="false" ht="15" hidden="false" customHeight="false" outlineLevel="0" collapsed="false">
      <c r="A358" s="23" t="n">
        <v>44235</v>
      </c>
      <c r="B358" s="24" t="n">
        <v>74.559998</v>
      </c>
      <c r="C358" s="24" t="n">
        <v>20.836666</v>
      </c>
      <c r="D358" s="24" t="n">
        <v>27.940001</v>
      </c>
      <c r="E358" s="24" t="n">
        <v>69.260002</v>
      </c>
      <c r="F358" s="24" t="n">
        <v>24.52</v>
      </c>
      <c r="G358" s="24" t="n">
        <v>21.6</v>
      </c>
      <c r="H358" s="24" t="n">
        <v>28.110001</v>
      </c>
      <c r="I358" s="24" t="n">
        <v>37.521561</v>
      </c>
      <c r="J358" s="24" t="n">
        <v>94.010002</v>
      </c>
    </row>
    <row r="359" customFormat="false" ht="15" hidden="false" customHeight="false" outlineLevel="0" collapsed="false">
      <c r="A359" s="23" t="n">
        <v>44236</v>
      </c>
      <c r="B359" s="24" t="n">
        <v>75.050003</v>
      </c>
      <c r="C359" s="24" t="n">
        <v>20.74</v>
      </c>
      <c r="D359" s="24" t="n">
        <v>27.940001</v>
      </c>
      <c r="E359" s="24" t="n">
        <v>68.519997</v>
      </c>
      <c r="F359" s="24" t="n">
        <v>24.27</v>
      </c>
      <c r="G359" s="24" t="n">
        <v>21.379999</v>
      </c>
      <c r="H359" s="24" t="n">
        <v>27.540001</v>
      </c>
      <c r="I359" s="24" t="n">
        <v>36.776596</v>
      </c>
      <c r="J359" s="24" t="n">
        <v>94.25</v>
      </c>
    </row>
    <row r="360" customFormat="false" ht="15" hidden="false" customHeight="false" outlineLevel="0" collapsed="false">
      <c r="A360" s="23" t="n">
        <v>44237</v>
      </c>
      <c r="B360" s="24" t="n">
        <v>74</v>
      </c>
      <c r="C360" s="24" t="n">
        <v>20.016666</v>
      </c>
      <c r="D360" s="24" t="n">
        <v>27.92</v>
      </c>
      <c r="E360" s="24" t="n">
        <v>67.349998</v>
      </c>
      <c r="F360" s="24" t="n">
        <v>23.82</v>
      </c>
      <c r="G360" s="24" t="n">
        <v>21.25</v>
      </c>
      <c r="H360" s="24" t="n">
        <v>27.799999</v>
      </c>
      <c r="I360" s="24" t="n">
        <v>36.078785</v>
      </c>
      <c r="J360" s="24" t="n">
        <v>94.699997</v>
      </c>
    </row>
    <row r="361" customFormat="false" ht="15" hidden="false" customHeight="false" outlineLevel="0" collapsed="false">
      <c r="A361" s="23" t="n">
        <v>44238</v>
      </c>
      <c r="B361" s="24" t="n">
        <v>74.529999</v>
      </c>
      <c r="C361" s="24" t="n">
        <v>20.106667</v>
      </c>
      <c r="D361" s="24" t="n">
        <v>28.030001</v>
      </c>
      <c r="E361" s="24" t="n">
        <v>66.959999</v>
      </c>
      <c r="F361" s="24" t="n">
        <v>24.299999</v>
      </c>
      <c r="G361" s="24" t="n">
        <v>21.35</v>
      </c>
      <c r="H361" s="24" t="n">
        <v>28.08</v>
      </c>
      <c r="I361" s="24" t="n">
        <v>36.173084</v>
      </c>
      <c r="J361" s="24" t="n">
        <v>93.099998</v>
      </c>
    </row>
    <row r="362" customFormat="false" ht="15" hidden="false" customHeight="false" outlineLevel="0" collapsed="false">
      <c r="A362" s="23" t="n">
        <v>44239</v>
      </c>
      <c r="B362" s="24" t="n">
        <v>76</v>
      </c>
      <c r="C362" s="24" t="n">
        <v>19.953333</v>
      </c>
      <c r="D362" s="24" t="n">
        <v>28.02</v>
      </c>
      <c r="E362" s="24" t="n">
        <v>66.900002</v>
      </c>
      <c r="F362" s="24" t="n">
        <v>24.610001</v>
      </c>
      <c r="G362" s="24" t="n">
        <v>21.389999</v>
      </c>
      <c r="H362" s="24" t="n">
        <v>28.440001</v>
      </c>
      <c r="I362" s="24" t="n">
        <v>35.682728</v>
      </c>
      <c r="J362" s="24" t="n">
        <v>93.889999</v>
      </c>
    </row>
    <row r="363" customFormat="false" ht="15" hidden="false" customHeight="false" outlineLevel="0" collapsed="false">
      <c r="A363" s="23" t="n">
        <v>44245</v>
      </c>
      <c r="B363" s="24" t="n">
        <v>75.5</v>
      </c>
      <c r="C363" s="24" t="n">
        <v>19.34</v>
      </c>
      <c r="D363" s="24" t="n">
        <v>29.02</v>
      </c>
      <c r="E363" s="24" t="n">
        <v>64.610001</v>
      </c>
      <c r="F363" s="24" t="n">
        <v>23.82</v>
      </c>
      <c r="G363" s="24" t="n">
        <v>20.93</v>
      </c>
      <c r="H363" s="24" t="n">
        <v>29.27</v>
      </c>
      <c r="I363" s="24" t="n">
        <v>35.380974</v>
      </c>
      <c r="J363" s="24" t="n">
        <v>97.400002</v>
      </c>
    </row>
    <row r="364" customFormat="false" ht="15" hidden="false" customHeight="false" outlineLevel="0" collapsed="false">
      <c r="A364" s="23" t="n">
        <v>44246</v>
      </c>
      <c r="B364" s="24" t="n">
        <v>77</v>
      </c>
      <c r="C364" s="24" t="n">
        <v>19.35</v>
      </c>
      <c r="D364" s="24" t="n">
        <v>29.23</v>
      </c>
      <c r="E364" s="24" t="n">
        <v>65.099998</v>
      </c>
      <c r="F364" s="24" t="n">
        <v>24.15</v>
      </c>
      <c r="G364" s="24" t="n">
        <v>20.67</v>
      </c>
      <c r="H364" s="24" t="n">
        <v>27.33</v>
      </c>
      <c r="I364" s="24" t="n">
        <v>34.909477</v>
      </c>
      <c r="J364" s="24" t="n">
        <v>97.769997</v>
      </c>
    </row>
    <row r="365" customFormat="false" ht="15" hidden="false" customHeight="false" outlineLevel="0" collapsed="false">
      <c r="A365" s="23" t="n">
        <v>44249</v>
      </c>
      <c r="B365" s="24" t="n">
        <v>77.279999</v>
      </c>
      <c r="C365" s="24" t="n">
        <v>18.58</v>
      </c>
      <c r="D365" s="24" t="n">
        <v>30.9</v>
      </c>
      <c r="E365" s="24" t="n">
        <v>61.09</v>
      </c>
      <c r="F365" s="24" t="n">
        <v>28.950001</v>
      </c>
      <c r="G365" s="24" t="n">
        <v>20.139999</v>
      </c>
      <c r="H365" s="24" t="n">
        <v>21.67</v>
      </c>
      <c r="I365" s="24" t="n">
        <v>34.654869</v>
      </c>
      <c r="J365" s="24" t="n">
        <v>95.349998</v>
      </c>
    </row>
    <row r="366" customFormat="false" ht="15" hidden="false" customHeight="false" outlineLevel="0" collapsed="false">
      <c r="A366" s="23" t="n">
        <v>44250</v>
      </c>
      <c r="B366" s="24" t="n">
        <v>75.330002</v>
      </c>
      <c r="C366" s="24" t="n">
        <v>18.446667</v>
      </c>
      <c r="D366" s="24" t="n">
        <v>30.83</v>
      </c>
      <c r="E366" s="24" t="n">
        <v>61.299999</v>
      </c>
      <c r="F366" s="24" t="n">
        <v>27.23</v>
      </c>
      <c r="G366" s="24" t="n">
        <v>20.1</v>
      </c>
      <c r="H366" s="24" t="n">
        <v>24.059999</v>
      </c>
      <c r="I366" s="24" t="n">
        <v>34.079647</v>
      </c>
      <c r="J366" s="24" t="n">
        <v>96.949997</v>
      </c>
    </row>
    <row r="367" customFormat="false" ht="15" hidden="false" customHeight="false" outlineLevel="0" collapsed="false">
      <c r="A367" s="23" t="n">
        <v>44251</v>
      </c>
      <c r="B367" s="24" t="n">
        <v>74.559998</v>
      </c>
      <c r="C367" s="24" t="n">
        <v>18.540001</v>
      </c>
      <c r="D367" s="24" t="n">
        <v>31.24</v>
      </c>
      <c r="E367" s="24" t="n">
        <v>60.540001</v>
      </c>
      <c r="F367" s="24" t="n">
        <v>26.6</v>
      </c>
      <c r="G367" s="24" t="n">
        <v>19.870001</v>
      </c>
      <c r="H367" s="24" t="n">
        <v>24.4</v>
      </c>
      <c r="I367" s="24" t="n">
        <v>34.305965</v>
      </c>
      <c r="J367" s="24" t="n">
        <v>97.93</v>
      </c>
    </row>
    <row r="368" customFormat="false" ht="15" hidden="false" customHeight="false" outlineLevel="0" collapsed="false">
      <c r="A368" s="23" t="n">
        <v>44252</v>
      </c>
      <c r="B368" s="24" t="n">
        <v>72.309998</v>
      </c>
      <c r="C368" s="24" t="n">
        <v>18.296665</v>
      </c>
      <c r="D368" s="24" t="n">
        <v>29.98</v>
      </c>
      <c r="E368" s="24" t="n">
        <v>59.860001</v>
      </c>
      <c r="F368" s="24" t="n">
        <v>26.01</v>
      </c>
      <c r="G368" s="24" t="n">
        <v>20.08</v>
      </c>
      <c r="H368" s="24" t="n">
        <v>23.190001</v>
      </c>
      <c r="I368" s="24" t="n">
        <v>32.929199</v>
      </c>
      <c r="J368" s="24" t="n">
        <v>95.709999</v>
      </c>
    </row>
    <row r="369" customFormat="false" ht="15" hidden="false" customHeight="false" outlineLevel="0" collapsed="false">
      <c r="A369" s="23" t="n">
        <v>44253</v>
      </c>
      <c r="B369" s="24" t="n">
        <v>71.32</v>
      </c>
      <c r="C369" s="24" t="n">
        <v>18.1</v>
      </c>
      <c r="D369" s="24" t="n">
        <v>29.870001</v>
      </c>
      <c r="E369" s="24" t="n">
        <v>58</v>
      </c>
      <c r="F369" s="24" t="n">
        <v>24.91</v>
      </c>
      <c r="G369" s="24" t="n">
        <v>19.68</v>
      </c>
      <c r="H369" s="24" t="n">
        <v>22.24</v>
      </c>
      <c r="I369" s="24" t="n">
        <v>31.165808</v>
      </c>
      <c r="J369" s="24" t="n">
        <v>94.519997</v>
      </c>
    </row>
    <row r="370" customFormat="false" ht="15" hidden="false" customHeight="false" outlineLevel="0" collapsed="false">
      <c r="A370" s="23" t="n">
        <v>44256</v>
      </c>
      <c r="B370" s="24" t="n">
        <v>71.199997</v>
      </c>
      <c r="C370" s="24" t="n">
        <v>18.116667</v>
      </c>
      <c r="D370" s="24" t="n">
        <v>30.9</v>
      </c>
      <c r="E370" s="24" t="n">
        <v>59.16</v>
      </c>
      <c r="F370" s="24" t="n">
        <v>24.68</v>
      </c>
      <c r="G370" s="24" t="n">
        <v>19.379999</v>
      </c>
      <c r="H370" s="24" t="n">
        <v>22</v>
      </c>
      <c r="I370" s="24" t="n">
        <v>31.062078</v>
      </c>
      <c r="J370" s="24" t="n">
        <v>98.57</v>
      </c>
    </row>
    <row r="371" customFormat="false" ht="15" hidden="false" customHeight="false" outlineLevel="0" collapsed="false">
      <c r="A371" s="23" t="n">
        <v>44257</v>
      </c>
      <c r="B371" s="24" t="n">
        <v>71.830002</v>
      </c>
      <c r="C371" s="24" t="n">
        <v>18.67</v>
      </c>
      <c r="D371" s="24" t="n">
        <v>30.49</v>
      </c>
      <c r="E371" s="24" t="n">
        <v>58.599998</v>
      </c>
      <c r="F371" s="24" t="n">
        <v>24.25</v>
      </c>
      <c r="G371" s="24" t="n">
        <v>19.790001</v>
      </c>
      <c r="H371" s="24" t="n">
        <v>21.99</v>
      </c>
      <c r="I371" s="24" t="n">
        <v>31.13752</v>
      </c>
      <c r="J371" s="24" t="n">
        <v>101.599998</v>
      </c>
    </row>
    <row r="372" customFormat="false" ht="15" hidden="false" customHeight="false" outlineLevel="0" collapsed="false">
      <c r="A372" s="23" t="n">
        <v>44258</v>
      </c>
      <c r="B372" s="24" t="n">
        <v>70.900002</v>
      </c>
      <c r="C372" s="24" t="n">
        <v>18.863333</v>
      </c>
      <c r="D372" s="24" t="n">
        <v>30.120001</v>
      </c>
      <c r="E372" s="24" t="n">
        <v>58.82</v>
      </c>
      <c r="F372" s="24" t="n">
        <v>23.91</v>
      </c>
      <c r="G372" s="24" t="n">
        <v>19.85</v>
      </c>
      <c r="H372" s="24" t="n">
        <v>21.190001</v>
      </c>
      <c r="I372" s="24" t="n">
        <v>30.722603</v>
      </c>
      <c r="J372" s="24" t="n">
        <v>100.349998</v>
      </c>
    </row>
    <row r="373" customFormat="false" ht="15" hidden="false" customHeight="false" outlineLevel="0" collapsed="false">
      <c r="A373" s="23" t="n">
        <v>44259</v>
      </c>
      <c r="B373" s="24" t="n">
        <v>73</v>
      </c>
      <c r="C373" s="24" t="n">
        <v>18.496666</v>
      </c>
      <c r="D373" s="24" t="n">
        <v>29.889999</v>
      </c>
      <c r="E373" s="24" t="n">
        <v>60.919998</v>
      </c>
      <c r="F373" s="24" t="n">
        <v>24.559999</v>
      </c>
      <c r="G373" s="24" t="n">
        <v>20.42</v>
      </c>
      <c r="H373" s="24" t="n">
        <v>22.219999</v>
      </c>
      <c r="I373" s="24" t="n">
        <v>30.496286</v>
      </c>
      <c r="J373" s="24" t="n">
        <v>98.860001</v>
      </c>
    </row>
    <row r="374" customFormat="false" ht="15" hidden="false" customHeight="false" outlineLevel="0" collapsed="false">
      <c r="A374" s="23" t="n">
        <v>44260</v>
      </c>
      <c r="B374" s="24" t="n">
        <v>78.489998</v>
      </c>
      <c r="C374" s="24" t="n">
        <v>18.83</v>
      </c>
      <c r="D374" s="24" t="n">
        <v>30.860001</v>
      </c>
      <c r="E374" s="24" t="n">
        <v>60.830002</v>
      </c>
      <c r="F374" s="24" t="n">
        <v>23.92</v>
      </c>
      <c r="G374" s="24" t="n">
        <v>21.379999</v>
      </c>
      <c r="H374" s="24" t="n">
        <v>22.389999</v>
      </c>
      <c r="I374" s="24" t="n">
        <v>31.646732</v>
      </c>
      <c r="J374" s="24" t="n">
        <v>100.209999</v>
      </c>
    </row>
    <row r="375" customFormat="false" ht="15" hidden="false" customHeight="false" outlineLevel="0" collapsed="false">
      <c r="A375" s="23" t="n">
        <v>44263</v>
      </c>
      <c r="B375" s="24" t="n">
        <v>72.360001</v>
      </c>
      <c r="C375" s="24" t="n">
        <v>17.563334</v>
      </c>
      <c r="D375" s="24" t="n">
        <v>29.51</v>
      </c>
      <c r="E375" s="24" t="n">
        <v>55.119999</v>
      </c>
      <c r="F375" s="24" t="n">
        <v>22.27</v>
      </c>
      <c r="G375" s="24" t="n">
        <v>20.5</v>
      </c>
      <c r="H375" s="24" t="n">
        <v>21.1</v>
      </c>
      <c r="I375" s="24" t="n">
        <v>30.06251</v>
      </c>
      <c r="J375" s="24" t="n">
        <v>99.669998</v>
      </c>
    </row>
    <row r="376" customFormat="false" ht="15" hidden="false" customHeight="false" outlineLevel="0" collapsed="false">
      <c r="A376" s="23" t="n">
        <v>44264</v>
      </c>
      <c r="B376" s="24" t="n">
        <v>70.669998</v>
      </c>
      <c r="C376" s="24" t="n">
        <v>17.833332</v>
      </c>
      <c r="D376" s="24" t="n">
        <v>30.459999</v>
      </c>
      <c r="E376" s="24" t="n">
        <v>55.580002</v>
      </c>
      <c r="F376" s="24" t="n">
        <v>21</v>
      </c>
      <c r="G376" s="24" t="n">
        <v>20.51</v>
      </c>
      <c r="H376" s="24" t="n">
        <v>21.59</v>
      </c>
      <c r="I376" s="24" t="n">
        <v>29.675884</v>
      </c>
      <c r="J376" s="24" t="n">
        <v>98.669998</v>
      </c>
    </row>
    <row r="377" customFormat="false" ht="15" hidden="false" customHeight="false" outlineLevel="0" collapsed="false">
      <c r="A377" s="23" t="n">
        <v>44265</v>
      </c>
      <c r="B377" s="24" t="n">
        <v>72.360001</v>
      </c>
      <c r="C377" s="24" t="n">
        <v>18.436666</v>
      </c>
      <c r="D377" s="24" t="n">
        <v>29.389999</v>
      </c>
      <c r="E377" s="24" t="n">
        <v>56.540001</v>
      </c>
      <c r="F377" s="24" t="n">
        <v>21.969999</v>
      </c>
      <c r="G377" s="24" t="n">
        <v>20.85</v>
      </c>
      <c r="H377" s="24" t="n">
        <v>22.34</v>
      </c>
      <c r="I377" s="24" t="n">
        <v>30.04365</v>
      </c>
      <c r="J377" s="24" t="n">
        <v>97.150002</v>
      </c>
    </row>
    <row r="378" customFormat="false" ht="15" hidden="false" customHeight="false" outlineLevel="0" collapsed="false">
      <c r="A378" s="23" t="n">
        <v>44266</v>
      </c>
      <c r="B378" s="24" t="n">
        <v>73.970001</v>
      </c>
      <c r="C378" s="24" t="n">
        <v>18.9</v>
      </c>
      <c r="D378" s="24" t="n">
        <v>28.969999</v>
      </c>
      <c r="E378" s="24" t="n">
        <v>59.549999</v>
      </c>
      <c r="F378" s="24" t="n">
        <v>22.469999</v>
      </c>
      <c r="G378" s="24" t="n">
        <v>22.33</v>
      </c>
      <c r="H378" s="24" t="n">
        <v>23.290001</v>
      </c>
      <c r="I378" s="24" t="n">
        <v>30.109659</v>
      </c>
      <c r="J378" s="24" t="n">
        <v>99.699997</v>
      </c>
    </row>
    <row r="379" customFormat="false" ht="15" hidden="false" customHeight="false" outlineLevel="0" collapsed="false">
      <c r="A379" s="23" t="n">
        <v>44267</v>
      </c>
      <c r="B379" s="24" t="n">
        <v>72.989998</v>
      </c>
      <c r="C379" s="24" t="n">
        <v>18.446667</v>
      </c>
      <c r="D379" s="24" t="n">
        <v>29.4</v>
      </c>
      <c r="E379" s="24" t="n">
        <v>59.5</v>
      </c>
      <c r="F379" s="24" t="n">
        <v>21.67</v>
      </c>
      <c r="G379" s="24" t="n">
        <v>23.209999</v>
      </c>
      <c r="H379" s="24" t="n">
        <v>23.17</v>
      </c>
      <c r="I379" s="24" t="n">
        <v>30.071939</v>
      </c>
      <c r="J379" s="24" t="n">
        <v>97.400002</v>
      </c>
    </row>
    <row r="380" customFormat="false" ht="15" hidden="false" customHeight="false" outlineLevel="0" collapsed="false">
      <c r="A380" s="23" t="n">
        <v>44270</v>
      </c>
      <c r="B380" s="24" t="n">
        <v>73.57</v>
      </c>
      <c r="C380" s="24" t="n">
        <v>17.933332</v>
      </c>
      <c r="D380" s="24" t="n">
        <v>28.370001</v>
      </c>
      <c r="E380" s="24" t="n">
        <v>59.34</v>
      </c>
      <c r="F380" s="24" t="n">
        <v>22.190001</v>
      </c>
      <c r="G380" s="24" t="n">
        <v>23.620001</v>
      </c>
      <c r="H380" s="24" t="n">
        <v>23.65</v>
      </c>
      <c r="I380" s="24" t="n">
        <v>30.835762</v>
      </c>
      <c r="J380" s="24" t="n">
        <v>96.82</v>
      </c>
    </row>
    <row r="381" customFormat="false" ht="15" hidden="false" customHeight="false" outlineLevel="0" collapsed="false">
      <c r="A381" s="23" t="n">
        <v>44271</v>
      </c>
      <c r="B381" s="24" t="n">
        <v>73.339996</v>
      </c>
      <c r="C381" s="24" t="n">
        <v>17.483334</v>
      </c>
      <c r="D381" s="24" t="n">
        <v>29.610001</v>
      </c>
      <c r="E381" s="24" t="n">
        <v>58</v>
      </c>
      <c r="F381" s="24" t="n">
        <v>22.360001</v>
      </c>
      <c r="G381" s="24" t="n">
        <v>22.67</v>
      </c>
      <c r="H381" s="24" t="n">
        <v>23.280001</v>
      </c>
      <c r="I381" s="24" t="n">
        <v>30.750893</v>
      </c>
      <c r="J381" s="24" t="n">
        <v>96.510002</v>
      </c>
    </row>
    <row r="382" customFormat="false" ht="15" hidden="false" customHeight="false" outlineLevel="0" collapsed="false">
      <c r="A382" s="23" t="n">
        <v>44272</v>
      </c>
      <c r="B382" s="24" t="n">
        <v>74.459999</v>
      </c>
      <c r="C382" s="24" t="n">
        <v>17.65</v>
      </c>
      <c r="D382" s="24" t="n">
        <v>29.559999</v>
      </c>
      <c r="E382" s="24" t="n">
        <v>59.779999</v>
      </c>
      <c r="F382" s="24" t="n">
        <v>22.65</v>
      </c>
      <c r="G382" s="24" t="n">
        <v>22.950001</v>
      </c>
      <c r="H382" s="24" t="n">
        <v>24.08</v>
      </c>
      <c r="I382" s="24" t="n">
        <v>33.447842</v>
      </c>
      <c r="J382" s="24" t="n">
        <v>97.900002</v>
      </c>
    </row>
    <row r="383" customFormat="false" ht="15" hidden="false" customHeight="false" outlineLevel="0" collapsed="false">
      <c r="A383" s="23" t="n">
        <v>44273</v>
      </c>
      <c r="B383" s="24" t="n">
        <v>72.970001</v>
      </c>
      <c r="C383" s="24" t="n">
        <v>17.91</v>
      </c>
      <c r="D383" s="24" t="n">
        <v>28.59</v>
      </c>
      <c r="E383" s="24" t="n">
        <v>57.75</v>
      </c>
      <c r="F383" s="24" t="n">
        <v>21.700001</v>
      </c>
      <c r="G383" s="24" t="n">
        <v>22.299999</v>
      </c>
      <c r="H383" s="24" t="n">
        <v>23.24</v>
      </c>
      <c r="I383" s="24" t="n">
        <v>34.305965</v>
      </c>
      <c r="J383" s="24" t="n">
        <v>96.160004</v>
      </c>
    </row>
    <row r="384" customFormat="false" ht="15" hidden="false" customHeight="false" outlineLevel="0" collapsed="false">
      <c r="A384" s="23" t="n">
        <v>44274</v>
      </c>
      <c r="B384" s="24" t="n">
        <v>72.830002</v>
      </c>
      <c r="C384" s="24" t="n">
        <v>18.546665</v>
      </c>
      <c r="D384" s="24" t="n">
        <v>28.280001</v>
      </c>
      <c r="E384" s="24" t="n">
        <v>59.299999</v>
      </c>
      <c r="F384" s="24" t="n">
        <v>22.139999</v>
      </c>
      <c r="G384" s="24" t="n">
        <v>23.41</v>
      </c>
      <c r="H384" s="24" t="n">
        <v>24</v>
      </c>
      <c r="I384" s="24" t="n">
        <v>37.040634</v>
      </c>
      <c r="J384" s="24" t="n">
        <v>94.779999</v>
      </c>
    </row>
    <row r="385" customFormat="false" ht="15" hidden="false" customHeight="false" outlineLevel="0" collapsed="false">
      <c r="A385" s="23" t="n">
        <v>44277</v>
      </c>
      <c r="B385" s="24" t="n">
        <v>72.330002</v>
      </c>
      <c r="C385" s="24" t="n">
        <v>18.34</v>
      </c>
      <c r="D385" s="24" t="n">
        <v>28.459999</v>
      </c>
      <c r="E385" s="24" t="n">
        <v>57.84</v>
      </c>
      <c r="F385" s="24" t="n">
        <v>22.209999</v>
      </c>
      <c r="G385" s="24" t="n">
        <v>23.33</v>
      </c>
      <c r="H385" s="24" t="n">
        <v>23.52</v>
      </c>
      <c r="I385" s="24" t="n">
        <v>37.078354</v>
      </c>
      <c r="J385" s="24" t="n">
        <v>93.209999</v>
      </c>
    </row>
    <row r="386" customFormat="false" ht="15" hidden="false" customHeight="false" outlineLevel="0" collapsed="false">
      <c r="A386" s="23" t="n">
        <v>44278</v>
      </c>
      <c r="B386" s="24" t="n">
        <v>73.43</v>
      </c>
      <c r="C386" s="24" t="n">
        <v>18.056665</v>
      </c>
      <c r="D386" s="24" t="n">
        <v>28.52</v>
      </c>
      <c r="E386" s="24" t="n">
        <v>56.549999</v>
      </c>
      <c r="F386" s="24" t="n">
        <v>21.99</v>
      </c>
      <c r="G386" s="24" t="n">
        <v>23.540001</v>
      </c>
      <c r="H386" s="24" t="n">
        <v>22.799999</v>
      </c>
      <c r="I386" s="24" t="n">
        <v>37.219803</v>
      </c>
      <c r="J386" s="24" t="n">
        <v>91.059998</v>
      </c>
    </row>
    <row r="387" customFormat="false" ht="15" hidden="false" customHeight="false" outlineLevel="0" collapsed="false">
      <c r="A387" s="23" t="n">
        <v>44279</v>
      </c>
      <c r="B387" s="24" t="n">
        <v>69.080002</v>
      </c>
      <c r="C387" s="24" t="n">
        <v>17.93</v>
      </c>
      <c r="D387" s="24" t="n">
        <v>28.700001</v>
      </c>
      <c r="E387" s="24" t="n">
        <v>55.130001</v>
      </c>
      <c r="F387" s="24" t="n">
        <v>21.440001</v>
      </c>
      <c r="G387" s="24" t="n">
        <v>23.33</v>
      </c>
      <c r="H387" s="24" t="n">
        <v>22.82</v>
      </c>
      <c r="I387" s="24" t="n">
        <v>35.814747</v>
      </c>
      <c r="J387" s="24" t="n">
        <v>93.150002</v>
      </c>
    </row>
    <row r="388" customFormat="false" ht="15" hidden="false" customHeight="false" outlineLevel="0" collapsed="false">
      <c r="A388" s="23" t="n">
        <v>44280</v>
      </c>
      <c r="B388" s="24" t="n">
        <v>69.830002</v>
      </c>
      <c r="C388" s="24" t="n">
        <v>17.926666</v>
      </c>
      <c r="D388" s="24" t="n">
        <v>28.549999</v>
      </c>
      <c r="E388" s="24" t="n">
        <v>56.799999</v>
      </c>
      <c r="F388" s="24" t="n">
        <v>21.76</v>
      </c>
      <c r="G388" s="24" t="n">
        <v>23.66</v>
      </c>
      <c r="H388" s="24" t="n">
        <v>23.200001</v>
      </c>
      <c r="I388" s="24" t="n">
        <v>34.739738</v>
      </c>
      <c r="J388" s="24" t="n">
        <v>92.440002</v>
      </c>
    </row>
    <row r="389" customFormat="false" ht="15" hidden="false" customHeight="false" outlineLevel="0" collapsed="false">
      <c r="A389" s="23" t="n">
        <v>44281</v>
      </c>
      <c r="B389" s="24" t="n">
        <v>70.5</v>
      </c>
      <c r="C389" s="24" t="n">
        <v>18.003332</v>
      </c>
      <c r="D389" s="24" t="n">
        <v>28.51</v>
      </c>
      <c r="E389" s="24" t="n">
        <v>57.43</v>
      </c>
      <c r="F389" s="24" t="n">
        <v>21.6</v>
      </c>
      <c r="G389" s="24" t="n">
        <v>23.68</v>
      </c>
      <c r="H389" s="24" t="n">
        <v>23.459999</v>
      </c>
      <c r="I389" s="24" t="n">
        <v>34.362541</v>
      </c>
      <c r="J389" s="24" t="n">
        <v>95.529999</v>
      </c>
    </row>
    <row r="390" customFormat="false" ht="15" hidden="false" customHeight="false" outlineLevel="0" collapsed="false">
      <c r="A390" s="23" t="n">
        <v>44284</v>
      </c>
      <c r="B390" s="24" t="n">
        <v>69.110001</v>
      </c>
      <c r="C390" s="24" t="n">
        <v>17.866667</v>
      </c>
      <c r="D390" s="24" t="n">
        <v>28.629999</v>
      </c>
      <c r="E390" s="24" t="n">
        <v>57.549999</v>
      </c>
      <c r="F390" s="24" t="n">
        <v>21.65</v>
      </c>
      <c r="G390" s="24" t="n">
        <v>23.52</v>
      </c>
      <c r="H390" s="24" t="n">
        <v>23.83</v>
      </c>
      <c r="I390" s="24" t="n">
        <v>33.315826</v>
      </c>
      <c r="J390" s="24" t="n">
        <v>97.980003</v>
      </c>
    </row>
    <row r="391" customFormat="false" ht="15" hidden="false" customHeight="false" outlineLevel="0" collapsed="false">
      <c r="A391" s="23" t="n">
        <v>44285</v>
      </c>
      <c r="B391" s="24" t="n">
        <v>70.800003</v>
      </c>
      <c r="C391" s="24" t="n">
        <v>17.833332</v>
      </c>
      <c r="D391" s="24" t="n">
        <v>28.32</v>
      </c>
      <c r="E391" s="24" t="n">
        <v>59.799999</v>
      </c>
      <c r="F391" s="24" t="n">
        <v>22.5</v>
      </c>
      <c r="G391" s="24" t="n">
        <v>24.84</v>
      </c>
      <c r="H391" s="24" t="n">
        <v>23.83</v>
      </c>
      <c r="I391" s="24" t="n">
        <v>35.16</v>
      </c>
      <c r="J391" s="24" t="n">
        <v>97.07</v>
      </c>
    </row>
    <row r="392" customFormat="false" ht="15" hidden="false" customHeight="false" outlineLevel="0" collapsed="false">
      <c r="A392" s="23" t="n">
        <v>44286</v>
      </c>
      <c r="B392" s="24" t="n">
        <v>70.349998</v>
      </c>
      <c r="C392" s="24" t="n">
        <v>18.206667</v>
      </c>
      <c r="D392" s="24" t="n">
        <v>27.629999</v>
      </c>
      <c r="E392" s="24" t="n">
        <v>59.73</v>
      </c>
      <c r="F392" s="24" t="n">
        <v>22.360001</v>
      </c>
      <c r="G392" s="24" t="n">
        <v>24.49</v>
      </c>
      <c r="H392" s="24" t="n">
        <v>24.1</v>
      </c>
      <c r="I392" s="24" t="n">
        <v>34.169998</v>
      </c>
      <c r="J392" s="24" t="n">
        <v>97.970001</v>
      </c>
    </row>
    <row r="393" customFormat="false" ht="15" hidden="false" customHeight="false" outlineLevel="0" collapsed="false">
      <c r="A393" s="23" t="n">
        <v>44287</v>
      </c>
      <c r="B393" s="24" t="n">
        <v>69.910004</v>
      </c>
      <c r="C393" s="24" t="n">
        <v>17.870001</v>
      </c>
      <c r="D393" s="24" t="n">
        <v>28.049999</v>
      </c>
      <c r="E393" s="24" t="n">
        <v>60.040001</v>
      </c>
      <c r="F393" s="24" t="n">
        <v>22.4</v>
      </c>
      <c r="G393" s="24" t="n">
        <v>24.190001</v>
      </c>
      <c r="H393" s="24" t="n">
        <v>23.889999</v>
      </c>
      <c r="I393" s="24" t="n">
        <v>33.389999</v>
      </c>
      <c r="J393" s="24" t="n">
        <v>97.389999</v>
      </c>
    </row>
    <row r="394" customFormat="false" ht="15" hidden="false" customHeight="false" outlineLevel="0" collapsed="false">
      <c r="A394" s="23" t="n">
        <v>44291</v>
      </c>
      <c r="B394" s="24" t="n">
        <v>71.029999</v>
      </c>
      <c r="C394" s="24" t="n">
        <v>18.106667</v>
      </c>
      <c r="D394" s="24" t="n">
        <v>28.08</v>
      </c>
      <c r="E394" s="24" t="n">
        <v>61.529999</v>
      </c>
      <c r="F394" s="24" t="n">
        <v>22.84</v>
      </c>
      <c r="G394" s="24" t="n">
        <v>24.549999</v>
      </c>
      <c r="H394" s="24" t="n">
        <v>24.040001</v>
      </c>
      <c r="I394" s="24" t="n">
        <v>33.490002</v>
      </c>
      <c r="J394" s="24" t="n">
        <v>103.389999</v>
      </c>
    </row>
    <row r="395" customFormat="false" ht="15" hidden="false" customHeight="false" outlineLevel="0" collapsed="false">
      <c r="A395" s="23" t="n">
        <v>44292</v>
      </c>
      <c r="B395" s="24" t="n">
        <v>72.989998</v>
      </c>
      <c r="C395" s="24" t="n">
        <v>18.356667</v>
      </c>
      <c r="D395" s="24" t="n">
        <v>28.6</v>
      </c>
      <c r="E395" s="24" t="n">
        <v>62.360001</v>
      </c>
      <c r="F395" s="24" t="n">
        <v>22.700001</v>
      </c>
      <c r="G395" s="24" t="n">
        <v>24.27</v>
      </c>
      <c r="H395" s="24" t="n">
        <v>24.02</v>
      </c>
      <c r="I395" s="24" t="n">
        <v>34.919998</v>
      </c>
      <c r="J395" s="24" t="n">
        <v>102.050003</v>
      </c>
    </row>
    <row r="396" customFormat="false" ht="15" hidden="false" customHeight="false" outlineLevel="0" collapsed="false">
      <c r="A396" s="23" t="n">
        <v>44293</v>
      </c>
      <c r="B396" s="24" t="n">
        <v>71.699997</v>
      </c>
      <c r="C396" s="24" t="n">
        <v>18.316666</v>
      </c>
      <c r="D396" s="24" t="n">
        <v>28.83</v>
      </c>
      <c r="E396" s="24" t="n">
        <v>62.400002</v>
      </c>
      <c r="F396" s="24" t="n">
        <v>22.190001</v>
      </c>
      <c r="G396" s="24" t="n">
        <v>23.99</v>
      </c>
      <c r="H396" s="24" t="n">
        <v>24</v>
      </c>
      <c r="I396" s="24" t="n">
        <v>34.77</v>
      </c>
      <c r="J396" s="24" t="n">
        <v>104.559998</v>
      </c>
    </row>
    <row r="397" customFormat="false" ht="15" hidden="false" customHeight="false" outlineLevel="0" collapsed="false">
      <c r="A397" s="23" t="n">
        <v>44294</v>
      </c>
      <c r="B397" s="24" t="n">
        <v>73.129997</v>
      </c>
      <c r="C397" s="24" t="n">
        <v>18.616667</v>
      </c>
      <c r="D397" s="24" t="n">
        <v>29.18</v>
      </c>
      <c r="E397" s="24" t="n">
        <v>63.599998</v>
      </c>
      <c r="F397" s="24" t="n">
        <v>22.389999</v>
      </c>
      <c r="G397" s="24" t="n">
        <v>23.379999</v>
      </c>
      <c r="H397" s="24" t="n">
        <v>23.700001</v>
      </c>
      <c r="I397" s="24" t="n">
        <v>34.27</v>
      </c>
      <c r="J397" s="24" t="n">
        <v>104.5</v>
      </c>
    </row>
    <row r="398" customFormat="false" ht="15" hidden="false" customHeight="false" outlineLevel="0" collapsed="false">
      <c r="A398" s="23" t="n">
        <v>44295</v>
      </c>
      <c r="B398" s="24" t="n">
        <v>74.489998</v>
      </c>
      <c r="C398" s="24" t="n">
        <v>18.406666</v>
      </c>
      <c r="D398" s="24" t="n">
        <v>29.440001</v>
      </c>
      <c r="E398" s="24" t="n">
        <v>62.990002</v>
      </c>
      <c r="F398" s="24" t="n">
        <v>21.91</v>
      </c>
      <c r="G398" s="24" t="n">
        <v>23.700001</v>
      </c>
      <c r="H398" s="24" t="n">
        <v>23.65</v>
      </c>
      <c r="I398" s="24" t="n">
        <v>34.18</v>
      </c>
      <c r="J398" s="24" t="n">
        <v>103</v>
      </c>
    </row>
    <row r="399" customFormat="false" ht="15" hidden="false" customHeight="false" outlineLevel="0" collapsed="false">
      <c r="A399" s="23" t="n">
        <v>44298</v>
      </c>
      <c r="B399" s="24" t="n">
        <v>74.379997</v>
      </c>
      <c r="C399" s="24" t="n">
        <v>18.59</v>
      </c>
      <c r="D399" s="24" t="n">
        <v>29.950001</v>
      </c>
      <c r="E399" s="24" t="n">
        <v>62.98</v>
      </c>
      <c r="F399" s="24" t="n">
        <v>22.02</v>
      </c>
      <c r="G399" s="24" t="n">
        <v>23.530001</v>
      </c>
      <c r="H399" s="24" t="n">
        <v>23.889999</v>
      </c>
      <c r="I399" s="24" t="n">
        <v>33.759998</v>
      </c>
      <c r="J399" s="24" t="n">
        <v>103.400002</v>
      </c>
    </row>
    <row r="400" customFormat="false" ht="15" hidden="false" customHeight="false" outlineLevel="0" collapsed="false">
      <c r="A400" s="23" t="n">
        <v>44299</v>
      </c>
      <c r="B400" s="24" t="n">
        <v>74.389999</v>
      </c>
      <c r="C400" s="24" t="n">
        <v>18.433332</v>
      </c>
      <c r="D400" s="24" t="n">
        <v>29.959999</v>
      </c>
      <c r="E400" s="24" t="n">
        <v>63.200001</v>
      </c>
      <c r="F400" s="24" t="n">
        <v>24.07</v>
      </c>
      <c r="G400" s="24" t="n">
        <v>23.799999</v>
      </c>
      <c r="H400" s="24" t="n">
        <v>23.969999</v>
      </c>
      <c r="I400" s="24" t="n">
        <v>33.759998</v>
      </c>
      <c r="J400" s="24" t="n">
        <v>103.580002</v>
      </c>
    </row>
    <row r="401" customFormat="false" ht="15" hidden="false" customHeight="false" outlineLevel="0" collapsed="false">
      <c r="A401" s="23" t="n">
        <v>44300</v>
      </c>
      <c r="B401" s="24" t="n">
        <v>74.709999</v>
      </c>
      <c r="C401" s="24" t="n">
        <v>18.343332</v>
      </c>
      <c r="D401" s="24" t="n">
        <v>29.700001</v>
      </c>
      <c r="E401" s="24" t="n">
        <v>63.650002</v>
      </c>
      <c r="F401" s="24" t="n">
        <v>23.309999</v>
      </c>
      <c r="G401" s="24" t="n">
        <v>23.280001</v>
      </c>
      <c r="H401" s="24" t="n">
        <v>24.35</v>
      </c>
      <c r="I401" s="24" t="n">
        <v>32.599998</v>
      </c>
      <c r="J401" s="24" t="n">
        <v>107</v>
      </c>
    </row>
    <row r="402" customFormat="false" ht="15" hidden="false" customHeight="false" outlineLevel="0" collapsed="false">
      <c r="A402" s="23" t="n">
        <v>44301</v>
      </c>
      <c r="B402" s="24" t="n">
        <v>80.949997</v>
      </c>
      <c r="C402" s="24" t="n">
        <v>18.186666</v>
      </c>
      <c r="D402" s="24" t="n">
        <v>30.049999</v>
      </c>
      <c r="E402" s="24" t="n">
        <v>63.599998</v>
      </c>
      <c r="F402" s="24" t="n">
        <v>23.26</v>
      </c>
      <c r="G402" s="24" t="n">
        <v>23.719999</v>
      </c>
      <c r="H402" s="24" t="n">
        <v>23.09</v>
      </c>
      <c r="I402" s="24" t="n">
        <v>31.959999</v>
      </c>
      <c r="J402" s="24" t="n">
        <v>108.209999</v>
      </c>
    </row>
    <row r="403" customFormat="false" ht="15" hidden="false" customHeight="false" outlineLevel="0" collapsed="false">
      <c r="A403" s="23" t="n">
        <v>44302</v>
      </c>
      <c r="B403" s="24" t="n">
        <v>79.580002</v>
      </c>
      <c r="C403" s="24" t="n">
        <v>18.466665</v>
      </c>
      <c r="D403" s="24" t="n">
        <v>29.530001</v>
      </c>
      <c r="E403" s="24" t="n">
        <v>64.18</v>
      </c>
      <c r="F403" s="24" t="n">
        <v>23.6</v>
      </c>
      <c r="G403" s="24" t="n">
        <v>23.85</v>
      </c>
      <c r="H403" s="24" t="n">
        <v>22.950001</v>
      </c>
      <c r="I403" s="24" t="n">
        <v>32.279999</v>
      </c>
      <c r="J403" s="24" t="n">
        <v>108.669998</v>
      </c>
    </row>
    <row r="404" customFormat="false" ht="15" hidden="false" customHeight="false" outlineLevel="0" collapsed="false">
      <c r="A404" s="23" t="n">
        <v>44305</v>
      </c>
      <c r="B404" s="24" t="n">
        <v>78.559998</v>
      </c>
      <c r="C404" s="24" t="n">
        <v>18.120001</v>
      </c>
      <c r="D404" s="24" t="n">
        <v>29.84</v>
      </c>
      <c r="E404" s="24" t="n">
        <v>62.439999</v>
      </c>
      <c r="F404" s="24" t="n">
        <v>23.35</v>
      </c>
      <c r="G404" s="24" t="n">
        <v>23.92</v>
      </c>
      <c r="H404" s="24" t="n">
        <v>24.280001</v>
      </c>
      <c r="I404" s="24" t="n">
        <v>32.5</v>
      </c>
      <c r="J404" s="24" t="n">
        <v>107.730003</v>
      </c>
    </row>
    <row r="405" customFormat="false" ht="15" hidden="false" customHeight="false" outlineLevel="0" collapsed="false">
      <c r="A405" s="23" t="n">
        <v>44306</v>
      </c>
      <c r="B405" s="24" t="n">
        <v>78.830002</v>
      </c>
      <c r="C405" s="24" t="n">
        <v>17.906666</v>
      </c>
      <c r="D405" s="24" t="n">
        <v>30.09</v>
      </c>
      <c r="E405" s="24" t="n">
        <v>61.779999</v>
      </c>
      <c r="F405" s="24" t="n">
        <v>22.85</v>
      </c>
      <c r="G405" s="24" t="n">
        <v>23.93</v>
      </c>
      <c r="H405" s="24" t="n">
        <v>23.82</v>
      </c>
      <c r="I405" s="24" t="n">
        <v>32.650002</v>
      </c>
      <c r="J405" s="24" t="n">
        <v>106.160004</v>
      </c>
    </row>
    <row r="406" customFormat="false" ht="15" hidden="false" customHeight="false" outlineLevel="0" collapsed="false">
      <c r="A406" s="23" t="n">
        <v>44308</v>
      </c>
      <c r="B406" s="24" t="n">
        <v>78.919998</v>
      </c>
      <c r="C406" s="24" t="n">
        <v>17.783333</v>
      </c>
      <c r="D406" s="24" t="n">
        <v>29.299999</v>
      </c>
      <c r="E406" s="24" t="n">
        <v>60.869999</v>
      </c>
      <c r="F406" s="24" t="n">
        <v>22.120001</v>
      </c>
      <c r="G406" s="24" t="n">
        <v>23.1</v>
      </c>
      <c r="H406" s="24" t="n">
        <v>23.709999</v>
      </c>
      <c r="I406" s="24" t="n">
        <v>32.130001</v>
      </c>
      <c r="J406" s="24" t="n">
        <v>106.230003</v>
      </c>
    </row>
    <row r="407" customFormat="false" ht="15" hidden="false" customHeight="false" outlineLevel="0" collapsed="false">
      <c r="A407" s="23" t="n">
        <v>44309</v>
      </c>
      <c r="B407" s="24" t="n">
        <v>79.5</v>
      </c>
      <c r="C407" s="24" t="n">
        <v>17.906666</v>
      </c>
      <c r="D407" s="24" t="n">
        <v>29.129999</v>
      </c>
      <c r="E407" s="24" t="n">
        <v>61.700001</v>
      </c>
      <c r="F407" s="24" t="n">
        <v>22.799999</v>
      </c>
      <c r="G407" s="24" t="n">
        <v>23.57</v>
      </c>
      <c r="H407" s="24" t="n">
        <v>23.690001</v>
      </c>
      <c r="I407" s="24" t="n">
        <v>33.240002</v>
      </c>
      <c r="J407" s="24" t="n">
        <v>107.989998</v>
      </c>
    </row>
    <row r="408" customFormat="false" ht="15" hidden="false" customHeight="false" outlineLevel="0" collapsed="false">
      <c r="A408" s="23" t="n">
        <v>44312</v>
      </c>
      <c r="B408" s="24" t="n">
        <v>76.910004</v>
      </c>
      <c r="C408" s="24" t="n">
        <v>17.67</v>
      </c>
      <c r="D408" s="24" t="n">
        <v>28.969999</v>
      </c>
      <c r="E408" s="24" t="n">
        <v>61.919998</v>
      </c>
      <c r="F408" s="24" t="n">
        <v>22.35</v>
      </c>
      <c r="G408" s="24" t="n">
        <v>24</v>
      </c>
      <c r="H408" s="24" t="n">
        <v>23.780001</v>
      </c>
      <c r="I408" s="24" t="n">
        <v>33.400002</v>
      </c>
      <c r="J408" s="24" t="n">
        <v>108.57</v>
      </c>
    </row>
    <row r="409" customFormat="false" ht="15" hidden="false" customHeight="false" outlineLevel="0" collapsed="false">
      <c r="A409" s="23" t="n">
        <v>44313</v>
      </c>
      <c r="B409" s="24" t="n">
        <v>76.470001</v>
      </c>
      <c r="C409" s="24" t="n">
        <v>17.65</v>
      </c>
      <c r="D409" s="24" t="n">
        <v>29.280001</v>
      </c>
      <c r="E409" s="24" t="n">
        <v>61.040001</v>
      </c>
      <c r="F409" s="24" t="n">
        <v>21.83</v>
      </c>
      <c r="G409" s="24" t="n">
        <v>23.629999</v>
      </c>
      <c r="H409" s="24" t="n">
        <v>23.1</v>
      </c>
      <c r="I409" s="24" t="n">
        <v>32.650002</v>
      </c>
      <c r="J409" s="24" t="n">
        <v>110.120003</v>
      </c>
    </row>
    <row r="410" customFormat="false" ht="15" hidden="false" customHeight="false" outlineLevel="0" collapsed="false">
      <c r="A410" s="23" t="n">
        <v>44314</v>
      </c>
      <c r="B410" s="24" t="n">
        <v>76.82</v>
      </c>
      <c r="C410" s="24" t="n">
        <v>17.866667</v>
      </c>
      <c r="D410" s="24" t="n">
        <v>28.200001</v>
      </c>
      <c r="E410" s="24" t="n">
        <v>63.119999</v>
      </c>
      <c r="F410" s="24" t="n">
        <v>22.629999</v>
      </c>
      <c r="G410" s="24" t="n">
        <v>23.950001</v>
      </c>
      <c r="H410" s="24" t="n">
        <v>23.940001</v>
      </c>
      <c r="I410" s="24" t="n">
        <v>32.91</v>
      </c>
      <c r="J410" s="24" t="n">
        <v>111.919998</v>
      </c>
    </row>
    <row r="411" customFormat="false" ht="15" hidden="false" customHeight="false" outlineLevel="0" collapsed="false">
      <c r="A411" s="23" t="n">
        <v>44315</v>
      </c>
      <c r="B411" s="24" t="n">
        <v>76.169998</v>
      </c>
      <c r="C411" s="24" t="n">
        <v>17.516666</v>
      </c>
      <c r="D411" s="24" t="n">
        <v>28.200001</v>
      </c>
      <c r="E411" s="24" t="n">
        <v>63.369999</v>
      </c>
      <c r="F411" s="24" t="n">
        <v>21.459999</v>
      </c>
      <c r="G411" s="24" t="n">
        <v>23.43</v>
      </c>
      <c r="H411" s="24" t="n">
        <v>23.620001</v>
      </c>
      <c r="I411" s="24" t="n">
        <v>33.389999</v>
      </c>
      <c r="J411" s="24" t="n">
        <v>111.949997</v>
      </c>
    </row>
    <row r="412" customFormat="false" ht="15" hidden="false" customHeight="false" outlineLevel="0" collapsed="false">
      <c r="A412" s="23" t="n">
        <v>44316</v>
      </c>
      <c r="B412" s="24" t="n">
        <v>75.650002</v>
      </c>
      <c r="C412" s="24" t="n">
        <v>17.166666</v>
      </c>
      <c r="D412" s="24" t="n">
        <v>27.879999</v>
      </c>
      <c r="E412" s="24" t="n">
        <v>64.300003</v>
      </c>
      <c r="F412" s="24" t="n">
        <v>20.860001</v>
      </c>
      <c r="G412" s="24" t="n">
        <v>23.030001</v>
      </c>
      <c r="H412" s="24" t="n">
        <v>23.620001</v>
      </c>
      <c r="I412" s="24" t="n">
        <v>32.560001</v>
      </c>
      <c r="J412" s="24" t="n">
        <v>109.019997</v>
      </c>
    </row>
    <row r="413" customFormat="false" ht="15" hidden="false" customHeight="false" outlineLevel="0" collapsed="false">
      <c r="A413" s="23" t="n">
        <v>44319</v>
      </c>
      <c r="B413" s="24" t="n">
        <v>75.620003</v>
      </c>
      <c r="C413" s="24" t="n">
        <v>17.163334</v>
      </c>
      <c r="D413" s="24" t="n">
        <v>27.530001</v>
      </c>
      <c r="E413" s="24" t="n">
        <v>64.110001</v>
      </c>
      <c r="F413" s="24" t="n">
        <v>20.950001</v>
      </c>
      <c r="G413" s="24" t="n">
        <v>24</v>
      </c>
      <c r="H413" s="24" t="n">
        <v>23.43</v>
      </c>
      <c r="I413" s="24" t="n">
        <v>33.150002</v>
      </c>
      <c r="J413" s="24" t="n">
        <v>108.459999</v>
      </c>
    </row>
    <row r="414" customFormat="false" ht="15" hidden="false" customHeight="false" outlineLevel="0" collapsed="false">
      <c r="A414" s="23" t="n">
        <v>44320</v>
      </c>
      <c r="B414" s="24" t="n">
        <v>76</v>
      </c>
      <c r="C414" s="24" t="n">
        <v>16.889999</v>
      </c>
      <c r="D414" s="24" t="n">
        <v>27.379999</v>
      </c>
      <c r="E414" s="24" t="n">
        <v>62.740002</v>
      </c>
      <c r="F414" s="24" t="n">
        <v>21</v>
      </c>
      <c r="G414" s="24" t="n">
        <v>23.65</v>
      </c>
      <c r="H414" s="24" t="n">
        <v>22.889999</v>
      </c>
      <c r="I414" s="24" t="n">
        <v>32.919998</v>
      </c>
      <c r="J414" s="24" t="n">
        <v>110.099998</v>
      </c>
    </row>
    <row r="415" customFormat="false" ht="15" hidden="false" customHeight="false" outlineLevel="0" collapsed="false">
      <c r="A415" s="23" t="n">
        <v>44321</v>
      </c>
      <c r="B415" s="24" t="n">
        <v>79.449997</v>
      </c>
      <c r="C415" s="24" t="n">
        <v>17.166666</v>
      </c>
      <c r="D415" s="24" t="n">
        <v>27.889999</v>
      </c>
      <c r="E415" s="24" t="n">
        <v>61.599998</v>
      </c>
      <c r="F415" s="24" t="n">
        <v>20.91</v>
      </c>
      <c r="G415" s="24" t="n">
        <v>23.67</v>
      </c>
      <c r="H415" s="24" t="n">
        <v>23.83</v>
      </c>
      <c r="I415" s="24" t="n">
        <v>33.950001</v>
      </c>
      <c r="J415" s="24" t="n">
        <v>110.709999</v>
      </c>
    </row>
    <row r="416" customFormat="false" ht="15" hidden="false" customHeight="false" outlineLevel="0" collapsed="false">
      <c r="A416" s="23" t="n">
        <v>44322</v>
      </c>
      <c r="B416" s="24" t="n">
        <v>80</v>
      </c>
      <c r="C416" s="24" t="n">
        <v>16.933332</v>
      </c>
      <c r="D416" s="24" t="n">
        <v>27.85</v>
      </c>
      <c r="E416" s="24" t="n">
        <v>61.77</v>
      </c>
      <c r="F416" s="24" t="n">
        <v>20.450001</v>
      </c>
      <c r="G416" s="24" t="n">
        <v>23.809999</v>
      </c>
      <c r="H416" s="24" t="n">
        <v>23.5</v>
      </c>
      <c r="I416" s="24" t="n">
        <v>33.830002</v>
      </c>
      <c r="J416" s="24" t="n">
        <v>115.050003</v>
      </c>
    </row>
    <row r="417" customFormat="false" ht="15" hidden="false" customHeight="false" outlineLevel="0" collapsed="false">
      <c r="A417" s="23" t="n">
        <v>44323</v>
      </c>
      <c r="B417" s="24" t="n">
        <v>81.089996</v>
      </c>
      <c r="C417" s="24" t="n">
        <v>17.780001</v>
      </c>
      <c r="D417" s="24" t="n">
        <v>27.9</v>
      </c>
      <c r="E417" s="24" t="n">
        <v>63.209999</v>
      </c>
      <c r="F417" s="24" t="n">
        <v>20.5</v>
      </c>
      <c r="G417" s="24" t="n">
        <v>24.82</v>
      </c>
      <c r="H417" s="24" t="n">
        <v>24.379999</v>
      </c>
      <c r="I417" s="24" t="n">
        <v>34.59</v>
      </c>
      <c r="J417" s="24" t="n">
        <v>115.449997</v>
      </c>
    </row>
    <row r="418" customFormat="false" ht="15" hidden="false" customHeight="false" outlineLevel="0" collapsed="false">
      <c r="A418" s="23" t="n">
        <v>44326</v>
      </c>
      <c r="B418" s="24" t="n">
        <v>81.68</v>
      </c>
      <c r="C418" s="24" t="n">
        <v>17.766666</v>
      </c>
      <c r="D418" s="24" t="n">
        <v>28.02</v>
      </c>
      <c r="E418" s="24" t="n">
        <v>62.950001</v>
      </c>
      <c r="F418" s="24" t="n">
        <v>19.690001</v>
      </c>
      <c r="G418" s="24" t="n">
        <v>25.040001</v>
      </c>
      <c r="H418" s="24" t="n">
        <v>24.700001</v>
      </c>
      <c r="I418" s="24" t="n">
        <v>33.91</v>
      </c>
      <c r="J418" s="24" t="n">
        <v>114.690002</v>
      </c>
    </row>
    <row r="419" customFormat="false" ht="15" hidden="false" customHeight="false" outlineLevel="0" collapsed="false">
      <c r="A419" s="23" t="n">
        <v>44327</v>
      </c>
      <c r="B419" s="24" t="n">
        <v>82</v>
      </c>
      <c r="C419" s="24" t="n">
        <v>17.616667</v>
      </c>
      <c r="D419" s="24" t="n">
        <v>28.299999</v>
      </c>
      <c r="E419" s="24" t="n">
        <v>62.84</v>
      </c>
      <c r="F419" s="24" t="n">
        <v>19.6</v>
      </c>
      <c r="G419" s="24" t="n">
        <v>24.83</v>
      </c>
      <c r="H419" s="24" t="n">
        <v>25.15</v>
      </c>
      <c r="I419" s="24" t="n">
        <v>34.580002</v>
      </c>
      <c r="J419" s="24" t="n">
        <v>118.720001</v>
      </c>
    </row>
    <row r="420" customFormat="false" ht="15" hidden="false" customHeight="false" outlineLevel="0" collapsed="false">
      <c r="A420" s="23" t="n">
        <v>44328</v>
      </c>
      <c r="B420" s="24" t="n">
        <v>80.400002</v>
      </c>
      <c r="C420" s="24" t="n">
        <v>17.166666</v>
      </c>
      <c r="D420" s="24" t="n">
        <v>27.690001</v>
      </c>
      <c r="E420" s="24" t="n">
        <v>58.299999</v>
      </c>
      <c r="F420" s="24" t="n">
        <v>19.34</v>
      </c>
      <c r="G420" s="24" t="n">
        <v>23.27</v>
      </c>
      <c r="H420" s="24" t="n">
        <v>24.780001</v>
      </c>
      <c r="I420" s="24" t="n">
        <v>33</v>
      </c>
      <c r="J420" s="24" t="n">
        <v>114.330002</v>
      </c>
    </row>
    <row r="421" customFormat="false" ht="15" hidden="false" customHeight="false" outlineLevel="0" collapsed="false">
      <c r="A421" s="23" t="n">
        <v>44329</v>
      </c>
      <c r="B421" s="24" t="n">
        <v>81.18</v>
      </c>
      <c r="C421" s="24" t="n">
        <v>17.25</v>
      </c>
      <c r="D421" s="24" t="n">
        <v>27.299999</v>
      </c>
      <c r="E421" s="24" t="n">
        <v>58.790001</v>
      </c>
      <c r="F421" s="24" t="n">
        <v>19.43</v>
      </c>
      <c r="G421" s="24" t="n">
        <v>23.700001</v>
      </c>
      <c r="H421" s="24" t="n">
        <v>24.99</v>
      </c>
      <c r="I421" s="24" t="n">
        <v>33.07</v>
      </c>
      <c r="J421" s="24" t="n">
        <v>112.489998</v>
      </c>
    </row>
    <row r="422" customFormat="false" ht="15" hidden="false" customHeight="false" outlineLevel="0" collapsed="false">
      <c r="A422" s="23" t="n">
        <v>44330</v>
      </c>
      <c r="B422" s="24" t="n">
        <v>83.839996</v>
      </c>
      <c r="C422" s="24" t="n">
        <v>17.85</v>
      </c>
      <c r="D422" s="24" t="n">
        <v>26.9</v>
      </c>
      <c r="E422" s="24" t="n">
        <v>58.790001</v>
      </c>
      <c r="F422" s="24" t="n">
        <v>19.440001</v>
      </c>
      <c r="G422" s="24" t="n">
        <v>24.209999</v>
      </c>
      <c r="H422" s="24" t="n">
        <v>26.299999</v>
      </c>
      <c r="I422" s="24" t="n">
        <v>33.240002</v>
      </c>
      <c r="J422" s="24" t="n">
        <v>110.559998</v>
      </c>
    </row>
    <row r="423" customFormat="false" ht="15" hidden="false" customHeight="false" outlineLevel="0" collapsed="false">
      <c r="A423" s="23" t="n">
        <v>44333</v>
      </c>
      <c r="B423" s="24" t="n">
        <v>85.459999</v>
      </c>
      <c r="C423" s="24" t="n">
        <v>17.58</v>
      </c>
      <c r="D423" s="24" t="n">
        <v>26.959999</v>
      </c>
      <c r="E423" s="24" t="n">
        <v>59.919998</v>
      </c>
      <c r="F423" s="24" t="n">
        <v>19.540001</v>
      </c>
      <c r="G423" s="24" t="n">
        <v>24.6</v>
      </c>
      <c r="H423" s="24" t="n">
        <v>26.66</v>
      </c>
      <c r="I423" s="24" t="n">
        <v>32.82</v>
      </c>
      <c r="J423" s="24" t="n">
        <v>113.459999</v>
      </c>
    </row>
    <row r="424" customFormat="false" ht="15" hidden="false" customHeight="false" outlineLevel="0" collapsed="false">
      <c r="A424" s="23" t="n">
        <v>44334</v>
      </c>
      <c r="B424" s="24" t="n">
        <v>85</v>
      </c>
      <c r="C424" s="24" t="n">
        <v>17.299999</v>
      </c>
      <c r="D424" s="24" t="n">
        <v>26.75</v>
      </c>
      <c r="E424" s="24" t="n">
        <v>61</v>
      </c>
      <c r="F424" s="24" t="n">
        <v>19.52</v>
      </c>
      <c r="G424" s="24" t="n">
        <v>24.42</v>
      </c>
      <c r="H424" s="24" t="n">
        <v>26.35</v>
      </c>
      <c r="I424" s="24" t="n">
        <v>31.99</v>
      </c>
      <c r="J424" s="24" t="n">
        <v>114.599998</v>
      </c>
    </row>
    <row r="425" customFormat="false" ht="15" hidden="false" customHeight="false" outlineLevel="0" collapsed="false">
      <c r="A425" s="23" t="n">
        <v>44335</v>
      </c>
      <c r="B425" s="24" t="n">
        <v>84.800003</v>
      </c>
      <c r="C425" s="24" t="n">
        <v>17.219999</v>
      </c>
      <c r="D425" s="24" t="n">
        <v>26.799999</v>
      </c>
      <c r="E425" s="24" t="n">
        <v>59.759998</v>
      </c>
      <c r="F425" s="24" t="n">
        <v>19.059999</v>
      </c>
      <c r="G425" s="24" t="n">
        <v>24.57</v>
      </c>
      <c r="H425" s="24" t="n">
        <v>26.15</v>
      </c>
      <c r="I425" s="24" t="n">
        <v>31.799999</v>
      </c>
      <c r="J425" s="24" t="n">
        <v>112.25</v>
      </c>
    </row>
    <row r="426" customFormat="false" ht="15" hidden="false" customHeight="false" outlineLevel="0" collapsed="false">
      <c r="A426" s="23" t="n">
        <v>44336</v>
      </c>
      <c r="B426" s="24" t="n">
        <v>84.709999</v>
      </c>
      <c r="C426" s="24" t="n">
        <v>17.25</v>
      </c>
      <c r="D426" s="24" t="n">
        <v>26.16</v>
      </c>
      <c r="E426" s="24" t="n">
        <v>62.470001</v>
      </c>
      <c r="F426" s="24" t="n">
        <v>18.82</v>
      </c>
      <c r="G426" s="24" t="n">
        <v>25.110001</v>
      </c>
      <c r="H426" s="24" t="n">
        <v>25.93</v>
      </c>
      <c r="I426" s="24" t="n">
        <v>32.02</v>
      </c>
      <c r="J426" s="24" t="n">
        <v>111.110001</v>
      </c>
    </row>
    <row r="427" customFormat="false" ht="15" hidden="false" customHeight="false" outlineLevel="0" collapsed="false">
      <c r="A427" s="23" t="n">
        <v>44337</v>
      </c>
      <c r="B427" s="24" t="n">
        <v>84.839996</v>
      </c>
      <c r="C427" s="24" t="n">
        <v>17.35</v>
      </c>
      <c r="D427" s="24" t="n">
        <v>26</v>
      </c>
      <c r="E427" s="24" t="n">
        <v>62.880001</v>
      </c>
      <c r="F427" s="24" t="n">
        <v>18.459999</v>
      </c>
      <c r="G427" s="24" t="n">
        <v>24.52</v>
      </c>
      <c r="H427" s="24" t="n">
        <v>25.950001</v>
      </c>
      <c r="I427" s="24" t="n">
        <v>31.629999</v>
      </c>
      <c r="J427" s="24" t="n">
        <v>109.400002</v>
      </c>
    </row>
    <row r="428" customFormat="false" ht="15" hidden="false" customHeight="false" outlineLevel="0" collapsed="false">
      <c r="A428" s="23" t="n">
        <v>44340</v>
      </c>
      <c r="B428" s="24" t="n">
        <v>85.760002</v>
      </c>
      <c r="C428" s="24" t="n">
        <v>17.450001</v>
      </c>
      <c r="D428" s="24" t="n">
        <v>26.07</v>
      </c>
      <c r="E428" s="24" t="n">
        <v>64.25</v>
      </c>
      <c r="F428" s="24" t="n">
        <v>19.48</v>
      </c>
      <c r="G428" s="24" t="n">
        <v>24.620001</v>
      </c>
      <c r="H428" s="24" t="n">
        <v>26.389999</v>
      </c>
      <c r="I428" s="24" t="n">
        <v>32</v>
      </c>
      <c r="J428" s="24" t="n">
        <v>109.779999</v>
      </c>
    </row>
    <row r="429" customFormat="false" ht="15" hidden="false" customHeight="false" outlineLevel="0" collapsed="false">
      <c r="A429" s="23" t="n">
        <v>44341</v>
      </c>
      <c r="B429" s="24" t="n">
        <v>85.82</v>
      </c>
      <c r="C429" s="24" t="n">
        <v>17</v>
      </c>
      <c r="D429" s="24" t="n">
        <v>25.98</v>
      </c>
      <c r="E429" s="24" t="n">
        <v>63.200001</v>
      </c>
      <c r="F429" s="24" t="n">
        <v>19.700001</v>
      </c>
      <c r="G429" s="24" t="n">
        <v>24.98</v>
      </c>
      <c r="H429" s="24" t="n">
        <v>25.84</v>
      </c>
      <c r="I429" s="24" t="n">
        <v>32.09</v>
      </c>
      <c r="J429" s="24" t="n">
        <v>107.050003</v>
      </c>
    </row>
    <row r="430" customFormat="false" ht="15" hidden="false" customHeight="false" outlineLevel="0" collapsed="false">
      <c r="A430" s="23" t="n">
        <v>44342</v>
      </c>
      <c r="B430" s="24" t="n">
        <v>86.099998</v>
      </c>
      <c r="C430" s="24" t="n">
        <v>17.1</v>
      </c>
      <c r="D430" s="24" t="n">
        <v>25.959999</v>
      </c>
      <c r="E430" s="24" t="n">
        <v>63.400002</v>
      </c>
      <c r="F430" s="24" t="n">
        <v>19.299999</v>
      </c>
      <c r="G430" s="24" t="n">
        <v>25.219999</v>
      </c>
      <c r="H430" s="24" t="n">
        <v>26.09</v>
      </c>
      <c r="I430" s="24" t="n">
        <v>32.799999</v>
      </c>
      <c r="J430" s="24" t="n">
        <v>110.199997</v>
      </c>
    </row>
    <row r="431" customFormat="false" ht="15" hidden="false" customHeight="false" outlineLevel="0" collapsed="false">
      <c r="A431" s="23" t="n">
        <v>44343</v>
      </c>
      <c r="B431" s="24" t="n">
        <v>87.510002</v>
      </c>
      <c r="C431" s="24" t="n">
        <v>16.98</v>
      </c>
      <c r="D431" s="24" t="n">
        <v>26.780001</v>
      </c>
      <c r="E431" s="24" t="n">
        <v>61.740002</v>
      </c>
      <c r="F431" s="24" t="n">
        <v>19.379999</v>
      </c>
      <c r="G431" s="24" t="n">
        <v>25.379999</v>
      </c>
      <c r="H431" s="24" t="n">
        <v>25.91</v>
      </c>
      <c r="I431" s="24" t="n">
        <v>33.900002</v>
      </c>
      <c r="J431" s="24" t="n">
        <v>110.989998</v>
      </c>
    </row>
    <row r="432" customFormat="false" ht="15" hidden="false" customHeight="false" outlineLevel="0" collapsed="false">
      <c r="A432" s="23" t="n">
        <v>44344</v>
      </c>
      <c r="B432" s="24" t="n">
        <v>89.029999</v>
      </c>
      <c r="C432" s="24" t="n">
        <v>17.48</v>
      </c>
      <c r="D432" s="24" t="n">
        <v>26.190001</v>
      </c>
      <c r="E432" s="24" t="n">
        <v>61.939999</v>
      </c>
      <c r="F432" s="24" t="n">
        <v>20.049999</v>
      </c>
      <c r="G432" s="24" t="n">
        <v>25.59</v>
      </c>
      <c r="H432" s="24" t="n">
        <v>26.99</v>
      </c>
      <c r="I432" s="24" t="n">
        <v>34.68</v>
      </c>
      <c r="J432" s="24" t="n">
        <v>111.589996</v>
      </c>
    </row>
    <row r="433" customFormat="false" ht="15" hidden="false" customHeight="false" outlineLevel="0" collapsed="false">
      <c r="A433" s="23" t="n">
        <v>44347</v>
      </c>
      <c r="B433" s="24" t="n">
        <v>88.629997</v>
      </c>
      <c r="C433" s="24" t="n">
        <v>17.540001</v>
      </c>
      <c r="D433" s="24" t="n">
        <v>26.35</v>
      </c>
      <c r="E433" s="24" t="n">
        <v>62.650002</v>
      </c>
      <c r="F433" s="24" t="n">
        <v>19.889999</v>
      </c>
      <c r="G433" s="24" t="n">
        <v>25.66</v>
      </c>
      <c r="H433" s="24" t="n">
        <v>26.870001</v>
      </c>
      <c r="I433" s="24" t="n">
        <v>34.700001</v>
      </c>
      <c r="J433" s="24" t="n">
        <v>114.779999</v>
      </c>
    </row>
    <row r="434" customFormat="false" ht="15" hidden="false" customHeight="false" outlineLevel="0" collapsed="false">
      <c r="A434" s="23" t="n">
        <v>44348</v>
      </c>
      <c r="B434" s="24" t="n">
        <v>88.300003</v>
      </c>
      <c r="C434" s="24" t="n">
        <v>17.700001</v>
      </c>
      <c r="D434" s="24" t="n">
        <v>25.790001</v>
      </c>
      <c r="E434" s="24" t="n">
        <v>64.160004</v>
      </c>
      <c r="F434" s="24" t="n">
        <v>21.4</v>
      </c>
      <c r="G434" s="24" t="n">
        <v>25.959999</v>
      </c>
      <c r="H434" s="24" t="n">
        <v>27.290001</v>
      </c>
      <c r="I434" s="24" t="n">
        <v>34.959999</v>
      </c>
      <c r="J434" s="24" t="n">
        <v>113.199997</v>
      </c>
    </row>
    <row r="435" customFormat="false" ht="15" hidden="false" customHeight="false" outlineLevel="0" collapsed="false">
      <c r="A435" s="23" t="n">
        <v>44349</v>
      </c>
      <c r="B435" s="24" t="n">
        <v>87.349998</v>
      </c>
      <c r="C435" s="24" t="n">
        <v>17.01</v>
      </c>
      <c r="D435" s="24" t="n">
        <v>25.33</v>
      </c>
      <c r="E435" s="24" t="n">
        <v>64.730003</v>
      </c>
      <c r="F435" s="24" t="n">
        <v>21.32</v>
      </c>
      <c r="G435" s="24" t="n">
        <v>26.25</v>
      </c>
      <c r="H435" s="24" t="n">
        <v>27.870001</v>
      </c>
      <c r="I435" s="24" t="n">
        <v>33.709999</v>
      </c>
      <c r="J435" s="24" t="n">
        <v>114.800003</v>
      </c>
    </row>
    <row r="436" customFormat="false" ht="15" hidden="false" customHeight="false" outlineLevel="0" collapsed="false">
      <c r="A436" s="23" t="n">
        <v>44351</v>
      </c>
      <c r="B436" s="24" t="n">
        <v>85.800003</v>
      </c>
      <c r="C436" s="24" t="n">
        <v>17.24</v>
      </c>
      <c r="D436" s="24" t="n">
        <v>25.32</v>
      </c>
      <c r="E436" s="24" t="n">
        <v>66.650002</v>
      </c>
      <c r="F436" s="24" t="n">
        <v>21.15</v>
      </c>
      <c r="G436" s="24" t="n">
        <v>27.51</v>
      </c>
      <c r="H436" s="24" t="n">
        <v>28.5</v>
      </c>
      <c r="I436" s="24" t="n">
        <v>33.73</v>
      </c>
      <c r="J436" s="24" t="n">
        <v>112.900002</v>
      </c>
    </row>
    <row r="437" customFormat="false" ht="15" hidden="false" customHeight="false" outlineLevel="0" collapsed="false">
      <c r="A437" s="23" t="n">
        <v>44354</v>
      </c>
      <c r="B437" s="24" t="n">
        <v>85.510002</v>
      </c>
      <c r="C437" s="24" t="n">
        <v>17.290001</v>
      </c>
      <c r="D437" s="24" t="n">
        <v>25.99</v>
      </c>
      <c r="E437" s="24" t="n">
        <v>67</v>
      </c>
      <c r="F437" s="24" t="n">
        <v>21.809999</v>
      </c>
      <c r="G437" s="24" t="n">
        <v>27.74</v>
      </c>
      <c r="H437" s="24" t="n">
        <v>28.290001</v>
      </c>
      <c r="I437" s="24" t="n">
        <v>33.82</v>
      </c>
      <c r="J437" s="24" t="n">
        <v>111.800003</v>
      </c>
    </row>
    <row r="438" customFormat="false" ht="15" hidden="false" customHeight="false" outlineLevel="0" collapsed="false">
      <c r="A438" s="23" t="n">
        <v>44355</v>
      </c>
      <c r="B438" s="24" t="n">
        <v>87.599998</v>
      </c>
      <c r="C438" s="24" t="n">
        <v>16.33</v>
      </c>
      <c r="D438" s="24" t="n">
        <v>25.26</v>
      </c>
      <c r="E438" s="24" t="n">
        <v>66.720001</v>
      </c>
      <c r="F438" s="24" t="n">
        <v>22.18</v>
      </c>
      <c r="G438" s="24" t="n">
        <v>27.18</v>
      </c>
      <c r="H438" s="24" t="n">
        <v>28.66</v>
      </c>
      <c r="I438" s="24" t="n">
        <v>33.580002</v>
      </c>
      <c r="J438" s="24" t="n">
        <v>109.919998</v>
      </c>
    </row>
    <row r="439" customFormat="false" ht="15" hidden="false" customHeight="false" outlineLevel="0" collapsed="false">
      <c r="A439" s="23" t="n">
        <v>44356</v>
      </c>
      <c r="B439" s="24" t="n">
        <v>88.360001</v>
      </c>
      <c r="C439" s="24" t="n">
        <v>16.4</v>
      </c>
      <c r="D439" s="24" t="n">
        <v>25.68</v>
      </c>
      <c r="E439" s="24" t="n">
        <v>65.540001</v>
      </c>
      <c r="F439" s="24" t="n">
        <v>22.299999</v>
      </c>
      <c r="G439" s="24" t="n">
        <v>26.42</v>
      </c>
      <c r="H439" s="24" t="n">
        <v>28.66</v>
      </c>
      <c r="I439" s="24" t="n">
        <v>33.900002</v>
      </c>
      <c r="J439" s="24" t="n">
        <v>112.199997</v>
      </c>
    </row>
    <row r="440" customFormat="false" ht="15" hidden="false" customHeight="false" outlineLevel="0" collapsed="false">
      <c r="A440" s="23" t="n">
        <v>44357</v>
      </c>
      <c r="B440" s="24" t="n">
        <v>88.110001</v>
      </c>
      <c r="C440" s="24" t="n">
        <v>16</v>
      </c>
      <c r="D440" s="24" t="n">
        <v>25.799999</v>
      </c>
      <c r="E440" s="24" t="n">
        <v>65.400002</v>
      </c>
      <c r="F440" s="24" t="n">
        <v>22.530001</v>
      </c>
      <c r="G440" s="24" t="n">
        <v>26.559999</v>
      </c>
      <c r="H440" s="24" t="n">
        <v>28.68</v>
      </c>
      <c r="I440" s="24" t="n">
        <v>34.450001</v>
      </c>
      <c r="J440" s="24" t="n">
        <v>111.830002</v>
      </c>
    </row>
    <row r="441" customFormat="false" ht="15" hidden="false" customHeight="false" outlineLevel="0" collapsed="false">
      <c r="A441" s="23" t="n">
        <v>44358</v>
      </c>
      <c r="B441" s="24" t="n">
        <v>88.199997</v>
      </c>
      <c r="C441" s="24" t="n">
        <v>16.129999</v>
      </c>
      <c r="D441" s="24" t="n">
        <v>26</v>
      </c>
      <c r="E441" s="24" t="n">
        <v>64.040001</v>
      </c>
      <c r="F441" s="24" t="n">
        <v>22.360001</v>
      </c>
      <c r="G441" s="24" t="n">
        <v>25.75</v>
      </c>
      <c r="H441" s="24" t="n">
        <v>28.57</v>
      </c>
      <c r="I441" s="24" t="n">
        <v>33.869999</v>
      </c>
      <c r="J441" s="24" t="n">
        <v>114.339996</v>
      </c>
    </row>
    <row r="442" customFormat="false" ht="15" hidden="false" customHeight="false" outlineLevel="0" collapsed="false">
      <c r="A442" s="23" t="n">
        <v>44361</v>
      </c>
      <c r="B442" s="24" t="n">
        <v>92.190002</v>
      </c>
      <c r="C442" s="24" t="n">
        <v>16.32</v>
      </c>
      <c r="D442" s="24" t="n">
        <v>25.65</v>
      </c>
      <c r="E442" s="24" t="n">
        <v>64.559998</v>
      </c>
      <c r="F442" s="24" t="n">
        <v>22.67</v>
      </c>
      <c r="G442" s="24" t="n">
        <v>26.629999</v>
      </c>
      <c r="H442" s="24" t="n">
        <v>28.75</v>
      </c>
      <c r="I442" s="24" t="n">
        <v>33.700001</v>
      </c>
      <c r="J442" s="24" t="n">
        <v>113.720001</v>
      </c>
    </row>
    <row r="443" customFormat="false" ht="15" hidden="false" customHeight="false" outlineLevel="0" collapsed="false">
      <c r="A443" s="23" t="n">
        <v>44362</v>
      </c>
      <c r="B443" s="24" t="n">
        <v>91.349998</v>
      </c>
      <c r="C443" s="24" t="n">
        <v>16.67</v>
      </c>
      <c r="D443" s="24" t="n">
        <v>25.6</v>
      </c>
      <c r="E443" s="24" t="n">
        <v>64.400002</v>
      </c>
      <c r="F443" s="24" t="n">
        <v>22.74</v>
      </c>
      <c r="G443" s="24" t="n">
        <v>26.26</v>
      </c>
      <c r="H443" s="24" t="n">
        <v>29.030001</v>
      </c>
      <c r="I443" s="24" t="n">
        <v>35.330002</v>
      </c>
      <c r="J443" s="24" t="n">
        <v>111.5</v>
      </c>
    </row>
    <row r="444" customFormat="false" ht="15" hidden="false" customHeight="false" outlineLevel="0" collapsed="false">
      <c r="A444" s="23" t="n">
        <v>44363</v>
      </c>
      <c r="B444" s="24" t="n">
        <v>91.379997</v>
      </c>
      <c r="C444" s="24" t="n">
        <v>16.91</v>
      </c>
      <c r="D444" s="24" t="n">
        <v>25.389999</v>
      </c>
      <c r="E444" s="24" t="n">
        <v>64.120003</v>
      </c>
      <c r="F444" s="24" t="n">
        <v>22.280001</v>
      </c>
      <c r="G444" s="24" t="n">
        <v>25.940001</v>
      </c>
      <c r="H444" s="24" t="n">
        <v>29.139999</v>
      </c>
      <c r="I444" s="24" t="n">
        <v>36.470001</v>
      </c>
      <c r="J444" s="24" t="n">
        <v>108.150002</v>
      </c>
    </row>
    <row r="445" customFormat="false" ht="15" hidden="false" customHeight="false" outlineLevel="0" collapsed="false">
      <c r="A445" s="23" t="n">
        <v>44364</v>
      </c>
      <c r="B445" s="24" t="n">
        <v>92.629997</v>
      </c>
      <c r="C445" s="24" t="n">
        <v>17.17</v>
      </c>
      <c r="D445" s="24" t="n">
        <v>25.25</v>
      </c>
      <c r="E445" s="24" t="n">
        <v>62.580002</v>
      </c>
      <c r="F445" s="24" t="n">
        <v>22.139999</v>
      </c>
      <c r="G445" s="24" t="n">
        <v>25.68</v>
      </c>
      <c r="H445" s="24" t="n">
        <v>28.129999</v>
      </c>
      <c r="I445" s="24" t="n">
        <v>36.189999</v>
      </c>
      <c r="J445" s="24" t="n">
        <v>105.900002</v>
      </c>
    </row>
    <row r="446" customFormat="false" ht="15" hidden="false" customHeight="false" outlineLevel="0" collapsed="false">
      <c r="A446" s="23" t="n">
        <v>44365</v>
      </c>
      <c r="B446" s="24" t="n">
        <v>94.269997</v>
      </c>
      <c r="C446" s="24" t="n">
        <v>17.379999</v>
      </c>
      <c r="D446" s="24" t="n">
        <v>25.67</v>
      </c>
      <c r="E446" s="24" t="n">
        <v>62.810001</v>
      </c>
      <c r="F446" s="24" t="n">
        <v>21.75</v>
      </c>
      <c r="G446" s="24" t="n">
        <v>25.76</v>
      </c>
      <c r="H446" s="24" t="n">
        <v>28.32</v>
      </c>
      <c r="I446" s="24" t="n">
        <v>36</v>
      </c>
      <c r="J446" s="24" t="n">
        <v>109.089996</v>
      </c>
    </row>
    <row r="447" customFormat="false" ht="15" hidden="false" customHeight="false" outlineLevel="0" collapsed="false">
      <c r="A447" s="23" t="n">
        <v>44368</v>
      </c>
      <c r="B447" s="24" t="n">
        <v>95.93</v>
      </c>
      <c r="C447" s="24" t="n">
        <v>17.07</v>
      </c>
      <c r="D447" s="24" t="n">
        <v>26.15</v>
      </c>
      <c r="E447" s="24" t="n">
        <v>63.220001</v>
      </c>
      <c r="F447" s="24" t="n">
        <v>22.1</v>
      </c>
      <c r="G447" s="24" t="n">
        <v>25.99</v>
      </c>
      <c r="H447" s="24" t="n">
        <v>28.950001</v>
      </c>
      <c r="I447" s="24" t="n">
        <v>36.029999</v>
      </c>
      <c r="J447" s="24" t="n">
        <v>110.110001</v>
      </c>
    </row>
    <row r="448" customFormat="false" ht="15" hidden="false" customHeight="false" outlineLevel="0" collapsed="false">
      <c r="A448" s="23" t="n">
        <v>44369</v>
      </c>
      <c r="B448" s="24" t="n">
        <v>95</v>
      </c>
      <c r="C448" s="24" t="n">
        <v>16.99</v>
      </c>
      <c r="D448" s="24" t="n">
        <v>26.299999</v>
      </c>
      <c r="E448" s="24" t="n">
        <v>63</v>
      </c>
      <c r="F448" s="24" t="n">
        <v>21.76</v>
      </c>
      <c r="G448" s="24" t="n">
        <v>25.299999</v>
      </c>
      <c r="H448" s="24" t="n">
        <v>29.1</v>
      </c>
      <c r="I448" s="24" t="n">
        <v>35.950001</v>
      </c>
      <c r="J448" s="24" t="n">
        <v>111.400002</v>
      </c>
    </row>
    <row r="449" customFormat="false" ht="15" hidden="false" customHeight="false" outlineLevel="0" collapsed="false">
      <c r="A449" s="23" t="n">
        <v>44370</v>
      </c>
      <c r="B449" s="24" t="n">
        <v>93.709999</v>
      </c>
      <c r="C449" s="24" t="n">
        <v>17.02</v>
      </c>
      <c r="D449" s="24" t="n">
        <v>25.85</v>
      </c>
      <c r="E449" s="24" t="n">
        <v>64</v>
      </c>
      <c r="F449" s="24" t="n">
        <v>21.42</v>
      </c>
      <c r="G449" s="24" t="n">
        <v>25.049999</v>
      </c>
      <c r="H449" s="24" t="n">
        <v>29.299999</v>
      </c>
      <c r="I449" s="24" t="n">
        <v>35.52</v>
      </c>
      <c r="J449" s="24" t="n">
        <v>113.07</v>
      </c>
    </row>
    <row r="450" customFormat="false" ht="15" hidden="false" customHeight="false" outlineLevel="0" collapsed="false">
      <c r="A450" s="23" t="n">
        <v>44371</v>
      </c>
      <c r="B450" s="24" t="n">
        <v>94.300003</v>
      </c>
      <c r="C450" s="24" t="n">
        <v>16.99</v>
      </c>
      <c r="D450" s="24" t="n">
        <v>26.370001</v>
      </c>
      <c r="E450" s="24" t="n">
        <v>64.5</v>
      </c>
      <c r="F450" s="24" t="n">
        <v>22.379999</v>
      </c>
      <c r="G450" s="24" t="n">
        <v>25.18</v>
      </c>
      <c r="H450" s="24" t="n">
        <v>29.65</v>
      </c>
      <c r="I450" s="24" t="n">
        <v>35.990002</v>
      </c>
      <c r="J450" s="24" t="n">
        <v>111.029999</v>
      </c>
    </row>
    <row r="451" customFormat="false" ht="15" hidden="false" customHeight="false" outlineLevel="0" collapsed="false">
      <c r="A451" s="23" t="n">
        <v>44372</v>
      </c>
      <c r="B451" s="24" t="n">
        <v>92.790001</v>
      </c>
      <c r="C451" s="24" t="n">
        <v>16.690001</v>
      </c>
      <c r="D451" s="24" t="n">
        <v>25.860001</v>
      </c>
      <c r="E451" s="24" t="n">
        <v>63.599998</v>
      </c>
      <c r="F451" s="24" t="n">
        <v>21.940001</v>
      </c>
      <c r="G451" s="24" t="n">
        <v>24.040001</v>
      </c>
      <c r="H451" s="24" t="n">
        <v>29.1</v>
      </c>
      <c r="I451" s="24" t="n">
        <v>34.599998</v>
      </c>
      <c r="J451" s="24" t="n">
        <v>112.400002</v>
      </c>
    </row>
    <row r="452" customFormat="false" ht="15" hidden="false" customHeight="false" outlineLevel="0" collapsed="false">
      <c r="A452" s="23" t="n">
        <v>44375</v>
      </c>
      <c r="B452" s="24" t="n">
        <v>94.949997</v>
      </c>
      <c r="C452" s="24" t="n">
        <v>16.99</v>
      </c>
      <c r="D452" s="24" t="n">
        <v>26.360001</v>
      </c>
      <c r="E452" s="24" t="n">
        <v>64.25</v>
      </c>
      <c r="F452" s="24" t="n">
        <v>22.35</v>
      </c>
      <c r="G452" s="24" t="n">
        <v>23.719999</v>
      </c>
      <c r="H452" s="24" t="n">
        <v>29.049999</v>
      </c>
      <c r="I452" s="24" t="n">
        <v>35.040001</v>
      </c>
      <c r="J452" s="24" t="n">
        <v>110.599998</v>
      </c>
    </row>
    <row r="453" customFormat="false" ht="15" hidden="false" customHeight="false" outlineLevel="0" collapsed="false">
      <c r="A453" s="23" t="n">
        <v>44376</v>
      </c>
      <c r="B453" s="24" t="n">
        <v>95.080002</v>
      </c>
      <c r="C453" s="24" t="n">
        <v>17.040001</v>
      </c>
      <c r="D453" s="24" t="n">
        <v>26.389999</v>
      </c>
      <c r="E453" s="24" t="n">
        <v>64.529999</v>
      </c>
      <c r="F453" s="24" t="n">
        <v>22.219999</v>
      </c>
      <c r="G453" s="24" t="n">
        <v>23.07</v>
      </c>
      <c r="H453" s="24" t="n">
        <v>29.18</v>
      </c>
      <c r="I453" s="24" t="n">
        <v>35.419998</v>
      </c>
      <c r="J453" s="24" t="n">
        <v>112.510002</v>
      </c>
    </row>
    <row r="454" customFormat="false" ht="15" hidden="false" customHeight="false" outlineLevel="0" collapsed="false">
      <c r="A454" s="23" t="n">
        <v>44377</v>
      </c>
      <c r="B454" s="24" t="n">
        <v>94.5</v>
      </c>
      <c r="C454" s="24" t="n">
        <v>16.82</v>
      </c>
      <c r="D454" s="24" t="n">
        <v>26.34</v>
      </c>
      <c r="E454" s="24" t="n">
        <v>64</v>
      </c>
      <c r="F454" s="24" t="n">
        <v>21.58</v>
      </c>
      <c r="G454" s="24" t="n">
        <v>23.5</v>
      </c>
      <c r="H454" s="24" t="n">
        <v>29.43</v>
      </c>
      <c r="I454" s="24" t="n">
        <v>34.66</v>
      </c>
      <c r="J454" s="24" t="n">
        <v>113.25</v>
      </c>
    </row>
    <row r="455" customFormat="false" ht="15" hidden="false" customHeight="false" outlineLevel="0" collapsed="false">
      <c r="A455" s="23" t="n">
        <v>44378</v>
      </c>
      <c r="B455" s="24" t="n">
        <v>93.510002</v>
      </c>
      <c r="C455" s="24" t="n">
        <v>16.32</v>
      </c>
      <c r="D455" s="24" t="n">
        <v>26.49</v>
      </c>
      <c r="E455" s="24" t="n">
        <v>62.5</v>
      </c>
      <c r="F455" s="24" t="n">
        <v>21.09</v>
      </c>
      <c r="G455" s="24" t="n">
        <v>22.77</v>
      </c>
      <c r="H455" s="24" t="n">
        <v>29.059999</v>
      </c>
      <c r="I455" s="24" t="n">
        <v>34.23</v>
      </c>
      <c r="J455" s="24" t="n">
        <v>111.279999</v>
      </c>
    </row>
    <row r="456" customFormat="false" ht="15" hidden="false" customHeight="false" outlineLevel="0" collapsed="false">
      <c r="A456" s="23" t="n">
        <v>44379</v>
      </c>
      <c r="B456" s="24" t="n">
        <v>95.419998</v>
      </c>
      <c r="C456" s="24" t="n">
        <v>16.42</v>
      </c>
      <c r="D456" s="24" t="n">
        <v>26.709999</v>
      </c>
      <c r="E456" s="24" t="n">
        <v>64.459999</v>
      </c>
      <c r="F456" s="24" t="n">
        <v>21.370001</v>
      </c>
      <c r="G456" s="24" t="n">
        <v>23.15</v>
      </c>
      <c r="H456" s="24" t="n">
        <v>29.18</v>
      </c>
      <c r="I456" s="24" t="n">
        <v>34.110001</v>
      </c>
      <c r="J456" s="24" t="n">
        <v>113.580002</v>
      </c>
    </row>
    <row r="457" customFormat="false" ht="15" hidden="false" customHeight="false" outlineLevel="0" collapsed="false">
      <c r="A457" s="23" t="n">
        <v>44382</v>
      </c>
      <c r="B457" s="24" t="n">
        <v>96.050003</v>
      </c>
      <c r="C457" s="24" t="n">
        <v>16.110001</v>
      </c>
      <c r="D457" s="24" t="n">
        <v>26.93</v>
      </c>
      <c r="E457" s="24" t="n">
        <v>64.110001</v>
      </c>
      <c r="F457" s="24" t="n">
        <v>21.110001</v>
      </c>
      <c r="G457" s="24" t="n">
        <v>23.4</v>
      </c>
      <c r="H457" s="24" t="n">
        <v>28.85</v>
      </c>
      <c r="I457" s="24" t="n">
        <v>33.599998</v>
      </c>
      <c r="J457" s="24" t="n">
        <v>113.169998</v>
      </c>
    </row>
    <row r="458" customFormat="false" ht="15" hidden="false" customHeight="false" outlineLevel="0" collapsed="false">
      <c r="A458" s="23" t="n">
        <v>44383</v>
      </c>
      <c r="B458" s="24" t="n">
        <v>95.809998</v>
      </c>
      <c r="C458" s="24" t="n">
        <v>15.92</v>
      </c>
      <c r="D458" s="24" t="n">
        <v>26.690001</v>
      </c>
      <c r="E458" s="24" t="n">
        <v>62.939999</v>
      </c>
      <c r="F458" s="24" t="n">
        <v>8.494258</v>
      </c>
      <c r="G458" s="24" t="n">
        <v>22.9</v>
      </c>
      <c r="H458" s="24" t="n">
        <v>27.67</v>
      </c>
      <c r="I458" s="24" t="n">
        <v>33.139999</v>
      </c>
      <c r="J458" s="24" t="n">
        <v>113.769997</v>
      </c>
    </row>
    <row r="459" customFormat="false" ht="15" hidden="false" customHeight="false" outlineLevel="0" collapsed="false">
      <c r="A459" s="23" t="n">
        <v>44384</v>
      </c>
      <c r="B459" s="24" t="n">
        <v>96.470001</v>
      </c>
      <c r="C459" s="24" t="n">
        <v>16.27</v>
      </c>
      <c r="D459" s="24" t="n">
        <v>27.23</v>
      </c>
      <c r="E459" s="24" t="n">
        <v>66.349998</v>
      </c>
      <c r="F459" s="24" t="n">
        <v>8.581272</v>
      </c>
      <c r="G459" s="24" t="n">
        <v>23.030001</v>
      </c>
      <c r="H459" s="24" t="n">
        <v>28.049999</v>
      </c>
      <c r="I459" s="24" t="n">
        <v>33.689999</v>
      </c>
      <c r="J459" s="24" t="n">
        <v>114.099998</v>
      </c>
    </row>
    <row r="460" customFormat="false" ht="15" hidden="false" customHeight="false" outlineLevel="0" collapsed="false">
      <c r="A460" s="23" t="n">
        <v>44385</v>
      </c>
      <c r="B460" s="24" t="n">
        <v>96.040001</v>
      </c>
      <c r="C460" s="24" t="n">
        <v>16.15</v>
      </c>
      <c r="D460" s="24" t="n">
        <v>27</v>
      </c>
      <c r="E460" s="24" t="n">
        <v>65.510002</v>
      </c>
      <c r="F460" s="24" t="n">
        <v>8.523262</v>
      </c>
      <c r="G460" s="24" t="n">
        <v>23.059999</v>
      </c>
      <c r="H460" s="24" t="n">
        <v>27.49</v>
      </c>
      <c r="I460" s="24" t="n">
        <v>32.369999</v>
      </c>
      <c r="J460" s="24" t="n">
        <v>113.660004</v>
      </c>
    </row>
    <row r="461" customFormat="false" ht="15" hidden="false" customHeight="false" outlineLevel="0" collapsed="false">
      <c r="A461" s="23" t="n">
        <v>44389</v>
      </c>
      <c r="B461" s="24" t="n">
        <v>96.620003</v>
      </c>
      <c r="C461" s="24" t="n">
        <v>16.709999</v>
      </c>
      <c r="D461" s="24" t="n">
        <v>27.15</v>
      </c>
      <c r="E461" s="24" t="n">
        <v>66.110001</v>
      </c>
      <c r="F461" s="24" t="n">
        <v>8.668286</v>
      </c>
      <c r="G461" s="24" t="n">
        <v>23.799999</v>
      </c>
      <c r="H461" s="24" t="n">
        <v>27.73</v>
      </c>
      <c r="I461" s="24" t="n">
        <v>33.200001</v>
      </c>
      <c r="J461" s="24" t="n">
        <v>115.07</v>
      </c>
    </row>
    <row r="462" customFormat="false" ht="15" hidden="false" customHeight="false" outlineLevel="0" collapsed="false">
      <c r="A462" s="23" t="n">
        <v>44390</v>
      </c>
      <c r="B462" s="24" t="n">
        <v>97.129997</v>
      </c>
      <c r="C462" s="24" t="n">
        <v>16.950001</v>
      </c>
      <c r="D462" s="24" t="n">
        <v>27.09</v>
      </c>
      <c r="E462" s="24" t="n">
        <v>66.169998</v>
      </c>
      <c r="F462" s="24" t="n">
        <v>8.846459</v>
      </c>
      <c r="G462" s="24" t="n">
        <v>24.48</v>
      </c>
      <c r="H462" s="24" t="n">
        <v>27.9</v>
      </c>
      <c r="I462" s="24" t="n">
        <v>33.740002</v>
      </c>
      <c r="J462" s="24" t="n">
        <v>115.75</v>
      </c>
    </row>
    <row r="463" customFormat="false" ht="15" hidden="false" customHeight="false" outlineLevel="0" collapsed="false">
      <c r="A463" s="23" t="n">
        <v>44391</v>
      </c>
      <c r="B463" s="24" t="n">
        <v>99.459999</v>
      </c>
      <c r="C463" s="24" t="n">
        <v>17.120001</v>
      </c>
      <c r="D463" s="24" t="n">
        <v>26.700001</v>
      </c>
      <c r="E463" s="24" t="n">
        <v>68.580002</v>
      </c>
      <c r="F463" s="24" t="n">
        <v>8.747014</v>
      </c>
      <c r="G463" s="24" t="n">
        <v>24.940001</v>
      </c>
      <c r="H463" s="24" t="n">
        <v>27.67</v>
      </c>
      <c r="I463" s="24" t="n">
        <v>33.880001</v>
      </c>
      <c r="J463" s="24" t="n">
        <v>115.120003</v>
      </c>
    </row>
    <row r="464" customFormat="false" ht="15" hidden="false" customHeight="false" outlineLevel="0" collapsed="false">
      <c r="A464" s="23" t="n">
        <v>44392</v>
      </c>
      <c r="B464" s="24" t="n">
        <v>100.809998</v>
      </c>
      <c r="C464" s="24" t="n">
        <v>17</v>
      </c>
      <c r="D464" s="24" t="n">
        <v>26.290001</v>
      </c>
      <c r="E464" s="24" t="n">
        <v>68.709999</v>
      </c>
      <c r="F464" s="24" t="n">
        <v>8.531549</v>
      </c>
      <c r="G464" s="24" t="n">
        <v>24.450001</v>
      </c>
      <c r="H464" s="24" t="n">
        <v>27.08</v>
      </c>
      <c r="I464" s="24" t="n">
        <v>32.93</v>
      </c>
      <c r="J464" s="24" t="n">
        <v>115.480003</v>
      </c>
    </row>
    <row r="465" customFormat="false" ht="15" hidden="false" customHeight="false" outlineLevel="0" collapsed="false">
      <c r="A465" s="23" t="n">
        <v>44393</v>
      </c>
      <c r="B465" s="24" t="n">
        <v>99.57</v>
      </c>
      <c r="C465" s="24" t="n">
        <v>16.59</v>
      </c>
      <c r="D465" s="24" t="n">
        <v>26</v>
      </c>
      <c r="E465" s="24" t="n">
        <v>67.699997</v>
      </c>
      <c r="F465" s="24" t="n">
        <v>8.659999</v>
      </c>
      <c r="G465" s="24" t="n">
        <v>24.17</v>
      </c>
      <c r="H465" s="24" t="n">
        <v>26.68</v>
      </c>
      <c r="I465" s="24" t="n">
        <v>32.220001</v>
      </c>
      <c r="J465" s="24" t="n">
        <v>113.400002</v>
      </c>
    </row>
    <row r="466" customFormat="false" ht="15" hidden="false" customHeight="false" outlineLevel="0" collapsed="false">
      <c r="A466" s="23" t="n">
        <v>44396</v>
      </c>
      <c r="B466" s="24" t="n">
        <v>98.160004</v>
      </c>
      <c r="C466" s="24" t="n">
        <v>16.41</v>
      </c>
      <c r="D466" s="24" t="n">
        <v>25.68</v>
      </c>
      <c r="E466" s="24" t="n">
        <v>67.25</v>
      </c>
      <c r="F466" s="24" t="n">
        <v>7.9</v>
      </c>
      <c r="G466" s="24" t="n">
        <v>23.9</v>
      </c>
      <c r="H466" s="24" t="n">
        <v>26.24</v>
      </c>
      <c r="I466" s="24" t="n">
        <v>31.940001</v>
      </c>
      <c r="J466" s="24" t="n">
        <v>112.160004</v>
      </c>
    </row>
    <row r="467" customFormat="false" ht="15" hidden="false" customHeight="false" outlineLevel="0" collapsed="false">
      <c r="A467" s="23" t="n">
        <v>44397</v>
      </c>
      <c r="B467" s="24" t="n">
        <v>97.230003</v>
      </c>
      <c r="C467" s="24" t="n">
        <v>16.42</v>
      </c>
      <c r="D467" s="24" t="n">
        <v>26</v>
      </c>
      <c r="E467" s="24" t="n">
        <v>67.5</v>
      </c>
      <c r="F467" s="24" t="n">
        <v>8.33</v>
      </c>
      <c r="G467" s="24" t="n">
        <v>24.35</v>
      </c>
      <c r="H467" s="24" t="n">
        <v>26.59</v>
      </c>
      <c r="I467" s="24" t="n">
        <v>32.27</v>
      </c>
      <c r="J467" s="24" t="n">
        <v>113.099998</v>
      </c>
    </row>
    <row r="468" customFormat="false" ht="15" hidden="false" customHeight="false" outlineLevel="0" collapsed="false">
      <c r="A468" s="23" t="n">
        <v>44398</v>
      </c>
      <c r="B468" s="24" t="n">
        <v>96.809998</v>
      </c>
      <c r="C468" s="24" t="n">
        <v>16.35</v>
      </c>
      <c r="D468" s="24" t="n">
        <v>25.59</v>
      </c>
      <c r="E468" s="24" t="n">
        <v>66.809998</v>
      </c>
      <c r="F468" s="24" t="n">
        <v>7.9</v>
      </c>
      <c r="G468" s="24" t="n">
        <v>24.26</v>
      </c>
      <c r="H468" s="24" t="n">
        <v>26.959999</v>
      </c>
      <c r="I468" s="24" t="n">
        <v>32.029999</v>
      </c>
      <c r="J468" s="24" t="n">
        <v>114.400002</v>
      </c>
    </row>
    <row r="469" customFormat="false" ht="15" hidden="false" customHeight="false" outlineLevel="0" collapsed="false">
      <c r="A469" s="23" t="n">
        <v>44399</v>
      </c>
      <c r="B469" s="24" t="n">
        <v>98.120003</v>
      </c>
      <c r="C469" s="24" t="n">
        <v>16.5</v>
      </c>
      <c r="D469" s="24" t="n">
        <v>25.77</v>
      </c>
      <c r="E469" s="24" t="n">
        <v>68.300003</v>
      </c>
      <c r="F469" s="24" t="n">
        <v>7.84</v>
      </c>
      <c r="G469" s="24" t="n">
        <v>24.27</v>
      </c>
      <c r="H469" s="24" t="n">
        <v>26.9</v>
      </c>
      <c r="I469" s="24" t="n">
        <v>31.719999</v>
      </c>
      <c r="J469" s="24" t="n">
        <v>114.699997</v>
      </c>
    </row>
    <row r="470" customFormat="false" ht="15" hidden="false" customHeight="false" outlineLevel="0" collapsed="false">
      <c r="A470" s="23" t="n">
        <v>44400</v>
      </c>
      <c r="B470" s="24" t="n">
        <v>97.730003</v>
      </c>
      <c r="C470" s="24" t="n">
        <v>16.35</v>
      </c>
      <c r="D470" s="24" t="n">
        <v>25.65</v>
      </c>
      <c r="E470" s="24" t="n">
        <v>68.32</v>
      </c>
      <c r="F470" s="24" t="n">
        <v>7.82</v>
      </c>
      <c r="G470" s="24" t="n">
        <v>23.709999</v>
      </c>
      <c r="H470" s="24" t="n">
        <v>26.74</v>
      </c>
      <c r="I470" s="24" t="n">
        <v>31.66</v>
      </c>
      <c r="J470" s="24" t="n">
        <v>114.120003</v>
      </c>
    </row>
    <row r="471" customFormat="false" ht="15" hidden="false" customHeight="false" outlineLevel="0" collapsed="false">
      <c r="A471" s="23" t="n">
        <v>44403</v>
      </c>
      <c r="B471" s="24" t="n">
        <v>96.269997</v>
      </c>
      <c r="C471" s="24" t="n">
        <v>16.41</v>
      </c>
      <c r="D471" s="24" t="n">
        <v>25.93</v>
      </c>
      <c r="E471" s="24" t="n">
        <v>68.019997</v>
      </c>
      <c r="F471" s="24" t="n">
        <v>7.62</v>
      </c>
      <c r="G471" s="24" t="n">
        <v>23.629999</v>
      </c>
      <c r="H471" s="24" t="n">
        <v>27.469999</v>
      </c>
      <c r="I471" s="24" t="n">
        <v>31.709999</v>
      </c>
      <c r="J471" s="24" t="n">
        <v>116.599998</v>
      </c>
    </row>
    <row r="472" customFormat="false" ht="15" hidden="false" customHeight="false" outlineLevel="0" collapsed="false">
      <c r="A472" s="23" t="n">
        <v>44404</v>
      </c>
      <c r="B472" s="24" t="n">
        <v>93.860001</v>
      </c>
      <c r="C472" s="24" t="n">
        <v>16.1</v>
      </c>
      <c r="D472" s="24" t="n">
        <v>25.42</v>
      </c>
      <c r="E472" s="24" t="n">
        <v>66.809998</v>
      </c>
      <c r="F472" s="24" t="n">
        <v>7.46</v>
      </c>
      <c r="G472" s="24" t="n">
        <v>22.959999</v>
      </c>
      <c r="H472" s="24" t="n">
        <v>27.15</v>
      </c>
      <c r="I472" s="24" t="n">
        <v>30.950001</v>
      </c>
      <c r="J472" s="24" t="n">
        <v>114.18</v>
      </c>
    </row>
    <row r="473" customFormat="false" ht="15" hidden="false" customHeight="false" outlineLevel="0" collapsed="false">
      <c r="A473" s="23" t="n">
        <v>44405</v>
      </c>
      <c r="B473" s="24" t="n">
        <v>93.339996</v>
      </c>
      <c r="C473" s="24" t="n">
        <v>15.84</v>
      </c>
      <c r="D473" s="24" t="n">
        <v>25.33</v>
      </c>
      <c r="E473" s="24" t="n">
        <v>66.139999</v>
      </c>
      <c r="F473" s="24" t="n">
        <v>7.47</v>
      </c>
      <c r="G473" s="24" t="n">
        <v>22.93</v>
      </c>
      <c r="H473" s="24" t="n">
        <v>27.709999</v>
      </c>
      <c r="I473" s="24" t="n">
        <v>31.110001</v>
      </c>
      <c r="J473" s="24" t="n">
        <v>117.300003</v>
      </c>
    </row>
    <row r="474" customFormat="false" ht="15" hidden="false" customHeight="false" outlineLevel="0" collapsed="false">
      <c r="A474" s="23" t="n">
        <v>44406</v>
      </c>
      <c r="B474" s="24" t="n">
        <v>92.550003</v>
      </c>
      <c r="C474" s="24" t="n">
        <v>15.81</v>
      </c>
      <c r="D474" s="24" t="n">
        <v>25.190001</v>
      </c>
      <c r="E474" s="24" t="n">
        <v>67.089996</v>
      </c>
      <c r="F474" s="24" t="n">
        <v>7.4</v>
      </c>
      <c r="G474" s="24" t="n">
        <v>24.16</v>
      </c>
      <c r="H474" s="24" t="n">
        <v>27.809999</v>
      </c>
      <c r="I474" s="24" t="n">
        <v>30.790001</v>
      </c>
      <c r="J474" s="24" t="n">
        <v>115.57</v>
      </c>
    </row>
    <row r="475" customFormat="false" ht="15" hidden="false" customHeight="false" outlineLevel="0" collapsed="false">
      <c r="A475" s="23" t="n">
        <v>44407</v>
      </c>
      <c r="B475" s="24" t="n">
        <v>90.519997</v>
      </c>
      <c r="C475" s="24" t="n">
        <v>15.25</v>
      </c>
      <c r="D475" s="24" t="n">
        <v>24.610001</v>
      </c>
      <c r="E475" s="24" t="n">
        <v>62.150002</v>
      </c>
      <c r="F475" s="24" t="n">
        <v>7.09</v>
      </c>
      <c r="G475" s="24" t="n">
        <v>23.35</v>
      </c>
      <c r="H475" s="24" t="n">
        <v>26.91</v>
      </c>
      <c r="I475" s="24" t="n">
        <v>30.09</v>
      </c>
      <c r="J475" s="24" t="n">
        <v>108.760002</v>
      </c>
    </row>
    <row r="476" customFormat="false" ht="15" hidden="false" customHeight="false" outlineLevel="0" collapsed="false">
      <c r="A476" s="23" t="n">
        <v>44410</v>
      </c>
      <c r="B476" s="24" t="n">
        <v>92.080002</v>
      </c>
      <c r="C476" s="24" t="n">
        <v>15.62</v>
      </c>
      <c r="D476" s="24" t="n">
        <v>24.4</v>
      </c>
      <c r="E476" s="24" t="n">
        <v>61.169998</v>
      </c>
      <c r="F476" s="24" t="n">
        <v>7.27</v>
      </c>
      <c r="G476" s="24" t="n">
        <v>24.02</v>
      </c>
      <c r="H476" s="24" t="n">
        <v>26.41</v>
      </c>
      <c r="I476" s="24" t="n">
        <v>30.690001</v>
      </c>
      <c r="J476" s="24" t="n">
        <v>108.93</v>
      </c>
    </row>
    <row r="477" customFormat="false" ht="15" hidden="false" customHeight="false" outlineLevel="0" collapsed="false">
      <c r="A477" s="23" t="n">
        <v>44411</v>
      </c>
      <c r="B477" s="24" t="n">
        <v>92.029999</v>
      </c>
      <c r="C477" s="24" t="n">
        <v>16.01</v>
      </c>
      <c r="D477" s="24" t="n">
        <v>24.49</v>
      </c>
      <c r="E477" s="24" t="n">
        <v>61.110001</v>
      </c>
      <c r="F477" s="24" t="n">
        <v>7.03</v>
      </c>
      <c r="G477" s="24" t="n">
        <v>23.799999</v>
      </c>
      <c r="H477" s="24" t="n">
        <v>26.85</v>
      </c>
      <c r="I477" s="24" t="n">
        <v>29.799999</v>
      </c>
      <c r="J477" s="24" t="n">
        <v>112.639999</v>
      </c>
    </row>
    <row r="478" customFormat="false" ht="15" hidden="false" customHeight="false" outlineLevel="0" collapsed="false">
      <c r="A478" s="23" t="n">
        <v>44412</v>
      </c>
      <c r="B478" s="24" t="n">
        <v>91.790001</v>
      </c>
      <c r="C478" s="24" t="n">
        <v>15.94</v>
      </c>
      <c r="D478" s="24" t="n">
        <v>25</v>
      </c>
      <c r="E478" s="24" t="n">
        <v>59.16</v>
      </c>
      <c r="F478" s="24" t="n">
        <v>6.84</v>
      </c>
      <c r="G478" s="24" t="n">
        <v>23.51</v>
      </c>
      <c r="H478" s="24" t="n">
        <v>26.280001</v>
      </c>
      <c r="I478" s="24" t="n">
        <v>29.030001</v>
      </c>
      <c r="J478" s="24" t="n">
        <v>112.519997</v>
      </c>
    </row>
    <row r="479" customFormat="false" ht="15" hidden="false" customHeight="false" outlineLevel="0" collapsed="false">
      <c r="A479" s="23" t="n">
        <v>44413</v>
      </c>
      <c r="B479" s="24" t="n">
        <v>92</v>
      </c>
      <c r="C479" s="24" t="n">
        <v>15.71</v>
      </c>
      <c r="D479" s="24" t="n">
        <v>24.700001</v>
      </c>
      <c r="E479" s="24" t="n">
        <v>58.5</v>
      </c>
      <c r="F479" s="24" t="n">
        <v>6.72</v>
      </c>
      <c r="G479" s="24" t="n">
        <v>23.23</v>
      </c>
      <c r="H479" s="24" t="n">
        <v>28.35</v>
      </c>
      <c r="I479" s="24" t="n">
        <v>28.98</v>
      </c>
      <c r="J479" s="24" t="n">
        <v>109.080002</v>
      </c>
    </row>
    <row r="480" customFormat="false" ht="15" hidden="false" customHeight="false" outlineLevel="0" collapsed="false">
      <c r="A480" s="23" t="n">
        <v>44414</v>
      </c>
      <c r="B480" s="24" t="n">
        <v>93.599998</v>
      </c>
      <c r="C480" s="24" t="n">
        <v>15.9</v>
      </c>
      <c r="D480" s="24" t="n">
        <v>24.440001</v>
      </c>
      <c r="E480" s="24" t="n">
        <v>58.25</v>
      </c>
      <c r="F480" s="24" t="n">
        <v>6.72</v>
      </c>
      <c r="G480" s="24" t="n">
        <v>23.200001</v>
      </c>
      <c r="H480" s="24" t="n">
        <v>28.389999</v>
      </c>
      <c r="I480" s="24" t="n">
        <v>29.15</v>
      </c>
      <c r="J480" s="24" t="n">
        <v>109.699997</v>
      </c>
    </row>
    <row r="481" customFormat="false" ht="15" hidden="false" customHeight="false" outlineLevel="0" collapsed="false">
      <c r="A481" s="23" t="n">
        <v>44417</v>
      </c>
      <c r="B481" s="24" t="n">
        <v>92.900002</v>
      </c>
      <c r="C481" s="24" t="n">
        <v>15.77</v>
      </c>
      <c r="D481" s="24" t="n">
        <v>25.110001</v>
      </c>
      <c r="E481" s="24" t="n">
        <v>58.599998</v>
      </c>
      <c r="F481" s="24" t="n">
        <v>6.6</v>
      </c>
      <c r="G481" s="24" t="n">
        <v>23.559999</v>
      </c>
      <c r="H481" s="24" t="n">
        <v>28.190001</v>
      </c>
      <c r="I481" s="24" t="n">
        <v>29.07</v>
      </c>
      <c r="J481" s="24" t="n">
        <v>109.010002</v>
      </c>
    </row>
    <row r="482" customFormat="false" ht="15" hidden="false" customHeight="false" outlineLevel="0" collapsed="false">
      <c r="A482" s="23" t="n">
        <v>44418</v>
      </c>
      <c r="B482" s="24" t="n">
        <v>92.099998</v>
      </c>
      <c r="C482" s="24" t="n">
        <v>15.51</v>
      </c>
      <c r="D482" s="24" t="n">
        <v>25.08</v>
      </c>
      <c r="E482" s="24" t="n">
        <v>57.43</v>
      </c>
      <c r="F482" s="24" t="n">
        <v>6.42</v>
      </c>
      <c r="G482" s="24" t="n">
        <v>23.09</v>
      </c>
      <c r="H482" s="24" t="n">
        <v>28.280001</v>
      </c>
      <c r="I482" s="24" t="n">
        <v>28.5</v>
      </c>
      <c r="J482" s="24" t="n">
        <v>110.059998</v>
      </c>
    </row>
    <row r="483" customFormat="false" ht="15" hidden="false" customHeight="false" outlineLevel="0" collapsed="false">
      <c r="A483" s="23" t="n">
        <v>44419</v>
      </c>
      <c r="B483" s="24" t="n">
        <v>91.980003</v>
      </c>
      <c r="C483" s="24" t="n">
        <v>15.05</v>
      </c>
      <c r="D483" s="24" t="n">
        <v>24.93</v>
      </c>
      <c r="E483" s="24" t="n">
        <v>57.389999</v>
      </c>
      <c r="F483" s="24" t="n">
        <v>6.45</v>
      </c>
      <c r="G483" s="24" t="n">
        <v>23.01</v>
      </c>
      <c r="H483" s="24" t="n">
        <v>28.67</v>
      </c>
      <c r="I483" s="24" t="n">
        <v>28.23</v>
      </c>
      <c r="J483" s="24" t="n">
        <v>109.269997</v>
      </c>
    </row>
    <row r="484" customFormat="false" ht="15" hidden="false" customHeight="false" outlineLevel="0" collapsed="false">
      <c r="A484" s="23" t="n">
        <v>44420</v>
      </c>
      <c r="B484" s="24" t="n">
        <v>92.779999</v>
      </c>
      <c r="C484" s="24" t="n">
        <v>13.89</v>
      </c>
      <c r="D484" s="24" t="n">
        <v>24.639999</v>
      </c>
      <c r="E484" s="24" t="n">
        <v>58.07</v>
      </c>
      <c r="F484" s="24" t="n">
        <v>6.57</v>
      </c>
      <c r="G484" s="24" t="n">
        <v>22.559999</v>
      </c>
      <c r="H484" s="24" t="n">
        <v>29.1</v>
      </c>
      <c r="I484" s="24" t="n">
        <v>29.02</v>
      </c>
      <c r="J484" s="24" t="n">
        <v>109.199997</v>
      </c>
    </row>
    <row r="485" customFormat="false" ht="15" hidden="false" customHeight="false" outlineLevel="0" collapsed="false">
      <c r="A485" s="23" t="n">
        <v>44421</v>
      </c>
      <c r="B485" s="24" t="n">
        <v>91.440002</v>
      </c>
      <c r="C485" s="24" t="n">
        <v>14.64</v>
      </c>
      <c r="D485" s="24" t="n">
        <v>25.209999</v>
      </c>
      <c r="E485" s="24" t="n">
        <v>57.450001</v>
      </c>
      <c r="F485" s="24" t="n">
        <v>5.97</v>
      </c>
      <c r="G485" s="24" t="n">
        <v>22.48</v>
      </c>
      <c r="H485" s="24" t="n">
        <v>29.35</v>
      </c>
      <c r="I485" s="24" t="n">
        <v>29.68</v>
      </c>
      <c r="J485" s="24" t="n">
        <v>108.300003</v>
      </c>
    </row>
    <row r="486" customFormat="false" ht="15" hidden="false" customHeight="false" outlineLevel="0" collapsed="false">
      <c r="A486" s="23" t="n">
        <v>44424</v>
      </c>
      <c r="B486" s="24" t="n">
        <v>89.699997</v>
      </c>
      <c r="C486" s="24" t="n">
        <v>13.98</v>
      </c>
      <c r="D486" s="24" t="n">
        <v>25.33</v>
      </c>
      <c r="E486" s="24" t="n">
        <v>56.099998</v>
      </c>
      <c r="F486" s="24" t="n">
        <v>5.63</v>
      </c>
      <c r="G486" s="24" t="n">
        <v>22.09</v>
      </c>
      <c r="H486" s="24" t="n">
        <v>28.639999</v>
      </c>
      <c r="I486" s="24" t="n">
        <v>29</v>
      </c>
      <c r="J486" s="24" t="n">
        <v>108.800003</v>
      </c>
    </row>
    <row r="487" customFormat="false" ht="15" hidden="false" customHeight="false" outlineLevel="0" collapsed="false">
      <c r="A487" s="23" t="n">
        <v>44425</v>
      </c>
      <c r="B487" s="24" t="n">
        <v>87.580002</v>
      </c>
      <c r="C487" s="24" t="n">
        <v>13.82</v>
      </c>
      <c r="D487" s="24" t="n">
        <v>25.190001</v>
      </c>
      <c r="E487" s="24" t="n">
        <v>54.599998</v>
      </c>
      <c r="F487" s="24" t="n">
        <v>5.41</v>
      </c>
      <c r="G487" s="24" t="n">
        <v>21.59</v>
      </c>
      <c r="H487" s="24" t="n">
        <v>27.030001</v>
      </c>
      <c r="I487" s="24" t="n">
        <v>28.4</v>
      </c>
      <c r="J487" s="24" t="n">
        <v>107</v>
      </c>
    </row>
    <row r="488" customFormat="false" ht="15" hidden="false" customHeight="false" outlineLevel="0" collapsed="false">
      <c r="A488" s="23" t="n">
        <v>44426</v>
      </c>
      <c r="B488" s="24" t="n">
        <v>87.800003</v>
      </c>
      <c r="C488" s="24" t="n">
        <v>13.54</v>
      </c>
      <c r="D488" s="24" t="n">
        <v>24.219999</v>
      </c>
      <c r="E488" s="24" t="n">
        <v>55.209999</v>
      </c>
      <c r="F488" s="24" t="n">
        <v>5.41</v>
      </c>
      <c r="G488" s="24" t="n">
        <v>21.32</v>
      </c>
      <c r="H488" s="24" t="n">
        <v>26.790001</v>
      </c>
      <c r="I488" s="24" t="n">
        <v>28.200001</v>
      </c>
      <c r="J488" s="24" t="n">
        <v>103.410004</v>
      </c>
    </row>
    <row r="489" customFormat="false" ht="15" hidden="false" customHeight="false" outlineLevel="0" collapsed="false">
      <c r="A489" s="23" t="n">
        <v>44427</v>
      </c>
      <c r="B489" s="24" t="n">
        <v>89.199997</v>
      </c>
      <c r="C489" s="24" t="n">
        <v>14.18</v>
      </c>
      <c r="D489" s="24" t="n">
        <v>23.9</v>
      </c>
      <c r="E489" s="24" t="n">
        <v>58.139999</v>
      </c>
      <c r="F489" s="24" t="n">
        <v>5.61</v>
      </c>
      <c r="G489" s="24" t="n">
        <v>21.51</v>
      </c>
      <c r="H489" s="24" t="n">
        <v>26.639999</v>
      </c>
      <c r="I489" s="24" t="n">
        <v>28.5</v>
      </c>
      <c r="J489" s="24" t="n">
        <v>97.510002</v>
      </c>
    </row>
    <row r="490" customFormat="false" ht="15" hidden="false" customHeight="false" outlineLevel="0" collapsed="false">
      <c r="A490" s="23" t="n">
        <v>44428</v>
      </c>
      <c r="B490" s="24" t="n">
        <v>90.400002</v>
      </c>
      <c r="C490" s="24" t="n">
        <v>14.2</v>
      </c>
      <c r="D490" s="24" t="n">
        <v>24.610001</v>
      </c>
      <c r="E490" s="24" t="n">
        <v>58.73</v>
      </c>
      <c r="F490" s="24" t="n">
        <v>5.59</v>
      </c>
      <c r="G490" s="24" t="n">
        <v>21.700001</v>
      </c>
      <c r="H490" s="24" t="n">
        <v>26.6</v>
      </c>
      <c r="I490" s="24" t="n">
        <v>29.65</v>
      </c>
      <c r="J490" s="24" t="n">
        <v>97.550003</v>
      </c>
    </row>
    <row r="491" customFormat="false" ht="15" hidden="false" customHeight="false" outlineLevel="0" collapsed="false">
      <c r="A491" s="23" t="n">
        <v>44431</v>
      </c>
      <c r="B491" s="24" t="n">
        <v>90.25</v>
      </c>
      <c r="C491" s="24" t="n">
        <v>13.65</v>
      </c>
      <c r="D491" s="24" t="n">
        <v>25.17</v>
      </c>
      <c r="E491" s="24" t="n">
        <v>56.43</v>
      </c>
      <c r="F491" s="24" t="n">
        <v>5.25</v>
      </c>
      <c r="G491" s="24" t="n">
        <v>21.26</v>
      </c>
      <c r="H491" s="24" t="n">
        <v>27.02</v>
      </c>
      <c r="I491" s="24" t="n">
        <v>29.32</v>
      </c>
      <c r="J491" s="24" t="n">
        <v>96.199997</v>
      </c>
    </row>
    <row r="492" customFormat="false" ht="15" hidden="false" customHeight="false" outlineLevel="0" collapsed="false">
      <c r="A492" s="23" t="n">
        <v>44432</v>
      </c>
      <c r="B492" s="24" t="n">
        <v>91.739998</v>
      </c>
      <c r="C492" s="24" t="n">
        <v>13.9</v>
      </c>
      <c r="D492" s="24" t="n">
        <v>25.67</v>
      </c>
      <c r="E492" s="24" t="n">
        <v>57.049999</v>
      </c>
      <c r="F492" s="24" t="n">
        <v>5.87</v>
      </c>
      <c r="G492" s="24" t="n">
        <v>21.93</v>
      </c>
      <c r="H492" s="24" t="n">
        <v>27.58</v>
      </c>
      <c r="I492" s="24" t="n">
        <v>30.26</v>
      </c>
      <c r="J492" s="24" t="n">
        <v>99.709999</v>
      </c>
    </row>
    <row r="493" customFormat="false" ht="15" hidden="false" customHeight="false" outlineLevel="0" collapsed="false">
      <c r="A493" s="23" t="n">
        <v>44433</v>
      </c>
      <c r="B493" s="24" t="n">
        <v>92.629997</v>
      </c>
      <c r="C493" s="24" t="n">
        <v>13.99</v>
      </c>
      <c r="D493" s="24" t="n">
        <v>26.67</v>
      </c>
      <c r="E493" s="24" t="n">
        <v>57.529999</v>
      </c>
      <c r="F493" s="24" t="n">
        <v>5.81</v>
      </c>
      <c r="G493" s="24" t="n">
        <v>21.799999</v>
      </c>
      <c r="H493" s="24" t="n">
        <v>27.73</v>
      </c>
      <c r="I493" s="24" t="n">
        <v>30</v>
      </c>
      <c r="J493" s="24" t="n">
        <v>99.5</v>
      </c>
    </row>
    <row r="494" customFormat="false" ht="15" hidden="false" customHeight="false" outlineLevel="0" collapsed="false">
      <c r="A494" s="23" t="n">
        <v>44434</v>
      </c>
      <c r="B494" s="24" t="n">
        <v>91.32</v>
      </c>
      <c r="C494" s="24" t="n">
        <v>13.66</v>
      </c>
      <c r="D494" s="24" t="n">
        <v>26.370001</v>
      </c>
      <c r="E494" s="24" t="n">
        <v>55.959999</v>
      </c>
      <c r="F494" s="24" t="n">
        <v>5.95</v>
      </c>
      <c r="G494" s="24" t="n">
        <v>21.07</v>
      </c>
      <c r="H494" s="24" t="n">
        <v>27.49</v>
      </c>
      <c r="I494" s="24" t="n">
        <v>29.280001</v>
      </c>
      <c r="J494" s="24" t="n">
        <v>98.230003</v>
      </c>
    </row>
    <row r="495" customFormat="false" ht="15" hidden="false" customHeight="false" outlineLevel="0" collapsed="false">
      <c r="A495" s="23" t="n">
        <v>44435</v>
      </c>
      <c r="B495" s="24" t="n">
        <v>92.389999</v>
      </c>
      <c r="C495" s="24" t="n">
        <v>13.94</v>
      </c>
      <c r="D495" s="24" t="n">
        <v>26.719999</v>
      </c>
      <c r="E495" s="24" t="n">
        <v>58.299999</v>
      </c>
      <c r="F495" s="24" t="n">
        <v>5.95</v>
      </c>
      <c r="G495" s="24" t="n">
        <v>21.48</v>
      </c>
      <c r="H495" s="24" t="n">
        <v>28.49</v>
      </c>
      <c r="I495" s="24" t="n">
        <v>29.58</v>
      </c>
      <c r="J495" s="24" t="n">
        <v>100.690002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  <col collapsed="false" customWidth="true" hidden="false" outlineLevel="0" max="21" min="11" style="0" width="15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60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91</v>
      </c>
      <c r="L3" s="3" t="s">
        <v>92</v>
      </c>
      <c r="M3" s="3" t="s">
        <v>93</v>
      </c>
      <c r="N3" s="3" t="s">
        <v>94</v>
      </c>
      <c r="O3" s="3" t="s">
        <v>95</v>
      </c>
      <c r="P3" s="3" t="s">
        <v>96</v>
      </c>
      <c r="Q3" s="3" t="s">
        <v>97</v>
      </c>
      <c r="R3" s="3" t="s">
        <v>98</v>
      </c>
      <c r="S3" s="3" t="s">
        <v>99</v>
      </c>
      <c r="T3" s="3" t="s">
        <v>100</v>
      </c>
      <c r="U3" s="3" t="s">
        <v>101</v>
      </c>
    </row>
    <row r="4" customFormat="false" ht="15" hidden="false" customHeight="false" outlineLevel="0" collapsed="false">
      <c r="A4" s="25" t="n">
        <f aca="false">Prices!A5</f>
        <v>43710</v>
      </c>
      <c r="B4" s="26" t="n">
        <f aca="false">Prices!B5/Prices!B4-1</f>
        <v>-0.0258690177849635</v>
      </c>
      <c r="C4" s="26" t="n">
        <f aca="false">Prices!C5/Prices!C4-1</f>
        <v>-0.0191964513213493</v>
      </c>
      <c r="D4" s="26" t="n">
        <f aca="false">Prices!D5/Prices!D4-1</f>
        <v>-0.00597609561752988</v>
      </c>
      <c r="E4" s="26" t="n">
        <f aca="false">Prices!E5/Prices!E4-1</f>
        <v>-0.00297622774500517</v>
      </c>
      <c r="F4" s="26" t="n">
        <f aca="false">Prices!F5/Prices!F4-1</f>
        <v>-0.00694071590584122</v>
      </c>
      <c r="G4" s="26" t="n">
        <f aca="false">Prices!G5/Prices!G4-1</f>
        <v>0.00808006925740679</v>
      </c>
      <c r="H4" s="26" t="n">
        <f aca="false">Prices!H5/Prices!H4-1</f>
        <v>-0.0078431764705883</v>
      </c>
      <c r="I4" s="26" t="n">
        <f aca="false">Prices!I5/Prices!I4-1</f>
        <v>-0.0057791530994018</v>
      </c>
      <c r="J4" s="26" t="n">
        <f aca="false">Prices!J5/Prices!J4-1</f>
        <v>0.00965543120474011</v>
      </c>
      <c r="K4" s="26" t="n">
        <f aca="false">SUMPRODUCT(B4:J4,Optimization!$C$7:$K$7)</f>
        <v>-0.00631614860917025</v>
      </c>
      <c r="L4" s="26" t="n">
        <f aca="false">SUMPRODUCT(B4:J4,Optimization!$C$8:$K$8)</f>
        <v>-0.00821654739099636</v>
      </c>
      <c r="M4" s="26" t="n">
        <f aca="false">SUMPRODUCT(B4:J4,Optimization!$C$9:$K$9)</f>
        <v>-0.00796645751166028</v>
      </c>
      <c r="N4" s="26" t="n">
        <f aca="false">SUMPRODUCT(B4:J4,Optimization!$C$10:$K$10)</f>
        <v>-0.00902826124562543</v>
      </c>
      <c r="O4" s="27" t="n">
        <f aca="false">IF(AND(A4&gt;=Inputs!$C$6,A4&lt;=Inputs!$C$7),1,0)</f>
        <v>0</v>
      </c>
      <c r="P4" s="28" t="n">
        <f aca="false">100*(1+K4)</f>
        <v>99.368385139083</v>
      </c>
      <c r="Q4" s="28" t="n">
        <f aca="false">MAX(100,P4)</f>
        <v>100</v>
      </c>
      <c r="R4" s="29" t="n">
        <f aca="false">P4/Q4-1</f>
        <v>-0.00631614860917029</v>
      </c>
      <c r="S4" s="26" t="n">
        <f aca="false">IF(A4=Inputs!$C$12,"",F4)</f>
        <v>-0.00694071590584122</v>
      </c>
      <c r="T4" s="27" t="n">
        <f aca="false">0</f>
        <v>0</v>
      </c>
      <c r="U4" s="26" t="n">
        <f aca="false">IF(A4=Inputs!$C$12,"",K4)</f>
        <v>-0.00631614860917025</v>
      </c>
    </row>
    <row r="5" customFormat="false" ht="15" hidden="false" customHeight="false" outlineLevel="0" collapsed="false">
      <c r="A5" s="25" t="n">
        <f aca="false">Prices!A6</f>
        <v>43711</v>
      </c>
      <c r="B5" s="26" t="n">
        <f aca="false">Prices!B6/Prices!B5-1</f>
        <v>-0.0124481947624856</v>
      </c>
      <c r="C5" s="26" t="n">
        <f aca="false">Prices!C6/Prices!C5-1</f>
        <v>-0.00432405572708494</v>
      </c>
      <c r="D5" s="26" t="n">
        <f aca="false">Prices!D6/Prices!D5-1</f>
        <v>-0.0113560454241817</v>
      </c>
      <c r="E5" s="26" t="n">
        <f aca="false">Prices!E6/Prices!E5-1</f>
        <v>-0.00724941088056175</v>
      </c>
      <c r="F5" s="26" t="n">
        <f aca="false">Prices!F6/Prices!F5-1</f>
        <v>0.00161286929107018</v>
      </c>
      <c r="G5" s="26" t="n">
        <f aca="false">Prices!G6/Prices!G5-1</f>
        <v>-0.00610686999592103</v>
      </c>
      <c r="H5" s="26" t="n">
        <f aca="false">Prices!H6/Prices!H5-1</f>
        <v>0.0118577475042589</v>
      </c>
      <c r="I5" s="26" t="n">
        <f aca="false">Prices!I6/Prices!I5-1</f>
        <v>-0.0419348782178124</v>
      </c>
      <c r="J5" s="26" t="n">
        <f aca="false">Prices!J6/Prices!J5-1</f>
        <v>-0.0106498157204875</v>
      </c>
      <c r="K5" s="26" t="n">
        <f aca="false">SUMPRODUCT(B5:J5,Optimization!$C$7:$K$7)</f>
        <v>-0.00895540599257842</v>
      </c>
      <c r="L5" s="26" t="n">
        <f aca="false">SUMPRODUCT(B5:J5,Optimization!$C$8:$K$8)</f>
        <v>-0.0135215226082067</v>
      </c>
      <c r="M5" s="26" t="n">
        <f aca="false">SUMPRODUCT(B5:J5,Optimization!$C$9:$K$9)</f>
        <v>-0.0145340478100835</v>
      </c>
      <c r="N5" s="26" t="n">
        <f aca="false">SUMPRODUCT(B5:J5,Optimization!$C$10:$K$10)</f>
        <v>-0.0115587719713449</v>
      </c>
      <c r="O5" s="27" t="n">
        <f aca="false">IF(AND(A5&gt;=Inputs!$C$6,A5&lt;=Inputs!$C$7),1,0)</f>
        <v>0</v>
      </c>
      <c r="P5" s="28" t="n">
        <f aca="false">P4*(1+K5)</f>
        <v>98.4785009073356</v>
      </c>
      <c r="Q5" s="28" t="n">
        <f aca="false">MAX(Q4,P5)</f>
        <v>100</v>
      </c>
      <c r="R5" s="29" t="n">
        <f aca="false">P5/Q5-1</f>
        <v>-0.015214990926644</v>
      </c>
      <c r="S5" s="26" t="n">
        <f aca="false">IF(A5=Inputs!$C$12,"",F5)</f>
        <v>0.00161286929107018</v>
      </c>
      <c r="T5" s="27" t="n">
        <f aca="false">IF(AND(A5&gt;Risk_Metrics!$C$28,P5&gt;=Risk_Metrics!$C$30),1,0)</f>
        <v>0</v>
      </c>
      <c r="U5" s="26" t="n">
        <f aca="false">IF(A5=Inputs!$C$12,"",K5)</f>
        <v>-0.00895540599257842</v>
      </c>
    </row>
    <row r="6" customFormat="false" ht="15" hidden="false" customHeight="false" outlineLevel="0" collapsed="false">
      <c r="A6" s="25" t="n">
        <f aca="false">Prices!A7</f>
        <v>43712</v>
      </c>
      <c r="B6" s="26" t="n">
        <f aca="false">Prices!B7/Prices!B6-1</f>
        <v>0.0102941600963933</v>
      </c>
      <c r="C6" s="26" t="n">
        <f aca="false">Prices!C7/Prices!C6-1</f>
        <v>0.0201142633168976</v>
      </c>
      <c r="D6" s="26" t="n">
        <f aca="false">Prices!D7/Prices!D6-1</f>
        <v>0.0202702702702702</v>
      </c>
      <c r="E6" s="26" t="n">
        <f aca="false">Prices!E7/Prices!E6-1</f>
        <v>0.0133161695016628</v>
      </c>
      <c r="F6" s="26" t="n">
        <f aca="false">Prices!F7/Prices!F6-1</f>
        <v>0.0220075731318685</v>
      </c>
      <c r="G6" s="26" t="n">
        <f aca="false">Prices!G7/Prices!G6-1</f>
        <v>0.0099845618285499</v>
      </c>
      <c r="H6" s="26" t="n">
        <f aca="false">Prices!H7/Prices!H6-1</f>
        <v>0.0257812500000001</v>
      </c>
      <c r="I6" s="26" t="n">
        <f aca="false">Prices!I7/Prices!I6-1</f>
        <v>0.0140845673823564</v>
      </c>
      <c r="J6" s="26" t="n">
        <f aca="false">Prices!J7/Prices!J6-1</f>
        <v>0.0219683655536027</v>
      </c>
      <c r="K6" s="26" t="n">
        <f aca="false">SUMPRODUCT(B6:J6,Optimization!$C$7:$K$7)</f>
        <v>0.0175356867868446</v>
      </c>
      <c r="L6" s="26" t="n">
        <f aca="false">SUMPRODUCT(B6:J6,Optimization!$C$8:$K$8)</f>
        <v>0.0183529701455131</v>
      </c>
      <c r="M6" s="26" t="n">
        <f aca="false">SUMPRODUCT(B6:J6,Optimization!$C$9:$K$9)</f>
        <v>0.01795335671981</v>
      </c>
      <c r="N6" s="26" t="n">
        <f aca="false">SUMPRODUCT(B6:J6,Optimization!$C$10:$K$10)</f>
        <v>0.0185062149455713</v>
      </c>
      <c r="O6" s="27" t="n">
        <f aca="false">IF(AND(A6&gt;=Inputs!$C$6,A6&lt;=Inputs!$C$7),1,0)</f>
        <v>0</v>
      </c>
      <c r="P6" s="28" t="n">
        <f aca="false">P5*(1+K6)</f>
        <v>100.205389054485</v>
      </c>
      <c r="Q6" s="28" t="n">
        <f aca="false">MAX(Q5,P6)</f>
        <v>100.205389054485</v>
      </c>
      <c r="R6" s="29" t="n">
        <f aca="false">P6/Q6-1</f>
        <v>0</v>
      </c>
      <c r="S6" s="26" t="n">
        <f aca="false">IF(A6=Inputs!$C$12,"",F6)</f>
        <v>0.0220075731318685</v>
      </c>
      <c r="T6" s="27" t="n">
        <f aca="false">IF(AND(A6&gt;Risk_Metrics!$C$28,P6&gt;=Risk_Metrics!$C$30),1,0)</f>
        <v>0</v>
      </c>
      <c r="U6" s="26" t="n">
        <f aca="false">IF(A6=Inputs!$C$12,"",K6)</f>
        <v>0.0175356867868446</v>
      </c>
    </row>
    <row r="7" customFormat="false" ht="15" hidden="false" customHeight="false" outlineLevel="0" collapsed="false">
      <c r="A7" s="25" t="n">
        <f aca="false">Prices!A8</f>
        <v>43713</v>
      </c>
      <c r="B7" s="26" t="n">
        <f aca="false">Prices!B8/Prices!B7-1</f>
        <v>0.00707007693907258</v>
      </c>
      <c r="C7" s="26" t="n">
        <f aca="false">Prices!C8/Prices!C7-1</f>
        <v>0.015012369034836</v>
      </c>
      <c r="D7" s="26" t="n">
        <f aca="false">Prices!D8/Prices!D7-1</f>
        <v>-0.00728476821192048</v>
      </c>
      <c r="E7" s="26" t="n">
        <f aca="false">Prices!E8/Prices!E7-1</f>
        <v>0.00148366466641447</v>
      </c>
      <c r="F7" s="26" t="n">
        <f aca="false">Prices!F8/Prices!F7-1</f>
        <v>-0.00315124683076884</v>
      </c>
      <c r="G7" s="26" t="n">
        <f aca="false">Prices!G8/Prices!G7-1</f>
        <v>0.0102661981089809</v>
      </c>
      <c r="H7" s="26" t="n">
        <f aca="false">Prices!H8/Prices!H7-1</f>
        <v>0.00495045696877372</v>
      </c>
      <c r="I7" s="26" t="n">
        <f aca="false">Prices!I8/Prices!I7-1</f>
        <v>0.00427349391462983</v>
      </c>
      <c r="J7" s="26" t="n">
        <f aca="false">Prices!J8/Prices!J7-1</f>
        <v>0</v>
      </c>
      <c r="K7" s="26" t="n">
        <f aca="false">SUMPRODUCT(B7:J7,Optimization!$C$7:$K$7)</f>
        <v>0.00362447162111314</v>
      </c>
      <c r="L7" s="26" t="n">
        <f aca="false">SUMPRODUCT(B7:J7,Optimization!$C$8:$K$8)</f>
        <v>0.000219018921348815</v>
      </c>
      <c r="M7" s="26" t="n">
        <f aca="false">SUMPRODUCT(B7:J7,Optimization!$C$9:$K$9)</f>
        <v>0.00190519529349476</v>
      </c>
      <c r="N7" s="26" t="n">
        <f aca="false">SUMPRODUCT(B7:J7,Optimization!$C$10:$K$10)</f>
        <v>-0.000179262686553845</v>
      </c>
      <c r="O7" s="27" t="n">
        <f aca="false">IF(AND(A7&gt;=Inputs!$C$6,A7&lt;=Inputs!$C$7),1,0)</f>
        <v>0</v>
      </c>
      <c r="P7" s="28" t="n">
        <f aca="false">P6*(1+K7)</f>
        <v>100.568580643395</v>
      </c>
      <c r="Q7" s="28" t="n">
        <f aca="false">MAX(Q6,P7)</f>
        <v>100.568580643395</v>
      </c>
      <c r="R7" s="29" t="n">
        <f aca="false">P7/Q7-1</f>
        <v>0</v>
      </c>
      <c r="S7" s="26" t="n">
        <f aca="false">IF(A7=Inputs!$C$12,"",F7)</f>
        <v>-0.00315124683076884</v>
      </c>
      <c r="T7" s="27" t="n">
        <f aca="false">IF(AND(A7&gt;Risk_Metrics!$C$28,P7&gt;=Risk_Metrics!$C$30),1,0)</f>
        <v>0</v>
      </c>
      <c r="U7" s="26" t="n">
        <f aca="false">IF(A7=Inputs!$C$12,"",K7)</f>
        <v>0.00362447162111314</v>
      </c>
    </row>
    <row r="8" customFormat="false" ht="15" hidden="false" customHeight="false" outlineLevel="0" collapsed="false">
      <c r="A8" s="25" t="n">
        <f aca="false">Prices!A9</f>
        <v>43714</v>
      </c>
      <c r="B8" s="26" t="n">
        <f aca="false">Prices!B9/Prices!B8-1</f>
        <v>-0.0090852364237044</v>
      </c>
      <c r="C8" s="26" t="n">
        <f aca="false">Prices!C9/Prices!C8-1</f>
        <v>0.0132450331125828</v>
      </c>
      <c r="D8" s="26" t="n">
        <f aca="false">Prices!D9/Prices!D8-1</f>
        <v>0.000667111407605114</v>
      </c>
      <c r="E8" s="26" t="n">
        <f aca="false">Prices!E9/Prices!E8-1</f>
        <v>-0.00888893333333329</v>
      </c>
      <c r="F8" s="26" t="n">
        <f aca="false">Prices!F9/Prices!F8-1</f>
        <v>-0.012117957409356</v>
      </c>
      <c r="G8" s="26" t="n">
        <f aca="false">Prices!G9/Prices!G8-1</f>
        <v>-0.0101618742943169</v>
      </c>
      <c r="H8" s="26" t="n">
        <f aca="false">Prices!H9/Prices!H8-1</f>
        <v>0.00492614645419276</v>
      </c>
      <c r="I8" s="26" t="n">
        <f aca="false">Prices!I9/Prices!I8-1</f>
        <v>-0.0204254872120171</v>
      </c>
      <c r="J8" s="26" t="n">
        <f aca="false">Prices!J9/Prices!J8-1</f>
        <v>-0.00150470765262256</v>
      </c>
      <c r="K8" s="26" t="n">
        <f aca="false">SUMPRODUCT(B8:J8,Optimization!$C$7:$K$7)</f>
        <v>-0.00481621170566328</v>
      </c>
      <c r="L8" s="26" t="n">
        <f aca="false">SUMPRODUCT(B8:J8,Optimization!$C$8:$K$8)</f>
        <v>-0.00167173080738485</v>
      </c>
      <c r="M8" s="26" t="n">
        <f aca="false">SUMPRODUCT(B8:J8,Optimization!$C$9:$K$9)</f>
        <v>-0.00269472491024456</v>
      </c>
      <c r="N8" s="26" t="n">
        <f aca="false">SUMPRODUCT(B8:J8,Optimization!$C$10:$K$10)</f>
        <v>-0.000398717180313711</v>
      </c>
      <c r="O8" s="27" t="n">
        <f aca="false">IF(AND(A8&gt;=Inputs!$C$6,A8&lt;=Inputs!$C$7),1,0)</f>
        <v>0</v>
      </c>
      <c r="P8" s="28" t="n">
        <f aca="false">P7*(1+K8)</f>
        <v>100.084221068079</v>
      </c>
      <c r="Q8" s="28" t="n">
        <f aca="false">MAX(Q7,P8)</f>
        <v>100.568580643395</v>
      </c>
      <c r="R8" s="29" t="n">
        <f aca="false">P8/Q8-1</f>
        <v>-0.00481621170566327</v>
      </c>
      <c r="S8" s="26" t="n">
        <f aca="false">IF(A8=Inputs!$C$12,"",F8)</f>
        <v>-0.012117957409356</v>
      </c>
      <c r="T8" s="27" t="n">
        <f aca="false">IF(AND(A8&gt;Risk_Metrics!$C$28,P8&gt;=Risk_Metrics!$C$30),1,0)</f>
        <v>0</v>
      </c>
      <c r="U8" s="26" t="n">
        <f aca="false">IF(A8=Inputs!$C$12,"",K8)</f>
        <v>-0.00481621170566328</v>
      </c>
    </row>
    <row r="9" customFormat="false" ht="15" hidden="false" customHeight="false" outlineLevel="0" collapsed="false">
      <c r="A9" s="25" t="n">
        <f aca="false">Prices!A10</f>
        <v>43717</v>
      </c>
      <c r="B9" s="26" t="n">
        <f aca="false">Prices!B10/Prices!B9-1</f>
        <v>-0.00125030209417365</v>
      </c>
      <c r="C9" s="26" t="n">
        <f aca="false">Prices!C10/Prices!C9-1</f>
        <v>-0.0453159477124183</v>
      </c>
      <c r="D9" s="26" t="n">
        <f aca="false">Prices!D10/Prices!D9-1</f>
        <v>0.0133333333333332</v>
      </c>
      <c r="E9" s="26" t="n">
        <f aca="false">Prices!E10/Prices!E9-1</f>
        <v>-0.0279735214337902</v>
      </c>
      <c r="F9" s="26" t="n">
        <f aca="false">Prices!F10/Prices!F9-1</f>
        <v>-0.0160001434227299</v>
      </c>
      <c r="G9" s="26" t="n">
        <f aca="false">Prices!G10/Prices!G9-1</f>
        <v>-0.0288972634561697</v>
      </c>
      <c r="H9" s="26" t="n">
        <f aca="false">Prices!H10/Prices!H9-1</f>
        <v>0.0154600301659125</v>
      </c>
      <c r="I9" s="26" t="n">
        <f aca="false">Prices!I10/Prices!I9-1</f>
        <v>-0.0280191810128774</v>
      </c>
      <c r="J9" s="26" t="n">
        <f aca="false">Prices!J10/Prices!J9-1</f>
        <v>0.0310010327018078</v>
      </c>
      <c r="K9" s="26" t="n">
        <f aca="false">SUMPRODUCT(B9:J9,Optimization!$C$7:$K$7)</f>
        <v>-0.00974021810345619</v>
      </c>
      <c r="L9" s="26" t="n">
        <f aca="false">SUMPRODUCT(B9:J9,Optimization!$C$8:$K$8)</f>
        <v>0.00223421503735529</v>
      </c>
      <c r="M9" s="26" t="n">
        <f aca="false">SUMPRODUCT(B9:J9,Optimization!$C$9:$K$9)</f>
        <v>0.000368854837900121</v>
      </c>
      <c r="N9" s="26" t="n">
        <f aca="false">SUMPRODUCT(B9:J9,Optimization!$C$10:$K$10)</f>
        <v>0.0037938368181308</v>
      </c>
      <c r="O9" s="27" t="n">
        <f aca="false">IF(AND(A9&gt;=Inputs!$C$6,A9&lt;=Inputs!$C$7),1,0)</f>
        <v>0</v>
      </c>
      <c r="P9" s="28" t="n">
        <f aca="false">P8*(1+K9)</f>
        <v>99.1093789261609</v>
      </c>
      <c r="Q9" s="28" t="n">
        <f aca="false">MAX(Q8,P9)</f>
        <v>100.568580643395</v>
      </c>
      <c r="R9" s="29" t="n">
        <f aca="false">P9/Q9-1</f>
        <v>-0.0145095188566738</v>
      </c>
      <c r="S9" s="26" t="n">
        <f aca="false">IF(A9=Inputs!$C$12,"",F9)</f>
        <v>-0.0160001434227299</v>
      </c>
      <c r="T9" s="27" t="n">
        <f aca="false">IF(AND(A9&gt;Risk_Metrics!$C$28,P9&gt;=Risk_Metrics!$C$30),1,0)</f>
        <v>0</v>
      </c>
      <c r="U9" s="26" t="n">
        <f aca="false">IF(A9=Inputs!$C$12,"",K9)</f>
        <v>-0.00974021810345619</v>
      </c>
    </row>
    <row r="10" customFormat="false" ht="15" hidden="false" customHeight="false" outlineLevel="0" collapsed="false">
      <c r="A10" s="25" t="n">
        <f aca="false">Prices!A11</f>
        <v>43718</v>
      </c>
      <c r="B10" s="26" t="n">
        <f aca="false">Prices!B11/Prices!B10-1</f>
        <v>-0.00250363029417899</v>
      </c>
      <c r="C10" s="26" t="n">
        <f aca="false">Prices!C11/Prices!C10-1</f>
        <v>0.00182567329190664</v>
      </c>
      <c r="D10" s="26" t="n">
        <f aca="false">Prices!D11/Prices!D10-1</f>
        <v>-0.0072368421052631</v>
      </c>
      <c r="E10" s="26" t="n">
        <f aca="false">Prices!E11/Prices!E10-1</f>
        <v>-0.0138400478552745</v>
      </c>
      <c r="F10" s="26" t="n">
        <f aca="false">Prices!F11/Prices!F10-1</f>
        <v>-0.031978282965704</v>
      </c>
      <c r="G10" s="26" t="n">
        <f aca="false">Prices!G11/Prices!G10-1</f>
        <v>0.0207517219752653</v>
      </c>
      <c r="H10" s="26" t="n">
        <f aca="false">Prices!H11/Prices!H10-1</f>
        <v>0.00631266245822504</v>
      </c>
      <c r="I10" s="26" t="n">
        <f aca="false">Prices!I11/Prices!I10-1</f>
        <v>0.00558657882591618</v>
      </c>
      <c r="J10" s="26" t="n">
        <f aca="false">Prices!J11/Prices!J10-1</f>
        <v>0.00730847791414635</v>
      </c>
      <c r="K10" s="26" t="n">
        <f aca="false">SUMPRODUCT(B10:J10,Optimization!$C$7:$K$7)</f>
        <v>-0.00153040986166234</v>
      </c>
      <c r="L10" s="26" t="n">
        <f aca="false">SUMPRODUCT(B10:J10,Optimization!$C$8:$K$8)</f>
        <v>-0.00164123878287821</v>
      </c>
      <c r="M10" s="26" t="n">
        <f aca="false">SUMPRODUCT(B10:J10,Optimization!$C$9:$K$9)</f>
        <v>3.04919174193153E-005</v>
      </c>
      <c r="N10" s="26" t="n">
        <f aca="false">SUMPRODUCT(B10:J10,Optimization!$C$10:$K$10)</f>
        <v>-0.00255307105215959</v>
      </c>
      <c r="O10" s="27" t="n">
        <f aca="false">IF(AND(A10&gt;=Inputs!$C$6,A10&lt;=Inputs!$C$7),1,0)</f>
        <v>0</v>
      </c>
      <c r="P10" s="28" t="n">
        <f aca="false">P9*(1+K10)</f>
        <v>98.9577009552691</v>
      </c>
      <c r="Q10" s="28" t="n">
        <f aca="false">MAX(Q9,P10)</f>
        <v>100.568580643395</v>
      </c>
      <c r="R10" s="29" t="n">
        <f aca="false">P10/Q10-1</f>
        <v>-0.0160177232075899</v>
      </c>
      <c r="S10" s="26" t="n">
        <f aca="false">IF(A10=Inputs!$C$12,"",F10)</f>
        <v>-0.031978282965704</v>
      </c>
      <c r="T10" s="27" t="n">
        <f aca="false">IF(AND(A10&gt;Risk_Metrics!$C$28,P10&gt;=Risk_Metrics!$C$30),1,0)</f>
        <v>0</v>
      </c>
      <c r="U10" s="26" t="n">
        <f aca="false">IF(A10=Inputs!$C$12,"",K10)</f>
        <v>-0.00153040986166234</v>
      </c>
    </row>
    <row r="11" customFormat="false" ht="15" hidden="false" customHeight="false" outlineLevel="0" collapsed="false">
      <c r="A11" s="25" t="n">
        <f aca="false">Prices!A12</f>
        <v>43719</v>
      </c>
      <c r="B11" s="26" t="n">
        <f aca="false">Prices!B12/Prices!B11-1</f>
        <v>0.0345115658960142</v>
      </c>
      <c r="C11" s="26" t="n">
        <f aca="false">Prices!C12/Prices!C11-1</f>
        <v>0.0143507975934123</v>
      </c>
      <c r="D11" s="26" t="n">
        <f aca="false">Prices!D12/Prices!D11-1</f>
        <v>0.00861497680583168</v>
      </c>
      <c r="E11" s="26" t="n">
        <f aca="false">Prices!E12/Prices!E11-1</f>
        <v>0.0169302621280967</v>
      </c>
      <c r="F11" s="26" t="n">
        <f aca="false">Prices!F12/Prices!F11-1</f>
        <v>0.0520716970648161</v>
      </c>
      <c r="G11" s="26" t="n">
        <f aca="false">Prices!G12/Prices!G11-1</f>
        <v>0.0375910625239739</v>
      </c>
      <c r="H11" s="26" t="n">
        <f aca="false">Prices!H12/Prices!H11-1</f>
        <v>-0.00848704797047983</v>
      </c>
      <c r="I11" s="26" t="n">
        <f aca="false">Prices!I12/Prices!I11-1</f>
        <v>0.0206667279854296</v>
      </c>
      <c r="J11" s="26" t="n">
        <f aca="false">Prices!J12/Prices!J11-1</f>
        <v>-0.00601162910399544</v>
      </c>
      <c r="K11" s="26" t="n">
        <f aca="false">SUMPRODUCT(B11:J11,Optimization!$C$7:$K$7)</f>
        <v>0.0189153792136777</v>
      </c>
      <c r="L11" s="26" t="n">
        <f aca="false">SUMPRODUCT(B11:J11,Optimization!$C$8:$K$8)</f>
        <v>0.0122011858884964</v>
      </c>
      <c r="M11" s="26" t="n">
        <f aca="false">SUMPRODUCT(B11:J11,Optimization!$C$9:$K$9)</f>
        <v>0.0125917730294013</v>
      </c>
      <c r="N11" s="26" t="n">
        <f aca="false">SUMPRODUCT(B11:J11,Optimization!$C$10:$K$10)</f>
        <v>0.0122840290381035</v>
      </c>
      <c r="O11" s="27" t="n">
        <f aca="false">IF(AND(A11&gt;=Inputs!$C$6,A11&lt;=Inputs!$C$7),1,0)</f>
        <v>0</v>
      </c>
      <c r="P11" s="28" t="n">
        <f aca="false">P10*(1+K11)</f>
        <v>100.829523394952</v>
      </c>
      <c r="Q11" s="28" t="n">
        <f aca="false">MAX(Q10,P11)</f>
        <v>100.829523394952</v>
      </c>
      <c r="R11" s="29" t="n">
        <f aca="false">P11/Q11-1</f>
        <v>0</v>
      </c>
      <c r="S11" s="26" t="n">
        <f aca="false">IF(A11=Inputs!$C$12,"",F11)</f>
        <v>0.0520716970648161</v>
      </c>
      <c r="T11" s="27" t="n">
        <f aca="false">IF(AND(A11&gt;Risk_Metrics!$C$28,P11&gt;=Risk_Metrics!$C$30),1,0)</f>
        <v>0</v>
      </c>
      <c r="U11" s="26" t="n">
        <f aca="false">IF(A11=Inputs!$C$12,"",K11)</f>
        <v>0.0189153792136777</v>
      </c>
    </row>
    <row r="12" customFormat="false" ht="15" hidden="false" customHeight="false" outlineLevel="0" collapsed="false">
      <c r="A12" s="25" t="n">
        <f aca="false">Prices!A13</f>
        <v>43720</v>
      </c>
      <c r="B12" s="26" t="n">
        <f aca="false">Prices!B13/Prices!B12-1</f>
        <v>-0.0153659121586315</v>
      </c>
      <c r="C12" s="26" t="n">
        <f aca="false">Prices!C13/Prices!C12-1</f>
        <v>-0.00112286101780512</v>
      </c>
      <c r="D12" s="26" t="n">
        <f aca="false">Prices!D13/Prices!D12-1</f>
        <v>0.00394218134034152</v>
      </c>
      <c r="E12" s="26" t="n">
        <f aca="false">Prices!E13/Prices!E12-1</f>
        <v>-0.00438115677526374</v>
      </c>
      <c r="F12" s="26" t="n">
        <f aca="false">Prices!F13/Prices!F12-1</f>
        <v>0.00372537859631916</v>
      </c>
      <c r="G12" s="26" t="n">
        <f aca="false">Prices!G13/Prices!G12-1</f>
        <v>-0.00702395589737359</v>
      </c>
      <c r="H12" s="26" t="n">
        <f aca="false">Prices!H13/Prices!H12-1</f>
        <v>0.00707100829657592</v>
      </c>
      <c r="I12" s="26" t="n">
        <f aca="false">Prices!I13/Prices!I12-1</f>
        <v>-0.00283042481682749</v>
      </c>
      <c r="J12" s="26" t="n">
        <f aca="false">Prices!J13/Prices!J12-1</f>
        <v>0.0362877573245515</v>
      </c>
      <c r="K12" s="26" t="n">
        <f aca="false">SUMPRODUCT(B12:J12,Optimization!$C$7:$K$7)</f>
        <v>0.00225577943243185</v>
      </c>
      <c r="L12" s="26" t="n">
        <f aca="false">SUMPRODUCT(B12:J12,Optimization!$C$8:$K$8)</f>
        <v>0.00492763884717349</v>
      </c>
      <c r="M12" s="26" t="n">
        <f aca="false">SUMPRODUCT(B12:J12,Optimization!$C$9:$K$9)</f>
        <v>0.00614670310357259</v>
      </c>
      <c r="N12" s="26" t="n">
        <f aca="false">SUMPRODUCT(B12:J12,Optimization!$C$10:$K$10)</f>
        <v>0.00433018207313838</v>
      </c>
      <c r="O12" s="27" t="n">
        <f aca="false">IF(AND(A12&gt;=Inputs!$C$6,A12&lt;=Inputs!$C$7),1,0)</f>
        <v>0</v>
      </c>
      <c r="P12" s="28" t="n">
        <f aca="false">P11*(1+K12)</f>
        <v>101.056972560008</v>
      </c>
      <c r="Q12" s="28" t="n">
        <f aca="false">MAX(Q11,P12)</f>
        <v>101.056972560008</v>
      </c>
      <c r="R12" s="29" t="n">
        <f aca="false">P12/Q12-1</f>
        <v>0</v>
      </c>
      <c r="S12" s="26" t="n">
        <f aca="false">IF(A12=Inputs!$C$12,"",F12)</f>
        <v>0.00372537859631916</v>
      </c>
      <c r="T12" s="27" t="n">
        <f aca="false">IF(AND(A12&gt;Risk_Metrics!$C$28,P12&gt;=Risk_Metrics!$C$30),1,0)</f>
        <v>0</v>
      </c>
      <c r="U12" s="26" t="n">
        <f aca="false">IF(A12=Inputs!$C$12,"",K12)</f>
        <v>0.00225577943243185</v>
      </c>
    </row>
    <row r="13" customFormat="false" ht="15" hidden="false" customHeight="false" outlineLevel="0" collapsed="false">
      <c r="A13" s="25" t="n">
        <f aca="false">Prices!A14</f>
        <v>43721</v>
      </c>
      <c r="B13" s="26" t="n">
        <f aca="false">Prices!B14/Prices!B13-1</f>
        <v>-0.0123203898907518</v>
      </c>
      <c r="C13" s="26" t="n">
        <f aca="false">Prices!C14/Prices!C13-1</f>
        <v>-0.0332733603090539</v>
      </c>
      <c r="D13" s="26" t="n">
        <f aca="false">Prices!D14/Prices!D13-1</f>
        <v>0.00196335078534049</v>
      </c>
      <c r="E13" s="26" t="n">
        <f aca="false">Prices!E14/Prices!E13-1</f>
        <v>-0.0319031593634602</v>
      </c>
      <c r="F13" s="26" t="n">
        <f aca="false">Prices!F14/Prices!F13-1</f>
        <v>-0.022269416374848</v>
      </c>
      <c r="G13" s="26" t="n">
        <f aca="false">Prices!G14/Prices!G13-1</f>
        <v>-0.0338793732732922</v>
      </c>
      <c r="H13" s="26" t="n">
        <f aca="false">Prices!H14/Prices!H13-1</f>
        <v>-0.00665188494648505</v>
      </c>
      <c r="I13" s="26" t="n">
        <f aca="false">Prices!I14/Prices!I13-1</f>
        <v>0.00436680171994186</v>
      </c>
      <c r="J13" s="26" t="n">
        <f aca="false">Prices!J14/Prices!J13-1</f>
        <v>0.00201251764967836</v>
      </c>
      <c r="K13" s="26" t="n">
        <f aca="false">SUMPRODUCT(B13:J13,Optimization!$C$7:$K$7)</f>
        <v>-0.0146616571114367</v>
      </c>
      <c r="L13" s="26" t="n">
        <f aca="false">SUMPRODUCT(B13:J13,Optimization!$C$8:$K$8)</f>
        <v>-0.00462053630672311</v>
      </c>
      <c r="M13" s="26" t="n">
        <f aca="false">SUMPRODUCT(B13:J13,Optimization!$C$9:$K$9)</f>
        <v>-0.00554685490477771</v>
      </c>
      <c r="N13" s="26" t="n">
        <f aca="false">SUMPRODUCT(B13:J13,Optimization!$C$10:$K$10)</f>
        <v>-0.00534015607603035</v>
      </c>
      <c r="O13" s="27" t="n">
        <f aca="false">IF(AND(A13&gt;=Inputs!$C$6,A13&lt;=Inputs!$C$7),1,0)</f>
        <v>0</v>
      </c>
      <c r="P13" s="28" t="n">
        <f aca="false">P12*(1+K13)</f>
        <v>99.5753098796133</v>
      </c>
      <c r="Q13" s="28" t="n">
        <f aca="false">MAX(Q12,P13)</f>
        <v>101.056972560008</v>
      </c>
      <c r="R13" s="29" t="n">
        <f aca="false">P13/Q13-1</f>
        <v>-0.0146616571114367</v>
      </c>
      <c r="S13" s="26" t="n">
        <f aca="false">IF(A13=Inputs!$C$12,"",F13)</f>
        <v>-0.022269416374848</v>
      </c>
      <c r="T13" s="27" t="n">
        <f aca="false">IF(AND(A13&gt;Risk_Metrics!$C$28,P13&gt;=Risk_Metrics!$C$30),1,0)</f>
        <v>0</v>
      </c>
      <c r="U13" s="26" t="n">
        <f aca="false">IF(A13=Inputs!$C$12,"",K13)</f>
        <v>-0.0146616571114367</v>
      </c>
    </row>
    <row r="14" customFormat="false" ht="15" hidden="false" customHeight="false" outlineLevel="0" collapsed="false">
      <c r="A14" s="25" t="n">
        <f aca="false">Prices!A15</f>
        <v>43724</v>
      </c>
      <c r="B14" s="26" t="n">
        <f aca="false">Prices!B15/Prices!B14-1</f>
        <v>0.00228692317201351</v>
      </c>
      <c r="C14" s="26" t="n">
        <f aca="false">Prices!C15/Prices!C14-1</f>
        <v>0.00162788375878797</v>
      </c>
      <c r="D14" s="26" t="n">
        <f aca="false">Prices!D15/Prices!D14-1</f>
        <v>0.000653167864141047</v>
      </c>
      <c r="E14" s="26" t="n">
        <f aca="false">Prices!E15/Prices!E14-1</f>
        <v>0.00545448748760347</v>
      </c>
      <c r="F14" s="26" t="n">
        <f aca="false">Prices!F15/Prices!F14-1</f>
        <v>0.0130152377350585</v>
      </c>
      <c r="G14" s="26" t="n">
        <f aca="false">Prices!G15/Prices!G14-1</f>
        <v>0.014643506179441</v>
      </c>
      <c r="H14" s="26" t="n">
        <f aca="false">Prices!H15/Prices!H14-1</f>
        <v>0.0438988111569498</v>
      </c>
      <c r="I14" s="26" t="n">
        <f aca="false">Prices!I15/Prices!I14-1</f>
        <v>-0.000652162955857127</v>
      </c>
      <c r="J14" s="26" t="n">
        <f aca="false">Prices!J15/Prices!J14-1</f>
        <v>-0.0241012447459078</v>
      </c>
      <c r="K14" s="26" t="n">
        <f aca="false">SUMPRODUCT(B14:J14,Optimization!$C$7:$K$7)</f>
        <v>0.00631406773913671</v>
      </c>
      <c r="L14" s="26" t="n">
        <f aca="false">SUMPRODUCT(B14:J14,Optimization!$C$8:$K$8)</f>
        <v>-0.00318333520216454</v>
      </c>
      <c r="M14" s="26" t="n">
        <f aca="false">SUMPRODUCT(B14:J14,Optimization!$C$9:$K$9)</f>
        <v>-0.00475317457298409</v>
      </c>
      <c r="N14" s="26" t="n">
        <f aca="false">SUMPRODUCT(B14:J14,Optimization!$C$10:$K$10)</f>
        <v>-0.0026097419585799</v>
      </c>
      <c r="O14" s="27" t="n">
        <f aca="false">IF(AND(A14&gt;=Inputs!$C$6,A14&lt;=Inputs!$C$7),1,0)</f>
        <v>0</v>
      </c>
      <c r="P14" s="28" t="n">
        <f aca="false">P13*(1+K14)</f>
        <v>100.204035131339</v>
      </c>
      <c r="Q14" s="28" t="n">
        <f aca="false">MAX(Q13,P14)</f>
        <v>101.056972560008</v>
      </c>
      <c r="R14" s="29" t="n">
        <f aca="false">P14/Q14-1</f>
        <v>-0.0084401640684697</v>
      </c>
      <c r="S14" s="26" t="n">
        <f aca="false">IF(A14=Inputs!$C$12,"",F14)</f>
        <v>0.0130152377350585</v>
      </c>
      <c r="T14" s="27" t="n">
        <f aca="false">IF(AND(A14&gt;Risk_Metrics!$C$28,P14&gt;=Risk_Metrics!$C$30),1,0)</f>
        <v>0</v>
      </c>
      <c r="U14" s="26" t="n">
        <f aca="false">IF(A14=Inputs!$C$12,"",K14)</f>
        <v>0.00631406773913671</v>
      </c>
    </row>
    <row r="15" customFormat="false" ht="15" hidden="false" customHeight="false" outlineLevel="0" collapsed="false">
      <c r="A15" s="25" t="n">
        <f aca="false">Prices!A16</f>
        <v>43725</v>
      </c>
      <c r="B15" s="26" t="n">
        <f aca="false">Prices!B16/Prices!B15-1</f>
        <v>0.0180461111397243</v>
      </c>
      <c r="C15" s="26" t="n">
        <f aca="false">Prices!C16/Prices!C15-1</f>
        <v>0.0243789191724597</v>
      </c>
      <c r="D15" s="26" t="n">
        <f aca="false">Prices!D16/Prices!D15-1</f>
        <v>0.0045691906005223</v>
      </c>
      <c r="E15" s="26" t="n">
        <f aca="false">Prices!E16/Prices!E15-1</f>
        <v>0.00587705728749532</v>
      </c>
      <c r="F15" s="26" t="n">
        <f aca="false">Prices!F16/Prices!F15-1</f>
        <v>0.0251606431948161</v>
      </c>
      <c r="G15" s="26" t="n">
        <f aca="false">Prices!G16/Prices!G15-1</f>
        <v>0.0239270413976453</v>
      </c>
      <c r="H15" s="26" t="n">
        <f aca="false">Prices!H16/Prices!H15-1</f>
        <v>-0.0131859591299345</v>
      </c>
      <c r="I15" s="26" t="n">
        <f aca="false">Prices!I16/Prices!I15-1</f>
        <v>0.00696110121468152</v>
      </c>
      <c r="J15" s="26" t="n">
        <f aca="false">Prices!J16/Prices!J15-1</f>
        <v>0.00637995472319397</v>
      </c>
      <c r="K15" s="26" t="n">
        <f aca="false">SUMPRODUCT(B15:J15,Optimization!$C$7:$K$7)</f>
        <v>0.0113460066222894</v>
      </c>
      <c r="L15" s="26" t="n">
        <f aca="false">SUMPRODUCT(B15:J15,Optimization!$C$8:$K$8)</f>
        <v>0.00979950436030038</v>
      </c>
      <c r="M15" s="26" t="n">
        <f aca="false">SUMPRODUCT(B15:J15,Optimization!$C$9:$K$9)</f>
        <v>0.0107427121947585</v>
      </c>
      <c r="N15" s="26" t="n">
        <f aca="false">SUMPRODUCT(B15:J15,Optimization!$C$10:$K$10)</f>
        <v>0.0100463136314089</v>
      </c>
      <c r="O15" s="27" t="n">
        <f aca="false">IF(AND(A15&gt;=Inputs!$C$6,A15&lt;=Inputs!$C$7),1,0)</f>
        <v>0</v>
      </c>
      <c r="P15" s="28" t="n">
        <f aca="false">P14*(1+K15)</f>
        <v>101.340950777519</v>
      </c>
      <c r="Q15" s="28" t="n">
        <f aca="false">MAX(Q14,P15)</f>
        <v>101.340950777519</v>
      </c>
      <c r="R15" s="29" t="n">
        <f aca="false">P15/Q15-1</f>
        <v>0</v>
      </c>
      <c r="S15" s="26" t="n">
        <f aca="false">IF(A15=Inputs!$C$12,"",F15)</f>
        <v>0.0251606431948161</v>
      </c>
      <c r="T15" s="27" t="n">
        <f aca="false">IF(AND(A15&gt;Risk_Metrics!$C$28,P15&gt;=Risk_Metrics!$C$30),1,0)</f>
        <v>0</v>
      </c>
      <c r="U15" s="26" t="n">
        <f aca="false">IF(A15=Inputs!$C$12,"",K15)</f>
        <v>0.0113460066222894</v>
      </c>
    </row>
    <row r="16" customFormat="false" ht="15" hidden="false" customHeight="false" outlineLevel="0" collapsed="false">
      <c r="A16" s="25" t="n">
        <f aca="false">Prices!A17</f>
        <v>43726</v>
      </c>
      <c r="B16" s="26" t="n">
        <f aca="false">Prices!B17/Prices!B16-1</f>
        <v>0.00448241628026014</v>
      </c>
      <c r="C16" s="26" t="n">
        <f aca="false">Prices!C17/Prices!C16-1</f>
        <v>0.0181323897612145</v>
      </c>
      <c r="D16" s="26" t="n">
        <f aca="false">Prices!D17/Prices!D16-1</f>
        <v>0.00909681611435986</v>
      </c>
      <c r="E16" s="26" t="n">
        <f aca="false">Prices!E17/Prices!E16-1</f>
        <v>0.0141573510231046</v>
      </c>
      <c r="F16" s="26" t="n">
        <f aca="false">Prices!F17/Prices!F16-1</f>
        <v>0</v>
      </c>
      <c r="G16" s="26" t="n">
        <f aca="false">Prices!G17/Prices!G16-1</f>
        <v>0.00927299737659482</v>
      </c>
      <c r="H16" s="26" t="n">
        <f aca="false">Prices!H17/Prices!H16-1</f>
        <v>-0.0169737083071971</v>
      </c>
      <c r="I16" s="26" t="n">
        <f aca="false">Prices!I17/Prices!I16-1</f>
        <v>-0.00302449261356041</v>
      </c>
      <c r="J16" s="26" t="n">
        <f aca="false">Prices!J17/Prices!J16-1</f>
        <v>-0.0102249484570573</v>
      </c>
      <c r="K16" s="26" t="n">
        <f aca="false">SUMPRODUCT(B16:J16,Optimization!$C$7:$K$7)</f>
        <v>0.00276875790863544</v>
      </c>
      <c r="L16" s="26" t="n">
        <f aca="false">SUMPRODUCT(B16:J16,Optimization!$C$8:$K$8)</f>
        <v>0.0051568348342518</v>
      </c>
      <c r="M16" s="26" t="n">
        <f aca="false">SUMPRODUCT(B16:J16,Optimization!$C$9:$K$9)</f>
        <v>0.00345446770185469</v>
      </c>
      <c r="N16" s="26" t="n">
        <f aca="false">SUMPRODUCT(B16:J16,Optimization!$C$10:$K$10)</f>
        <v>0.00625066705677233</v>
      </c>
      <c r="O16" s="27" t="n">
        <f aca="false">IF(AND(A16&gt;=Inputs!$C$6,A16&lt;=Inputs!$C$7),1,0)</f>
        <v>0</v>
      </c>
      <c r="P16" s="28" t="n">
        <f aca="false">P15*(1+K16)</f>
        <v>101.621539336453</v>
      </c>
      <c r="Q16" s="28" t="n">
        <f aca="false">MAX(Q15,P16)</f>
        <v>101.621539336453</v>
      </c>
      <c r="R16" s="29" t="n">
        <f aca="false">P16/Q16-1</f>
        <v>0</v>
      </c>
      <c r="S16" s="26" t="n">
        <f aca="false">IF(A16=Inputs!$C$12,"",F16)</f>
        <v>0</v>
      </c>
      <c r="T16" s="27" t="n">
        <f aca="false">IF(AND(A16&gt;Risk_Metrics!$C$28,P16&gt;=Risk_Metrics!$C$30),1,0)</f>
        <v>0</v>
      </c>
      <c r="U16" s="26" t="n">
        <f aca="false">IF(A16=Inputs!$C$12,"",K16)</f>
        <v>0.00276875790863544</v>
      </c>
    </row>
    <row r="17" customFormat="false" ht="15" hidden="false" customHeight="false" outlineLevel="0" collapsed="false">
      <c r="A17" s="25" t="n">
        <f aca="false">Prices!A18</f>
        <v>43727</v>
      </c>
      <c r="B17" s="26" t="n">
        <f aca="false">Prices!B18/Prices!B17-1</f>
        <v>0.00912780951577719</v>
      </c>
      <c r="C17" s="26" t="n">
        <f aca="false">Prices!C18/Prices!C17-1</f>
        <v>-0.00756898948283602</v>
      </c>
      <c r="D17" s="26" t="n">
        <f aca="false">Prices!D18/Prices!D17-1</f>
        <v>0.00128783000643917</v>
      </c>
      <c r="E17" s="26" t="n">
        <f aca="false">Prices!E18/Prices!E17-1</f>
        <v>0.0163970770959871</v>
      </c>
      <c r="F17" s="26" t="n">
        <f aca="false">Prices!F18/Prices!F17-1</f>
        <v>0.027154015996308</v>
      </c>
      <c r="G17" s="26" t="n">
        <f aca="false">Prices!G18/Prices!G17-1</f>
        <v>0.0352811846850858</v>
      </c>
      <c r="H17" s="26" t="n">
        <f aca="false">Prices!H18/Prices!H17-1</f>
        <v>0.00257171207096651</v>
      </c>
      <c r="I17" s="26" t="n">
        <f aca="false">Prices!I18/Prices!I17-1</f>
        <v>-0.00520036956974368</v>
      </c>
      <c r="J17" s="26" t="n">
        <f aca="false">Prices!J18/Prices!J17-1</f>
        <v>-0.00165293381599452</v>
      </c>
      <c r="K17" s="26" t="n">
        <f aca="false">SUMPRODUCT(B17:J17,Optimization!$C$7:$K$7)</f>
        <v>0.00859970405577662</v>
      </c>
      <c r="L17" s="26" t="n">
        <f aca="false">SUMPRODUCT(B17:J17,Optimization!$C$8:$K$8)</f>
        <v>0.000236529722199895</v>
      </c>
      <c r="M17" s="26" t="n">
        <f aca="false">SUMPRODUCT(B17:J17,Optimization!$C$9:$K$9)</f>
        <v>-9.27271638393334E-005</v>
      </c>
      <c r="N17" s="26" t="n">
        <f aca="false">SUMPRODUCT(B17:J17,Optimization!$C$10:$K$10)</f>
        <v>0.000798862759366528</v>
      </c>
      <c r="O17" s="27" t="n">
        <f aca="false">IF(AND(A17&gt;=Inputs!$C$6,A17&lt;=Inputs!$C$7),1,0)</f>
        <v>0</v>
      </c>
      <c r="P17" s="28" t="n">
        <f aca="false">P16*(1+K17)</f>
        <v>102.495454500439</v>
      </c>
      <c r="Q17" s="28" t="n">
        <f aca="false">MAX(Q16,P17)</f>
        <v>102.495454500439</v>
      </c>
      <c r="R17" s="29" t="n">
        <f aca="false">P17/Q17-1</f>
        <v>0</v>
      </c>
      <c r="S17" s="26" t="n">
        <f aca="false">IF(A17=Inputs!$C$12,"",F17)</f>
        <v>0.027154015996308</v>
      </c>
      <c r="T17" s="27" t="n">
        <f aca="false">IF(AND(A17&gt;Risk_Metrics!$C$28,P17&gt;=Risk_Metrics!$C$30),1,0)</f>
        <v>0</v>
      </c>
      <c r="U17" s="26" t="n">
        <f aca="false">IF(A17=Inputs!$C$12,"",K17)</f>
        <v>0.00859970405577662</v>
      </c>
    </row>
    <row r="18" customFormat="false" ht="15" hidden="false" customHeight="false" outlineLevel="0" collapsed="false">
      <c r="A18" s="25" t="n">
        <f aca="false">Prices!A19</f>
        <v>43728</v>
      </c>
      <c r="B18" s="26" t="n">
        <f aca="false">Prices!B19/Prices!B18-1</f>
        <v>0.010251216080402</v>
      </c>
      <c r="C18" s="26" t="n">
        <f aca="false">Prices!C19/Prices!C18-1</f>
        <v>0.01659932705249</v>
      </c>
      <c r="D18" s="26" t="n">
        <f aca="false">Prices!D19/Prices!D18-1</f>
        <v>-0.0192926045016077</v>
      </c>
      <c r="E18" s="26" t="n">
        <f aca="false">Prices!E19/Prices!E18-1</f>
        <v>0.00218004901602265</v>
      </c>
      <c r="F18" s="26" t="n">
        <f aca="false">Prices!F19/Prices!F18-1</f>
        <v>0.001525133119477</v>
      </c>
      <c r="G18" s="26" t="n">
        <f aca="false">Prices!G19/Prices!G18-1</f>
        <v>0.018814376996805</v>
      </c>
      <c r="H18" s="26" t="n">
        <f aca="false">Prices!H19/Prices!H18-1</f>
        <v>-0.0106266394053998</v>
      </c>
      <c r="I18" s="26" t="n">
        <f aca="false">Prices!I19/Prices!I18-1</f>
        <v>-0.000435666826165804</v>
      </c>
      <c r="J18" s="26" t="n">
        <f aca="false">Prices!J19/Prices!J18-1</f>
        <v>0.0020694950331126</v>
      </c>
      <c r="K18" s="26" t="n">
        <f aca="false">SUMPRODUCT(B18:J18,Optimization!$C$7:$K$7)</f>
        <v>0.00234274295168177</v>
      </c>
      <c r="L18" s="26" t="n">
        <f aca="false">SUMPRODUCT(B18:J18,Optimization!$C$8:$K$8)</f>
        <v>-0.00458652910830628</v>
      </c>
      <c r="M18" s="26" t="n">
        <f aca="false">SUMPRODUCT(B18:J18,Optimization!$C$9:$K$9)</f>
        <v>-0.00103991943120131</v>
      </c>
      <c r="N18" s="26" t="n">
        <f aca="false">SUMPRODUCT(B18:J18,Optimization!$C$10:$K$10)</f>
        <v>-0.00528411277497799</v>
      </c>
      <c r="O18" s="27" t="n">
        <f aca="false">IF(AND(A18&gt;=Inputs!$C$6,A18&lt;=Inputs!$C$7),1,0)</f>
        <v>0</v>
      </c>
      <c r="P18" s="28" t="n">
        <f aca="false">P17*(1+K18)</f>
        <v>102.735575004049</v>
      </c>
      <c r="Q18" s="28" t="n">
        <f aca="false">MAX(Q17,P18)</f>
        <v>102.735575004049</v>
      </c>
      <c r="R18" s="29" t="n">
        <f aca="false">P18/Q18-1</f>
        <v>0</v>
      </c>
      <c r="S18" s="26" t="n">
        <f aca="false">IF(A18=Inputs!$C$12,"",F18)</f>
        <v>0.001525133119477</v>
      </c>
      <c r="T18" s="27" t="n">
        <f aca="false">IF(AND(A18&gt;Risk_Metrics!$C$28,P18&gt;=Risk_Metrics!$C$30),1,0)</f>
        <v>0</v>
      </c>
      <c r="U18" s="26" t="n">
        <f aca="false">IF(A18=Inputs!$C$12,"",K18)</f>
        <v>0.00234274295168177</v>
      </c>
    </row>
    <row r="19" customFormat="false" ht="15" hidden="false" customHeight="false" outlineLevel="0" collapsed="false">
      <c r="A19" s="25" t="n">
        <f aca="false">Prices!A20</f>
        <v>43731</v>
      </c>
      <c r="B19" s="26" t="n">
        <f aca="false">Prices!B20/Prices!B19-1</f>
        <v>-0.024870673492665</v>
      </c>
      <c r="C19" s="26" t="n">
        <f aca="false">Prices!C20/Prices!C19-1</f>
        <v>-0.0101500225132402</v>
      </c>
      <c r="D19" s="26" t="n">
        <f aca="false">Prices!D20/Prices!D19-1</f>
        <v>0.00786885245901625</v>
      </c>
      <c r="E19" s="26" t="n">
        <f aca="false">Prices!E20/Prices!E19-1</f>
        <v>-0.0332825334634113</v>
      </c>
      <c r="F19" s="26" t="n">
        <f aca="false">Prices!F20/Prices!F19-1</f>
        <v>-0.00761410408798025</v>
      </c>
      <c r="G19" s="26" t="n">
        <f aca="false">Prices!G20/Prices!G19-1</f>
        <v>0</v>
      </c>
      <c r="H19" s="26" t="n">
        <f aca="false">Prices!H20/Prices!H19-1</f>
        <v>0.0177777777777779</v>
      </c>
      <c r="I19" s="26" t="n">
        <f aca="false">Prices!I20/Prices!I19-1</f>
        <v>-0.0193942229691615</v>
      </c>
      <c r="J19" s="26" t="n">
        <f aca="false">Prices!J20/Prices!J19-1</f>
        <v>-0.00660883959557368</v>
      </c>
      <c r="K19" s="26" t="n">
        <f aca="false">SUMPRODUCT(B19:J19,Optimization!$C$7:$K$7)</f>
        <v>-0.00847486287613752</v>
      </c>
      <c r="L19" s="26" t="n">
        <f aca="false">SUMPRODUCT(B19:J19,Optimization!$C$8:$K$8)</f>
        <v>-0.0047055556213318</v>
      </c>
      <c r="M19" s="26" t="n">
        <f aca="false">SUMPRODUCT(B19:J19,Optimization!$C$9:$K$9)</f>
        <v>-0.00790729153945878</v>
      </c>
      <c r="N19" s="26" t="n">
        <f aca="false">SUMPRODUCT(B19:J19,Optimization!$C$10:$K$10)</f>
        <v>-0.00352907678358345</v>
      </c>
      <c r="O19" s="27" t="n">
        <f aca="false">IF(AND(A19&gt;=Inputs!$C$6,A19&lt;=Inputs!$C$7),1,0)</f>
        <v>0</v>
      </c>
      <c r="P19" s="28" t="n">
        <f aca="false">P18*(1+K19)</f>
        <v>101.864905093389</v>
      </c>
      <c r="Q19" s="28" t="n">
        <f aca="false">MAX(Q18,P19)</f>
        <v>102.735575004049</v>
      </c>
      <c r="R19" s="29" t="n">
        <f aca="false">P19/Q19-1</f>
        <v>-0.00847486287613752</v>
      </c>
      <c r="S19" s="26" t="n">
        <f aca="false">IF(A19=Inputs!$C$12,"",F19)</f>
        <v>-0.00761410408798025</v>
      </c>
      <c r="T19" s="27" t="n">
        <f aca="false">IF(AND(A19&gt;Risk_Metrics!$C$28,P19&gt;=Risk_Metrics!$C$30),1,0)</f>
        <v>0</v>
      </c>
      <c r="U19" s="26" t="n">
        <f aca="false">IF(A19=Inputs!$C$12,"",K19)</f>
        <v>-0.00847486287613752</v>
      </c>
    </row>
    <row r="20" customFormat="false" ht="15" hidden="false" customHeight="false" outlineLevel="0" collapsed="false">
      <c r="A20" s="25" t="n">
        <f aca="false">Prices!A21</f>
        <v>43732</v>
      </c>
      <c r="B20" s="26" t="n">
        <f aca="false">Prices!B21/Prices!B20-1</f>
        <v>-0.00020399919216485</v>
      </c>
      <c r="C20" s="26" t="n">
        <f aca="false">Prices!C21/Prices!C20-1</f>
        <v>-0.0124833038895075</v>
      </c>
      <c r="D20" s="26" t="n">
        <f aca="false">Prices!D21/Prices!D20-1</f>
        <v>-0.011060507482108</v>
      </c>
      <c r="E20" s="26" t="n">
        <f aca="false">Prices!E21/Prices!E20-1</f>
        <v>-0.0189019604118352</v>
      </c>
      <c r="F20" s="26" t="n">
        <f aca="false">Prices!F21/Prices!F20-1</f>
        <v>0.0138106551819532</v>
      </c>
      <c r="G20" s="26" t="n">
        <f aca="false">Prices!G21/Prices!G20-1</f>
        <v>-0.00452965141011663</v>
      </c>
      <c r="H20" s="26" t="n">
        <f aca="false">Prices!H21/Prices!H20-1</f>
        <v>-0.00764192139737996</v>
      </c>
      <c r="I20" s="26" t="n">
        <f aca="false">Prices!I21/Prices!I20-1</f>
        <v>-0.0126666221541426</v>
      </c>
      <c r="J20" s="26" t="n">
        <f aca="false">Prices!J21/Prices!J20-1</f>
        <v>-0.0243242837556875</v>
      </c>
      <c r="K20" s="26" t="n">
        <f aca="false">SUMPRODUCT(B20:J20,Optimization!$C$7:$K$7)</f>
        <v>-0.00866684383455433</v>
      </c>
      <c r="L20" s="26" t="n">
        <f aca="false">SUMPRODUCT(B20:J20,Optimization!$C$8:$K$8)</f>
        <v>-0.0118930467693053</v>
      </c>
      <c r="M20" s="26" t="n">
        <f aca="false">SUMPRODUCT(B20:J20,Optimization!$C$9:$K$9)</f>
        <v>-0.0124980702692613</v>
      </c>
      <c r="N20" s="26" t="n">
        <f aca="false">SUMPRODUCT(B20:J20,Optimization!$C$10:$K$10)</f>
        <v>-0.0113345174206786</v>
      </c>
      <c r="O20" s="27" t="n">
        <f aca="false">IF(AND(A20&gt;=Inputs!$C$6,A20&lt;=Inputs!$C$7),1,0)</f>
        <v>0</v>
      </c>
      <c r="P20" s="28" t="n">
        <f aca="false">P19*(1+K20)</f>
        <v>100.982057868723</v>
      </c>
      <c r="Q20" s="28" t="n">
        <f aca="false">MAX(Q19,P20)</f>
        <v>102.735575004049</v>
      </c>
      <c r="R20" s="29" t="n">
        <f aca="false">P20/Q20-1</f>
        <v>-0.017068256397625</v>
      </c>
      <c r="S20" s="26" t="n">
        <f aca="false">IF(A20=Inputs!$C$12,"",F20)</f>
        <v>0.0138106551819532</v>
      </c>
      <c r="T20" s="27" t="n">
        <f aca="false">IF(AND(A20&gt;Risk_Metrics!$C$28,P20&gt;=Risk_Metrics!$C$30),1,0)</f>
        <v>0</v>
      </c>
      <c r="U20" s="26" t="n">
        <f aca="false">IF(A20=Inputs!$C$12,"",K20)</f>
        <v>-0.00866684383455433</v>
      </c>
    </row>
    <row r="21" customFormat="false" ht="15" hidden="false" customHeight="false" outlineLevel="0" collapsed="false">
      <c r="A21" s="25" t="n">
        <f aca="false">Prices!A22</f>
        <v>43733</v>
      </c>
      <c r="B21" s="26" t="n">
        <f aca="false">Prices!B22/Prices!B21-1</f>
        <v>-0.00163269387755105</v>
      </c>
      <c r="C21" s="26" t="n">
        <f aca="false">Prices!C22/Prices!C21-1</f>
        <v>-0.00654623054384795</v>
      </c>
      <c r="D21" s="26" t="n">
        <f aca="false">Prices!D22/Prices!D21-1</f>
        <v>0.00592105263157894</v>
      </c>
      <c r="E21" s="26" t="n">
        <f aca="false">Prices!E22/Prices!E21-1</f>
        <v>0.0238532554625046</v>
      </c>
      <c r="F21" s="26" t="n">
        <f aca="false">Prices!F22/Prices!F21-1</f>
        <v>0.0110999355165888</v>
      </c>
      <c r="G21" s="26" t="n">
        <f aca="false">Prices!G22/Prices!G21-1</f>
        <v>-0.00490024501225062</v>
      </c>
      <c r="H21" s="26" t="n">
        <f aca="false">Prices!H22/Prices!H21-1</f>
        <v>0.00256692335900266</v>
      </c>
      <c r="I21" s="26" t="n">
        <f aca="false">Prices!I22/Prices!I21-1</f>
        <v>0.026558606138239</v>
      </c>
      <c r="J21" s="26" t="n">
        <f aca="false">Prices!J22/Prices!J21-1</f>
        <v>0.0198167696569358</v>
      </c>
      <c r="K21" s="26" t="n">
        <f aca="false">SUMPRODUCT(B21:J21,Optimization!$C$7:$K$7)</f>
        <v>0.0085263748145778</v>
      </c>
      <c r="L21" s="26" t="n">
        <f aca="false">SUMPRODUCT(B21:J21,Optimization!$C$8:$K$8)</f>
        <v>0.00745108763071975</v>
      </c>
      <c r="M21" s="26" t="n">
        <f aca="false">SUMPRODUCT(B21:J21,Optimization!$C$9:$K$9)</f>
        <v>0.00872999310579676</v>
      </c>
      <c r="N21" s="26" t="n">
        <f aca="false">SUMPRODUCT(B21:J21,Optimization!$C$10:$K$10)</f>
        <v>0.00563400533789488</v>
      </c>
      <c r="O21" s="27" t="n">
        <f aca="false">IF(AND(A21&gt;=Inputs!$C$6,A21&lt;=Inputs!$C$7),1,0)</f>
        <v>0</v>
      </c>
      <c r="P21" s="28" t="n">
        <f aca="false">P20*(1+K21)</f>
        <v>101.843068743659</v>
      </c>
      <c r="Q21" s="28" t="n">
        <f aca="false">MAX(Q20,P21)</f>
        <v>102.735575004049</v>
      </c>
      <c r="R21" s="29" t="n">
        <f aca="false">P21/Q21-1</f>
        <v>-0.00868741193452471</v>
      </c>
      <c r="S21" s="26" t="n">
        <f aca="false">IF(A21=Inputs!$C$12,"",F21)</f>
        <v>0.0110999355165888</v>
      </c>
      <c r="T21" s="27" t="n">
        <f aca="false">IF(AND(A21&gt;Risk_Metrics!$C$28,P21&gt;=Risk_Metrics!$C$30),1,0)</f>
        <v>0</v>
      </c>
      <c r="U21" s="26" t="n">
        <f aca="false">IF(A21=Inputs!$C$12,"",K21)</f>
        <v>0.0085263748145778</v>
      </c>
    </row>
    <row r="22" customFormat="false" ht="15" hidden="false" customHeight="false" outlineLevel="0" collapsed="false">
      <c r="A22" s="25" t="n">
        <f aca="false">Prices!A23</f>
        <v>43734</v>
      </c>
      <c r="B22" s="26" t="n">
        <f aca="false">Prices!B23/Prices!B22-1</f>
        <v>0.0116517584485591</v>
      </c>
      <c r="C22" s="26" t="n">
        <f aca="false">Prices!C23/Prices!C22-1</f>
        <v>0.0172687798227675</v>
      </c>
      <c r="D22" s="26" t="n">
        <f aca="false">Prices!D23/Prices!D22-1</f>
        <v>-0.00457815565729225</v>
      </c>
      <c r="E22" s="26" t="n">
        <f aca="false">Prices!E23/Prices!E22-1</f>
        <v>-0.00604843745935191</v>
      </c>
      <c r="F22" s="26" t="n">
        <f aca="false">Prices!F23/Prices!F22-1</f>
        <v>-0.000998016334881502</v>
      </c>
      <c r="G22" s="26" t="n">
        <f aca="false">Prices!G23/Prices!G22-1</f>
        <v>0.00949704537460439</v>
      </c>
      <c r="H22" s="26" t="n">
        <f aca="false">Prices!H23/Prices!H22-1</f>
        <v>0.0131675566934895</v>
      </c>
      <c r="I22" s="26" t="n">
        <f aca="false">Prices!I23/Prices!I22-1</f>
        <v>0.0109625056302964</v>
      </c>
      <c r="J22" s="26" t="n">
        <f aca="false">Prices!J23/Prices!J22-1</f>
        <v>0</v>
      </c>
      <c r="K22" s="26" t="n">
        <f aca="false">SUMPRODUCT(B22:J22,Optimization!$C$7:$K$7)</f>
        <v>0.00565811516868792</v>
      </c>
      <c r="L22" s="26" t="n">
        <f aca="false">SUMPRODUCT(B22:J22,Optimization!$C$8:$K$8)</f>
        <v>0.00310812139745686</v>
      </c>
      <c r="M22" s="26" t="n">
        <f aca="false">SUMPRODUCT(B22:J22,Optimization!$C$9:$K$9)</f>
        <v>0.00481419901646802</v>
      </c>
      <c r="N22" s="26" t="n">
        <f aca="false">SUMPRODUCT(B22:J22,Optimization!$C$10:$K$10)</f>
        <v>0.00254135661395521</v>
      </c>
      <c r="O22" s="27" t="n">
        <f aca="false">IF(AND(A22&gt;=Inputs!$C$6,A22&lt;=Inputs!$C$7),1,0)</f>
        <v>0</v>
      </c>
      <c r="P22" s="28" t="n">
        <f aca="false">P21*(1+K22)</f>
        <v>102.419308555743</v>
      </c>
      <c r="Q22" s="28" t="n">
        <f aca="false">MAX(Q21,P22)</f>
        <v>102.735575004049</v>
      </c>
      <c r="R22" s="29" t="n">
        <f aca="false">P22/Q22-1</f>
        <v>-0.00307845114308025</v>
      </c>
      <c r="S22" s="26" t="n">
        <f aca="false">IF(A22=Inputs!$C$12,"",F22)</f>
        <v>-0.000998016334881502</v>
      </c>
      <c r="T22" s="27" t="n">
        <f aca="false">IF(AND(A22&gt;Risk_Metrics!$C$28,P22&gt;=Risk_Metrics!$C$30),1,0)</f>
        <v>0</v>
      </c>
      <c r="U22" s="26" t="n">
        <f aca="false">IF(A22=Inputs!$C$12,"",K22)</f>
        <v>0.00565811516868792</v>
      </c>
    </row>
    <row r="23" customFormat="false" ht="15" hidden="false" customHeight="false" outlineLevel="0" collapsed="false">
      <c r="A23" s="25" t="n">
        <f aca="false">Prices!A24</f>
        <v>43735</v>
      </c>
      <c r="B23" s="26" t="n">
        <f aca="false">Prices!B24/Prices!B23-1</f>
        <v>-0.0022226913629948</v>
      </c>
      <c r="C23" s="26" t="n">
        <f aca="false">Prices!C24/Prices!C23-1</f>
        <v>-0.00871119072394877</v>
      </c>
      <c r="D23" s="26" t="n">
        <f aca="false">Prices!D24/Prices!D23-1</f>
        <v>-0.00525624178712225</v>
      </c>
      <c r="E23" s="26" t="n">
        <f aca="false">Prices!E24/Prices!E23-1</f>
        <v>-0.00473295152646513</v>
      </c>
      <c r="F23" s="26" t="n">
        <f aca="false">Prices!F24/Prices!F23-1</f>
        <v>-0.0064935367614315</v>
      </c>
      <c r="G23" s="26" t="n">
        <f aca="false">Prices!G24/Prices!G23-1</f>
        <v>-0.00418121936650806</v>
      </c>
      <c r="H23" s="26" t="n">
        <f aca="false">Prices!H24/Prices!H23-1</f>
        <v>-0.00144407937024982</v>
      </c>
      <c r="I23" s="26" t="n">
        <f aca="false">Prices!I24/Prices!I23-1</f>
        <v>0.0236391328337042</v>
      </c>
      <c r="J23" s="26" t="n">
        <f aca="false">Prices!J24/Prices!J23-1</f>
        <v>-0.00417887580069209</v>
      </c>
      <c r="K23" s="26" t="n">
        <f aca="false">SUMPRODUCT(B23:J23,Optimization!$C$7:$K$7)</f>
        <v>-0.00150907265174536</v>
      </c>
      <c r="L23" s="26" t="n">
        <f aca="false">SUMPRODUCT(B23:J23,Optimization!$C$8:$K$8)</f>
        <v>-0.00219221190778134</v>
      </c>
      <c r="M23" s="26" t="n">
        <f aca="false">SUMPRODUCT(B23:J23,Optimization!$C$9:$K$9)</f>
        <v>-0.000996385803147238</v>
      </c>
      <c r="N23" s="26" t="n">
        <f aca="false">SUMPRODUCT(B23:J23,Optimization!$C$10:$K$10)</f>
        <v>-0.00401254665786693</v>
      </c>
      <c r="O23" s="27" t="n">
        <f aca="false">IF(AND(A23&gt;=Inputs!$C$6,A23&lt;=Inputs!$C$7),1,0)</f>
        <v>0</v>
      </c>
      <c r="P23" s="28" t="n">
        <f aca="false">P22*(1+K23)</f>
        <v>102.264750378191</v>
      </c>
      <c r="Q23" s="28" t="n">
        <f aca="false">MAX(Q22,P23)</f>
        <v>102.735575004049</v>
      </c>
      <c r="R23" s="29" t="n">
        <f aca="false">P23/Q23-1</f>
        <v>-0.00458287818839587</v>
      </c>
      <c r="S23" s="26" t="n">
        <f aca="false">IF(A23=Inputs!$C$12,"",F23)</f>
        <v>-0.0064935367614315</v>
      </c>
      <c r="T23" s="27" t="n">
        <f aca="false">IF(AND(A23&gt;Risk_Metrics!$C$28,P23&gt;=Risk_Metrics!$C$30),1,0)</f>
        <v>0</v>
      </c>
      <c r="U23" s="26" t="n">
        <f aca="false">IF(A23=Inputs!$C$12,"",K23)</f>
        <v>-0.00150907265174536</v>
      </c>
    </row>
    <row r="24" customFormat="false" ht="15" hidden="false" customHeight="false" outlineLevel="0" collapsed="false">
      <c r="A24" s="25" t="n">
        <f aca="false">Prices!A25</f>
        <v>43738</v>
      </c>
      <c r="B24" s="26" t="n">
        <f aca="false">Prices!B25/Prices!B24-1</f>
        <v>0.002835135625048</v>
      </c>
      <c r="C24" s="26" t="n">
        <f aca="false">Prices!C25/Prices!C24-1</f>
        <v>-0.0168995046619987</v>
      </c>
      <c r="D24" s="26" t="n">
        <f aca="false">Prices!D25/Prices!D24-1</f>
        <v>0.0165125495376486</v>
      </c>
      <c r="E24" s="26" t="n">
        <f aca="false">Prices!E25/Prices!E24-1</f>
        <v>0.0294384734672877</v>
      </c>
      <c r="F24" s="26" t="n">
        <f aca="false">Prices!F25/Prices!F24-1</f>
        <v>0.00351940013705909</v>
      </c>
      <c r="G24" s="26" t="n">
        <f aca="false">Prices!G25/Prices!G24-1</f>
        <v>0.00944716585024508</v>
      </c>
      <c r="H24" s="26" t="n">
        <f aca="false">Prices!H25/Prices!H24-1</f>
        <v>-0.00397689804772239</v>
      </c>
      <c r="I24" s="26" t="n">
        <f aca="false">Prices!I25/Prices!I24-1</f>
        <v>0.0108051549138299</v>
      </c>
      <c r="J24" s="26" t="n">
        <f aca="false">Prices!J25/Prices!J24-1</f>
        <v>0.00188837599664304</v>
      </c>
      <c r="K24" s="26" t="n">
        <f aca="false">SUMPRODUCT(B24:J24,Optimization!$C$7:$K$7)</f>
        <v>0.00595220586867114</v>
      </c>
      <c r="L24" s="26" t="n">
        <f aca="false">SUMPRODUCT(B24:J24,Optimization!$C$8:$K$8)</f>
        <v>0.0070339186791582</v>
      </c>
      <c r="M24" s="26" t="n">
        <f aca="false">SUMPRODUCT(B24:J24,Optimization!$C$9:$K$9)</f>
        <v>0.00491433886324649</v>
      </c>
      <c r="N24" s="26" t="n">
        <f aca="false">SUMPRODUCT(B24:J24,Optimization!$C$10:$K$10)</f>
        <v>0.00712288335459479</v>
      </c>
      <c r="O24" s="27" t="n">
        <f aca="false">IF(AND(A24&gt;=Inputs!$C$6,A24&lt;=Inputs!$C$7),1,0)</f>
        <v>0</v>
      </c>
      <c r="P24" s="28" t="n">
        <f aca="false">P23*(1+K24)</f>
        <v>102.87345122555</v>
      </c>
      <c r="Q24" s="28" t="n">
        <f aca="false">MAX(Q23,P24)</f>
        <v>102.87345122555</v>
      </c>
      <c r="R24" s="29" t="n">
        <f aca="false">P24/Q24-1</f>
        <v>0</v>
      </c>
      <c r="S24" s="26" t="n">
        <f aca="false">IF(A24=Inputs!$C$12,"",F24)</f>
        <v>0.00351940013705909</v>
      </c>
      <c r="T24" s="27" t="n">
        <f aca="false">IF(AND(A24&gt;Risk_Metrics!$C$28,P24&gt;=Risk_Metrics!$C$30),1,0)</f>
        <v>0</v>
      </c>
      <c r="U24" s="26" t="n">
        <f aca="false">IF(A24=Inputs!$C$12,"",K24)</f>
        <v>0.00595220586867114</v>
      </c>
    </row>
    <row r="25" customFormat="false" ht="15" hidden="false" customHeight="false" outlineLevel="0" collapsed="false">
      <c r="A25" s="25" t="n">
        <f aca="false">Prices!A26</f>
        <v>43739</v>
      </c>
      <c r="B25" s="26" t="n">
        <f aca="false">Prices!B26/Prices!B25-1</f>
        <v>0.00323101777059764</v>
      </c>
      <c r="C25" s="26" t="n">
        <f aca="false">Prices!C26/Prices!C25-1</f>
        <v>0.00320882427707603</v>
      </c>
      <c r="D25" s="26" t="n">
        <f aca="false">Prices!D26/Prices!D25-1</f>
        <v>-0.0142949967511371</v>
      </c>
      <c r="E25" s="26" t="n">
        <f aca="false">Prices!E26/Prices!E25-1</f>
        <v>-0.0230972283834079</v>
      </c>
      <c r="F25" s="26" t="n">
        <f aca="false">Prices!F26/Prices!F25-1</f>
        <v>-0.0120240962522917</v>
      </c>
      <c r="G25" s="26" t="n">
        <f aca="false">Prices!G26/Prices!G25-1</f>
        <v>-0.0298093587521665</v>
      </c>
      <c r="H25" s="26" t="n">
        <f aca="false">Prices!H26/Prices!H25-1</f>
        <v>-0.00145186938119302</v>
      </c>
      <c r="I25" s="26" t="n">
        <f aca="false">Prices!I26/Prices!I25-1</f>
        <v>-0.00125768998769493</v>
      </c>
      <c r="J25" s="26" t="n">
        <f aca="false">Prices!J26/Prices!J25-1</f>
        <v>-0.000837717277486827</v>
      </c>
      <c r="K25" s="26" t="n">
        <f aca="false">SUMPRODUCT(B25:J25,Optimization!$C$7:$K$7)</f>
        <v>-0.00848145719307826</v>
      </c>
      <c r="L25" s="26" t="n">
        <f aca="false">SUMPRODUCT(B25:J25,Optimization!$C$8:$K$8)</f>
        <v>-0.00575143957419071</v>
      </c>
      <c r="M25" s="26" t="n">
        <f aca="false">SUMPRODUCT(B25:J25,Optimization!$C$9:$K$9)</f>
        <v>-0.00360590356633115</v>
      </c>
      <c r="N25" s="26" t="n">
        <f aca="false">SUMPRODUCT(B25:J25,Optimization!$C$10:$K$10)</f>
        <v>-0.00632601219121393</v>
      </c>
      <c r="O25" s="27" t="n">
        <f aca="false">IF(AND(A25&gt;=Inputs!$C$6,A25&lt;=Inputs!$C$7),1,0)</f>
        <v>0</v>
      </c>
      <c r="P25" s="28" t="n">
        <f aca="false">P24*(1+K25)</f>
        <v>102.000934452676</v>
      </c>
      <c r="Q25" s="28" t="n">
        <f aca="false">MAX(Q24,P25)</f>
        <v>102.87345122555</v>
      </c>
      <c r="R25" s="29" t="n">
        <f aca="false">P25/Q25-1</f>
        <v>-0.00848145719307825</v>
      </c>
      <c r="S25" s="26" t="n">
        <f aca="false">IF(A25=Inputs!$C$12,"",F25)</f>
        <v>-0.0120240962522917</v>
      </c>
      <c r="T25" s="27" t="n">
        <f aca="false">IF(AND(A25&gt;Risk_Metrics!$C$28,P25&gt;=Risk_Metrics!$C$30),1,0)</f>
        <v>0</v>
      </c>
      <c r="U25" s="26" t="n">
        <f aca="false">IF(A25=Inputs!$C$12,"",K25)</f>
        <v>-0.00848145719307826</v>
      </c>
    </row>
    <row r="26" customFormat="false" ht="15" hidden="false" customHeight="false" outlineLevel="0" collapsed="false">
      <c r="A26" s="25" t="n">
        <f aca="false">Prices!A27</f>
        <v>43740</v>
      </c>
      <c r="B26" s="26" t="n">
        <f aca="false">Prices!B27/Prices!B26-1</f>
        <v>0.0295894122383253</v>
      </c>
      <c r="C26" s="26" t="n">
        <f aca="false">Prices!C27/Prices!C26-1</f>
        <v>-0.0153073337902673</v>
      </c>
      <c r="D26" s="26" t="n">
        <f aca="false">Prices!D27/Prices!D26-1</f>
        <v>-0.0151615029663811</v>
      </c>
      <c r="E26" s="26" t="n">
        <f aca="false">Prices!E27/Prices!E26-1</f>
        <v>-0.0385049021357913</v>
      </c>
      <c r="F26" s="26" t="n">
        <f aca="false">Prices!F27/Prices!F26-1</f>
        <v>-0.0152130179718745</v>
      </c>
      <c r="G26" s="26" t="n">
        <f aca="false">Prices!G27/Prices!G26-1</f>
        <v>-0.0257234726688103</v>
      </c>
      <c r="H26" s="26" t="n">
        <f aca="false">Prices!H27/Prices!H26-1</f>
        <v>-0.0287168665939659</v>
      </c>
      <c r="I26" s="26" t="n">
        <f aca="false">Prices!I27/Prices!I26-1</f>
        <v>-0.026023041179583</v>
      </c>
      <c r="J26" s="26" t="n">
        <f aca="false">Prices!J27/Prices!J26-1</f>
        <v>-0.0547055345777727</v>
      </c>
      <c r="K26" s="26" t="n">
        <f aca="false">SUMPRODUCT(B26:J26,Optimization!$C$7:$K$7)</f>
        <v>-0.0210851399606801</v>
      </c>
      <c r="L26" s="26" t="n">
        <f aca="false">SUMPRODUCT(B26:J26,Optimization!$C$8:$K$8)</f>
        <v>-0.0157681355495709</v>
      </c>
      <c r="M26" s="26" t="n">
        <f aca="false">SUMPRODUCT(B26:J26,Optimization!$C$9:$K$9)</f>
        <v>-0.0175158594129873</v>
      </c>
      <c r="N26" s="26" t="n">
        <f aca="false">SUMPRODUCT(B26:J26,Optimization!$C$10:$K$10)</f>
        <v>-0.0134271185817112</v>
      </c>
      <c r="O26" s="27" t="n">
        <f aca="false">IF(AND(A26&gt;=Inputs!$C$6,A26&lt;=Inputs!$C$7),1,0)</f>
        <v>0</v>
      </c>
      <c r="P26" s="28" t="n">
        <f aca="false">P25*(1+K26)</f>
        <v>99.8502304736215</v>
      </c>
      <c r="Q26" s="28" t="n">
        <f aca="false">MAX(Q25,P26)</f>
        <v>102.87345122555</v>
      </c>
      <c r="R26" s="29" t="n">
        <f aca="false">P26/Q26-1</f>
        <v>-0.0293877644417718</v>
      </c>
      <c r="S26" s="26" t="n">
        <f aca="false">IF(A26=Inputs!$C$12,"",F26)</f>
        <v>-0.0152130179718745</v>
      </c>
      <c r="T26" s="27" t="n">
        <f aca="false">IF(AND(A26&gt;Risk_Metrics!$C$28,P26&gt;=Risk_Metrics!$C$30),1,0)</f>
        <v>0</v>
      </c>
      <c r="U26" s="26" t="n">
        <f aca="false">IF(A26=Inputs!$C$12,"",K26)</f>
        <v>-0.0210851399606801</v>
      </c>
    </row>
    <row r="27" customFormat="false" ht="15" hidden="false" customHeight="false" outlineLevel="0" collapsed="false">
      <c r="A27" s="25" t="n">
        <f aca="false">Prices!A28</f>
        <v>43741</v>
      </c>
      <c r="B27" s="26" t="n">
        <f aca="false">Prices!B28/Prices!B27-1</f>
        <v>0.036168092427445</v>
      </c>
      <c r="C27" s="26" t="n">
        <f aca="false">Prices!C28/Prices!C27-1</f>
        <v>0.0116009518144293</v>
      </c>
      <c r="D27" s="26" t="n">
        <f aca="false">Prices!D28/Prices!D27-1</f>
        <v>-0.00870147255689413</v>
      </c>
      <c r="E27" s="26" t="n">
        <f aca="false">Prices!E28/Prices!E27-1</f>
        <v>0.0103044596920958</v>
      </c>
      <c r="F27" s="26" t="n">
        <f aca="false">Prices!F28/Prices!F27-1</f>
        <v>-0.0123582889521405</v>
      </c>
      <c r="G27" s="26" t="n">
        <f aca="false">Prices!G28/Prices!G27-1</f>
        <v>0.00843417675100855</v>
      </c>
      <c r="H27" s="26" t="n">
        <f aca="false">Prices!H28/Prices!H27-1</f>
        <v>0.000748540447175872</v>
      </c>
      <c r="I27" s="26" t="n">
        <f aca="false">Prices!I28/Prices!I27-1</f>
        <v>-0.00150834783800613</v>
      </c>
      <c r="J27" s="26" t="n">
        <f aca="false">Prices!J28/Prices!J27-1</f>
        <v>0.00753882516801885</v>
      </c>
      <c r="K27" s="26" t="n">
        <f aca="false">SUMPRODUCT(B27:J27,Optimization!$C$7:$K$7)</f>
        <v>0.00580299299479251</v>
      </c>
      <c r="L27" s="26" t="n">
        <f aca="false">SUMPRODUCT(B27:J27,Optimization!$C$8:$K$8)</f>
        <v>0.00437848751327865</v>
      </c>
      <c r="M27" s="26" t="n">
        <f aca="false">SUMPRODUCT(B27:J27,Optimization!$C$9:$K$9)</f>
        <v>0.00726808362456643</v>
      </c>
      <c r="N27" s="26" t="n">
        <f aca="false">SUMPRODUCT(B27:J27,Optimization!$C$10:$K$10)</f>
        <v>0.00471705192103432</v>
      </c>
      <c r="O27" s="27" t="n">
        <f aca="false">IF(AND(A27&gt;=Inputs!$C$6,A27&lt;=Inputs!$C$7),1,0)</f>
        <v>0</v>
      </c>
      <c r="P27" s="28" t="n">
        <f aca="false">P26*(1+K27)</f>
        <v>100.429660661588</v>
      </c>
      <c r="Q27" s="28" t="n">
        <f aca="false">MAX(Q26,P27)</f>
        <v>102.87345122555</v>
      </c>
      <c r="R27" s="29" t="n">
        <f aca="false">P27/Q27-1</f>
        <v>-0.0237553084381675</v>
      </c>
      <c r="S27" s="26" t="n">
        <f aca="false">IF(A27=Inputs!$C$12,"",F27)</f>
        <v>-0.0123582889521405</v>
      </c>
      <c r="T27" s="27" t="n">
        <f aca="false">IF(AND(A27&gt;Risk_Metrics!$C$28,P27&gt;=Risk_Metrics!$C$30),1,0)</f>
        <v>0</v>
      </c>
      <c r="U27" s="26" t="n">
        <f aca="false">IF(A27=Inputs!$C$12,"",K27)</f>
        <v>0.00580299299479251</v>
      </c>
    </row>
    <row r="28" customFormat="false" ht="15" hidden="false" customHeight="false" outlineLevel="0" collapsed="false">
      <c r="A28" s="25" t="n">
        <f aca="false">Prices!A29</f>
        <v>43742</v>
      </c>
      <c r="B28" s="26" t="n">
        <f aca="false">Prices!B29/Prices!B28-1</f>
        <v>0.0475471698113208</v>
      </c>
      <c r="C28" s="26" t="n">
        <f aca="false">Prices!C29/Prices!C28-1</f>
        <v>0.0217890142612158</v>
      </c>
      <c r="D28" s="26" t="n">
        <f aca="false">Prices!D29/Prices!D28-1</f>
        <v>0.00607697501688054</v>
      </c>
      <c r="E28" s="26" t="n">
        <f aca="false">Prices!E29/Prices!E28-1</f>
        <v>0.0164581302619267</v>
      </c>
      <c r="F28" s="26" t="n">
        <f aca="false">Prices!F29/Prices!F28-1</f>
        <v>0.0312825014156755</v>
      </c>
      <c r="G28" s="26" t="n">
        <f aca="false">Prices!G29/Prices!G28-1</f>
        <v>0.018909090909091</v>
      </c>
      <c r="H28" s="26" t="n">
        <f aca="false">Prices!H29/Prices!H28-1</f>
        <v>-0.00860134629768128</v>
      </c>
      <c r="I28" s="26" t="n">
        <f aca="false">Prices!I29/Prices!I28-1</f>
        <v>0.0105740583112093</v>
      </c>
      <c r="J28" s="26" t="n">
        <f aca="false">Prices!J29/Prices!J28-1</f>
        <v>0.0253081211555486</v>
      </c>
      <c r="K28" s="26" t="n">
        <f aca="false">SUMPRODUCT(B28:J28,Optimization!$C$7:$K$7)</f>
        <v>0.0188159683161319</v>
      </c>
      <c r="L28" s="26" t="n">
        <f aca="false">SUMPRODUCT(B28:J28,Optimization!$C$8:$K$8)</f>
        <v>0.0182531531976891</v>
      </c>
      <c r="M28" s="26" t="n">
        <f aca="false">SUMPRODUCT(B28:J28,Optimization!$C$9:$K$9)</f>
        <v>0.0211100128636181</v>
      </c>
      <c r="N28" s="26" t="n">
        <f aca="false">SUMPRODUCT(B28:J28,Optimization!$C$10:$K$10)</f>
        <v>0.0186031126541584</v>
      </c>
      <c r="O28" s="27" t="n">
        <f aca="false">IF(AND(A28&gt;=Inputs!$C$6,A28&lt;=Inputs!$C$7),1,0)</f>
        <v>0</v>
      </c>
      <c r="P28" s="28" t="n">
        <f aca="false">P27*(1+K28)</f>
        <v>102.319341974597</v>
      </c>
      <c r="Q28" s="28" t="n">
        <f aca="false">MAX(Q27,P28)</f>
        <v>102.87345122555</v>
      </c>
      <c r="R28" s="29" t="n">
        <f aca="false">P28/Q28-1</f>
        <v>-0.00538631925294819</v>
      </c>
      <c r="S28" s="26" t="n">
        <f aca="false">IF(A28=Inputs!$C$12,"",F28)</f>
        <v>0.0312825014156755</v>
      </c>
      <c r="T28" s="27" t="n">
        <f aca="false">IF(AND(A28&gt;Risk_Metrics!$C$28,P28&gt;=Risk_Metrics!$C$30),1,0)</f>
        <v>0</v>
      </c>
      <c r="U28" s="26" t="n">
        <f aca="false">IF(A28=Inputs!$C$12,"",K28)</f>
        <v>0.0188159683161319</v>
      </c>
    </row>
    <row r="29" customFormat="false" ht="15" hidden="false" customHeight="false" outlineLevel="0" collapsed="false">
      <c r="A29" s="25" t="n">
        <f aca="false">Prices!A30</f>
        <v>43745</v>
      </c>
      <c r="B29" s="26" t="n">
        <f aca="false">Prices!B30/Prices!B29-1</f>
        <v>0.0086455331412103</v>
      </c>
      <c r="C29" s="26" t="n">
        <f aca="false">Prices!C30/Prices!C29-1</f>
        <v>-0.0347923905723906</v>
      </c>
      <c r="D29" s="26" t="n">
        <f aca="false">Prices!D30/Prices!D29-1</f>
        <v>-0.0120805369127517</v>
      </c>
      <c r="E29" s="26" t="n">
        <f aca="false">Prices!E30/Prices!E29-1</f>
        <v>-0.0148232937452616</v>
      </c>
      <c r="F29" s="26" t="n">
        <f aca="false">Prices!F30/Prices!F29-1</f>
        <v>-0.0111222303935732</v>
      </c>
      <c r="G29" s="26" t="n">
        <f aca="false">Prices!G30/Prices!G29-1</f>
        <v>-0.034261277658815</v>
      </c>
      <c r="H29" s="26" t="n">
        <f aca="false">Prices!H30/Prices!H29-1</f>
        <v>-0.012825348924934</v>
      </c>
      <c r="I29" s="26" t="n">
        <f aca="false">Prices!I30/Prices!I29-1</f>
        <v>0.00576548408702848</v>
      </c>
      <c r="J29" s="26" t="n">
        <f aca="false">Prices!J30/Prices!J29-1</f>
        <v>-0.0118050869285256</v>
      </c>
      <c r="K29" s="26" t="n">
        <f aca="false">SUMPRODUCT(B29:J29,Optimization!$C$7:$K$7)</f>
        <v>-0.0130332386564459</v>
      </c>
      <c r="L29" s="26" t="n">
        <f aca="false">SUMPRODUCT(B29:J29,Optimization!$C$8:$K$8)</f>
        <v>-0.00997416341522329</v>
      </c>
      <c r="M29" s="26" t="n">
        <f aca="false">SUMPRODUCT(B29:J29,Optimization!$C$9:$K$9)</f>
        <v>-0.00908574347197644</v>
      </c>
      <c r="N29" s="26" t="n">
        <f aca="false">SUMPRODUCT(B29:J29,Optimization!$C$10:$K$10)</f>
        <v>-0.0108542736476891</v>
      </c>
      <c r="O29" s="27" t="n">
        <f aca="false">IF(AND(A29&gt;=Inputs!$C$6,A29&lt;=Inputs!$C$7),1,0)</f>
        <v>0</v>
      </c>
      <c r="P29" s="28" t="n">
        <f aca="false">P28*(1+K29)</f>
        <v>100.985789571471</v>
      </c>
      <c r="Q29" s="28" t="n">
        <f aca="false">MAX(Q28,P29)</f>
        <v>102.87345122555</v>
      </c>
      <c r="R29" s="29" t="n">
        <f aca="false">P29/Q29-1</f>
        <v>-0.0183493567250906</v>
      </c>
      <c r="S29" s="26" t="n">
        <f aca="false">IF(A29=Inputs!$C$12,"",F29)</f>
        <v>-0.0111222303935732</v>
      </c>
      <c r="T29" s="27" t="n">
        <f aca="false">IF(AND(A29&gt;Risk_Metrics!$C$28,P29&gt;=Risk_Metrics!$C$30),1,0)</f>
        <v>0</v>
      </c>
      <c r="U29" s="26" t="n">
        <f aca="false">IF(A29=Inputs!$C$12,"",K29)</f>
        <v>-0.0130332386564459</v>
      </c>
    </row>
    <row r="30" customFormat="false" ht="15" hidden="false" customHeight="false" outlineLevel="0" collapsed="false">
      <c r="A30" s="25" t="n">
        <f aca="false">Prices!A31</f>
        <v>43746</v>
      </c>
      <c r="B30" s="26" t="n">
        <f aca="false">Prices!B31/Prices!B30-1</f>
        <v>-0.0142856964285715</v>
      </c>
      <c r="C30" s="26" t="n">
        <f aca="false">Prices!C31/Prices!C30-1</f>
        <v>0.00697674434829643</v>
      </c>
      <c r="D30" s="26" t="n">
        <f aca="false">Prices!D31/Prices!D30-1</f>
        <v>-0.0197010869565218</v>
      </c>
      <c r="E30" s="26" t="n">
        <f aca="false">Prices!E31/Prices!E30-1</f>
        <v>-0.00578703127009383</v>
      </c>
      <c r="F30" s="26" t="n">
        <f aca="false">Prices!F31/Prices!F30-1</f>
        <v>-0.0158487119853142</v>
      </c>
      <c r="G30" s="26" t="n">
        <f aca="false">Prices!G31/Prices!G30-1</f>
        <v>-0.000369549163693694</v>
      </c>
      <c r="H30" s="26" t="n">
        <f aca="false">Prices!H31/Prices!H30-1</f>
        <v>-0.00573175391669856</v>
      </c>
      <c r="I30" s="26" t="n">
        <f aca="false">Prices!I31/Prices!I30-1</f>
        <v>-0.0127388004671462</v>
      </c>
      <c r="J30" s="26" t="n">
        <f aca="false">Prices!J31/Prices!J30-1</f>
        <v>-0.0156385965326108</v>
      </c>
      <c r="K30" s="26" t="n">
        <f aca="false">SUMPRODUCT(B30:J30,Optimization!$C$7:$K$7)</f>
        <v>-0.00923605359692824</v>
      </c>
      <c r="L30" s="26" t="n">
        <f aca="false">SUMPRODUCT(B30:J30,Optimization!$C$8:$K$8)</f>
        <v>-0.0140168901334121</v>
      </c>
      <c r="M30" s="26" t="n">
        <f aca="false">SUMPRODUCT(B30:J30,Optimization!$C$9:$K$9)</f>
        <v>-0.0128867742955266</v>
      </c>
      <c r="N30" s="26" t="n">
        <f aca="false">SUMPRODUCT(B30:J30,Optimization!$C$10:$K$10)</f>
        <v>-0.0142176699866161</v>
      </c>
      <c r="O30" s="27" t="n">
        <f aca="false">IF(AND(A30&gt;=Inputs!$C$6,A30&lt;=Inputs!$C$7),1,0)</f>
        <v>0</v>
      </c>
      <c r="P30" s="28" t="n">
        <f aca="false">P29*(1+K30)</f>
        <v>100.053079406461</v>
      </c>
      <c r="Q30" s="28" t="n">
        <f aca="false">MAX(Q29,P30)</f>
        <v>102.87345122555</v>
      </c>
      <c r="R30" s="29" t="n">
        <f aca="false">P30/Q30-1</f>
        <v>-0.0274159346798367</v>
      </c>
      <c r="S30" s="26" t="n">
        <f aca="false">IF(A30=Inputs!$C$12,"",F30)</f>
        <v>-0.0158487119853142</v>
      </c>
      <c r="T30" s="27" t="n">
        <f aca="false">IF(AND(A30&gt;Risk_Metrics!$C$28,P30&gt;=Risk_Metrics!$C$30),1,0)</f>
        <v>0</v>
      </c>
      <c r="U30" s="26" t="n">
        <f aca="false">IF(A30=Inputs!$C$12,"",K30)</f>
        <v>-0.00923605359692824</v>
      </c>
    </row>
    <row r="31" customFormat="false" ht="15" hidden="false" customHeight="false" outlineLevel="0" collapsed="false">
      <c r="A31" s="25" t="n">
        <f aca="false">Prices!A32</f>
        <v>43747</v>
      </c>
      <c r="B31" s="26" t="n">
        <f aca="false">Prices!B32/Prices!B31-1</f>
        <v>-0.00724641291220263</v>
      </c>
      <c r="C31" s="26" t="n">
        <f aca="false">Prices!C32/Prices!C31-1</f>
        <v>0.0138568132530443</v>
      </c>
      <c r="D31" s="26" t="n">
        <f aca="false">Prices!D32/Prices!D31-1</f>
        <v>0.00831600831600832</v>
      </c>
      <c r="E31" s="26" t="n">
        <f aca="false">Prices!E32/Prices!E31-1</f>
        <v>0.00302678695453595</v>
      </c>
      <c r="F31" s="26" t="n">
        <f aca="false">Prices!F32/Prices!F31-1</f>
        <v>0.026493468908686</v>
      </c>
      <c r="G31" s="26" t="n">
        <f aca="false">Prices!G32/Prices!G31-1</f>
        <v>0.0177449914138628</v>
      </c>
      <c r="H31" s="26" t="n">
        <f aca="false">Prices!H32/Prices!H31-1</f>
        <v>0.0192159877017679</v>
      </c>
      <c r="I31" s="26" t="n">
        <f aca="false">Prices!I32/Prices!I31-1</f>
        <v>0.0193548151754475</v>
      </c>
      <c r="J31" s="26" t="n">
        <f aca="false">Prices!J32/Prices!J31-1</f>
        <v>0.00772281553398058</v>
      </c>
      <c r="K31" s="26" t="n">
        <f aca="false">SUMPRODUCT(B31:J31,Optimization!$C$7:$K$7)</f>
        <v>0.0120539193716812</v>
      </c>
      <c r="L31" s="26" t="n">
        <f aca="false">SUMPRODUCT(B31:J31,Optimization!$C$8:$K$8)</f>
        <v>0.00759017240169127</v>
      </c>
      <c r="M31" s="26" t="n">
        <f aca="false">SUMPRODUCT(B31:J31,Optimization!$C$9:$K$9)</f>
        <v>0.00766864344917594</v>
      </c>
      <c r="N31" s="26" t="n">
        <f aca="false">SUMPRODUCT(B31:J31,Optimization!$C$10:$K$10)</f>
        <v>0.00661615209351243</v>
      </c>
      <c r="O31" s="27" t="n">
        <f aca="false">IF(AND(A31&gt;=Inputs!$C$6,A31&lt;=Inputs!$C$7),1,0)</f>
        <v>0</v>
      </c>
      <c r="P31" s="28" t="n">
        <f aca="false">P30*(1+K31)</f>
        <v>101.259111158515</v>
      </c>
      <c r="Q31" s="28" t="n">
        <f aca="false">MAX(Q30,P31)</f>
        <v>102.87345122555</v>
      </c>
      <c r="R31" s="29" t="n">
        <f aca="false">P31/Q31-1</f>
        <v>-0.0156924847742856</v>
      </c>
      <c r="S31" s="26" t="n">
        <f aca="false">IF(A31=Inputs!$C$12,"",F31)</f>
        <v>0.026493468908686</v>
      </c>
      <c r="T31" s="27" t="n">
        <f aca="false">IF(AND(A31&gt;Risk_Metrics!$C$28,P31&gt;=Risk_Metrics!$C$30),1,0)</f>
        <v>0</v>
      </c>
      <c r="U31" s="26" t="n">
        <f aca="false">IF(A31=Inputs!$C$12,"",K31)</f>
        <v>0.0120539193716812</v>
      </c>
    </row>
    <row r="32" customFormat="false" ht="15" hidden="false" customHeight="false" outlineLevel="0" collapsed="false">
      <c r="A32" s="25" t="n">
        <f aca="false">Prices!A33</f>
        <v>43748</v>
      </c>
      <c r="B32" s="26" t="n">
        <f aca="false">Prices!B33/Prices!B32-1</f>
        <v>0.00328468984096153</v>
      </c>
      <c r="C32" s="26" t="n">
        <f aca="false">Prices!C33/Prices!C32-1</f>
        <v>0.00364462422880685</v>
      </c>
      <c r="D32" s="26" t="n">
        <f aca="false">Prices!D33/Prices!D32-1</f>
        <v>0.00687285223367695</v>
      </c>
      <c r="E32" s="26" t="n">
        <f aca="false">Prices!E33/Prices!E32-1</f>
        <v>-0.0234447837960337</v>
      </c>
      <c r="F32" s="26" t="n">
        <f aca="false">Prices!F33/Prices!F32-1</f>
        <v>-0.00354255401478265</v>
      </c>
      <c r="G32" s="26" t="n">
        <f aca="false">Prices!G33/Prices!G32-1</f>
        <v>-0.00108975658954746</v>
      </c>
      <c r="H32" s="26" t="n">
        <f aca="false">Prices!H33/Prices!H32-1</f>
        <v>0.00829562594268474</v>
      </c>
      <c r="I32" s="26" t="n">
        <f aca="false">Prices!I33/Prices!I32-1</f>
        <v>0.00253169421450017</v>
      </c>
      <c r="J32" s="26" t="n">
        <f aca="false">Prices!J33/Prices!J32-1</f>
        <v>0.034377141860177</v>
      </c>
      <c r="K32" s="26" t="n">
        <f aca="false">SUMPRODUCT(B32:J32,Optimization!$C$7:$K$7)</f>
        <v>0.00343661488004928</v>
      </c>
      <c r="L32" s="26" t="n">
        <f aca="false">SUMPRODUCT(B32:J32,Optimization!$C$8:$K$8)</f>
        <v>0.0100047780041109</v>
      </c>
      <c r="M32" s="26" t="n">
        <f aca="false">SUMPRODUCT(B32:J32,Optimization!$C$9:$K$9)</f>
        <v>0.0114487985532396</v>
      </c>
      <c r="N32" s="26" t="n">
        <f aca="false">SUMPRODUCT(B32:J32,Optimization!$C$10:$K$10)</f>
        <v>0.00968252349366712</v>
      </c>
      <c r="O32" s="27" t="n">
        <f aca="false">IF(AND(A32&gt;=Inputs!$C$6,A32&lt;=Inputs!$C$7),1,0)</f>
        <v>0</v>
      </c>
      <c r="P32" s="28" t="n">
        <f aca="false">P31*(1+K32)</f>
        <v>101.607099726663</v>
      </c>
      <c r="Q32" s="28" t="n">
        <f aca="false">MAX(Q31,P32)</f>
        <v>102.87345122555</v>
      </c>
      <c r="R32" s="29" t="n">
        <f aca="false">P32/Q32-1</f>
        <v>-0.0123097989209165</v>
      </c>
      <c r="S32" s="26" t="n">
        <f aca="false">IF(A32=Inputs!$C$12,"",F32)</f>
        <v>-0.00354255401478265</v>
      </c>
      <c r="T32" s="27" t="n">
        <f aca="false">IF(AND(A32&gt;Risk_Metrics!$C$28,P32&gt;=Risk_Metrics!$C$30),1,0)</f>
        <v>0</v>
      </c>
      <c r="U32" s="26" t="n">
        <f aca="false">IF(A32=Inputs!$C$12,"",K32)</f>
        <v>0.00343661488004928</v>
      </c>
    </row>
    <row r="33" customFormat="false" ht="15" hidden="false" customHeight="false" outlineLevel="0" collapsed="false">
      <c r="A33" s="25" t="n">
        <f aca="false">Prices!A34</f>
        <v>43749</v>
      </c>
      <c r="B33" s="26" t="n">
        <f aca="false">Prices!B34/Prices!B33-1</f>
        <v>0.0109130956711532</v>
      </c>
      <c r="C33" s="26" t="n">
        <f aca="false">Prices!C34/Prices!C33-1</f>
        <v>0.0224693609836297</v>
      </c>
      <c r="D33" s="26" t="n">
        <f aca="false">Prices!D34/Prices!D33-1</f>
        <v>0.0436860068259384</v>
      </c>
      <c r="E33" s="26" t="n">
        <f aca="false">Prices!E34/Prices!E33-1</f>
        <v>0.0292369722002823</v>
      </c>
      <c r="F33" s="26" t="n">
        <f aca="false">Prices!F34/Prices!F33-1</f>
        <v>0.0457084892530681</v>
      </c>
      <c r="G33" s="26" t="n">
        <f aca="false">Prices!G34/Prices!G33-1</f>
        <v>0.0163636727272727</v>
      </c>
      <c r="H33" s="26" t="n">
        <f aca="false">Prices!H34/Prices!H33-1</f>
        <v>0.0194465220643232</v>
      </c>
      <c r="I33" s="26" t="n">
        <f aca="false">Prices!I34/Prices!I33-1</f>
        <v>0.0122054165149341</v>
      </c>
      <c r="J33" s="26" t="n">
        <f aca="false">Prices!J34/Prices!J33-1</f>
        <v>0.0296358370179579</v>
      </c>
      <c r="K33" s="26" t="n">
        <f aca="false">SUMPRODUCT(B33:J33,Optimization!$C$7:$K$7)</f>
        <v>0.0255183748065066</v>
      </c>
      <c r="L33" s="26" t="n">
        <f aca="false">SUMPRODUCT(B33:J33,Optimization!$C$8:$K$8)</f>
        <v>0.0303431572068479</v>
      </c>
      <c r="M33" s="26" t="n">
        <f aca="false">SUMPRODUCT(B33:J33,Optimization!$C$9:$K$9)</f>
        <v>0.0269820218374486</v>
      </c>
      <c r="N33" s="26" t="n">
        <f aca="false">SUMPRODUCT(B33:J33,Optimization!$C$10:$K$10)</f>
        <v>0.0317551320666406</v>
      </c>
      <c r="O33" s="27" t="n">
        <f aca="false">IF(AND(A33&gt;=Inputs!$C$6,A33&lt;=Inputs!$C$7),1,0)</f>
        <v>0</v>
      </c>
      <c r="P33" s="28" t="n">
        <f aca="false">P32*(1+K33)</f>
        <v>104.19994778049</v>
      </c>
      <c r="Q33" s="28" t="n">
        <f aca="false">MAX(Q32,P33)</f>
        <v>104.19994778049</v>
      </c>
      <c r="R33" s="29" t="n">
        <f aca="false">P33/Q33-1</f>
        <v>0</v>
      </c>
      <c r="S33" s="26" t="n">
        <f aca="false">IF(A33=Inputs!$C$12,"",F33)</f>
        <v>0.0457084892530681</v>
      </c>
      <c r="T33" s="27" t="n">
        <f aca="false">IF(AND(A33&gt;Risk_Metrics!$C$28,P33&gt;=Risk_Metrics!$C$30),1,0)</f>
        <v>0</v>
      </c>
      <c r="U33" s="26" t="n">
        <f aca="false">IF(A33=Inputs!$C$12,"",K33)</f>
        <v>0.0255183748065066</v>
      </c>
    </row>
    <row r="34" customFormat="false" ht="15" hidden="false" customHeight="false" outlineLevel="0" collapsed="false">
      <c r="A34" s="25" t="n">
        <f aca="false">Prices!A35</f>
        <v>43752</v>
      </c>
      <c r="B34" s="26" t="n">
        <f aca="false">Prices!B35/Prices!B34-1</f>
        <v>-0.00737682593102462</v>
      </c>
      <c r="C34" s="26" t="n">
        <f aca="false">Prices!C35/Prices!C34-1</f>
        <v>0.00244175371550504</v>
      </c>
      <c r="D34" s="26" t="n">
        <f aca="false">Prices!D35/Prices!D34-1</f>
        <v>0.00915631131458472</v>
      </c>
      <c r="E34" s="26" t="n">
        <f aca="false">Prices!E35/Prices!E34-1</f>
        <v>0.0175519508733843</v>
      </c>
      <c r="F34" s="26" t="n">
        <f aca="false">Prices!F35/Prices!F34-1</f>
        <v>0.0150558932547826</v>
      </c>
      <c r="G34" s="26" t="n">
        <f aca="false">Prices!G35/Prices!G34-1</f>
        <v>0.0157423250181636</v>
      </c>
      <c r="H34" s="26" t="n">
        <f aca="false">Prices!H35/Prices!H34-1</f>
        <v>0.00183415260454867</v>
      </c>
      <c r="I34" s="26" t="n">
        <f aca="false">Prices!I35/Prices!I34-1</f>
        <v>0.0166319530765462</v>
      </c>
      <c r="J34" s="26" t="n">
        <f aca="false">Prices!J35/Prices!J34-1</f>
        <v>-0.0133634254392153</v>
      </c>
      <c r="K34" s="26" t="n">
        <f aca="false">SUMPRODUCT(B34:J34,Optimization!$C$7:$K$7)</f>
        <v>0.0064082320541417</v>
      </c>
      <c r="L34" s="26" t="n">
        <f aca="false">SUMPRODUCT(B34:J34,Optimization!$C$8:$K$8)</f>
        <v>0.00270627469085005</v>
      </c>
      <c r="M34" s="26" t="n">
        <f aca="false">SUMPRODUCT(B34:J34,Optimization!$C$9:$K$9)</f>
        <v>0.000978654514826636</v>
      </c>
      <c r="N34" s="26" t="n">
        <f aca="false">SUMPRODUCT(B34:J34,Optimization!$C$10:$K$10)</f>
        <v>0.00224326354380802</v>
      </c>
      <c r="O34" s="27" t="n">
        <f aca="false">IF(AND(A34&gt;=Inputs!$C$6,A34&lt;=Inputs!$C$7),1,0)</f>
        <v>0</v>
      </c>
      <c r="P34" s="28" t="n">
        <f aca="false">P33*(1+K34)</f>
        <v>104.867685225897</v>
      </c>
      <c r="Q34" s="28" t="n">
        <f aca="false">MAX(Q33,P34)</f>
        <v>104.867685225897</v>
      </c>
      <c r="R34" s="29" t="n">
        <f aca="false">P34/Q34-1</f>
        <v>0</v>
      </c>
      <c r="S34" s="26" t="n">
        <f aca="false">IF(A34=Inputs!$C$12,"",F34)</f>
        <v>0.0150558932547826</v>
      </c>
      <c r="T34" s="27" t="n">
        <f aca="false">IF(AND(A34&gt;Risk_Metrics!$C$28,P34&gt;=Risk_Metrics!$C$30),1,0)</f>
        <v>0</v>
      </c>
      <c r="U34" s="26" t="n">
        <f aca="false">IF(A34=Inputs!$C$12,"",K34)</f>
        <v>0.0064082320541417</v>
      </c>
    </row>
    <row r="35" customFormat="false" ht="15" hidden="false" customHeight="false" outlineLevel="0" collapsed="false">
      <c r="A35" s="25" t="n">
        <f aca="false">Prices!A36</f>
        <v>43753</v>
      </c>
      <c r="B35" s="26" t="n">
        <f aca="false">Prices!B36/Prices!B35-1</f>
        <v>-0.00960665251428861</v>
      </c>
      <c r="C35" s="26" t="n">
        <f aca="false">Prices!C36/Prices!C35-1</f>
        <v>-0.0143932908413041</v>
      </c>
      <c r="D35" s="26" t="n">
        <f aca="false">Prices!D36/Prices!D35-1</f>
        <v>0.015554115359689</v>
      </c>
      <c r="E35" s="26" t="n">
        <f aca="false">Prices!E36/Prices!E35-1</f>
        <v>0.0192918800655919</v>
      </c>
      <c r="F35" s="26" t="n">
        <f aca="false">Prices!F36/Prices!F35-1</f>
        <v>0.013875625927747</v>
      </c>
      <c r="G35" s="26" t="n">
        <f aca="false">Prices!G36/Prices!G35-1</f>
        <v>0.0154984507044187</v>
      </c>
      <c r="H35" s="26" t="n">
        <f aca="false">Prices!H36/Prices!H35-1</f>
        <v>0.0106188579501596</v>
      </c>
      <c r="I35" s="26" t="n">
        <f aca="false">Prices!I36/Prices!I35-1</f>
        <v>-0.011042913772221</v>
      </c>
      <c r="J35" s="26" t="n">
        <f aca="false">Prices!J36/Prices!J35-1</f>
        <v>-0.00166705556711588</v>
      </c>
      <c r="K35" s="26" t="n">
        <f aca="false">SUMPRODUCT(B35:J35,Optimization!$C$7:$K$7)</f>
        <v>0.00423655747918629</v>
      </c>
      <c r="L35" s="26" t="n">
        <f aca="false">SUMPRODUCT(B35:J35,Optimization!$C$8:$K$8)</f>
        <v>0.00222810282082998</v>
      </c>
      <c r="M35" s="26" t="n">
        <f aca="false">SUMPRODUCT(B35:J35,Optimization!$C$9:$K$9)</f>
        <v>-0.00109525721211165</v>
      </c>
      <c r="N35" s="26" t="n">
        <f aca="false">SUMPRODUCT(B35:J35,Optimization!$C$10:$K$10)</f>
        <v>0.00347950758930914</v>
      </c>
      <c r="O35" s="27" t="n">
        <f aca="false">IF(AND(A35&gt;=Inputs!$C$6,A35&lt;=Inputs!$C$7),1,0)</f>
        <v>0</v>
      </c>
      <c r="P35" s="28" t="n">
        <f aca="false">P34*(1+K35)</f>
        <v>105.311963202065</v>
      </c>
      <c r="Q35" s="28" t="n">
        <f aca="false">MAX(Q34,P35)</f>
        <v>105.311963202065</v>
      </c>
      <c r="R35" s="29" t="n">
        <f aca="false">P35/Q35-1</f>
        <v>0</v>
      </c>
      <c r="S35" s="26" t="n">
        <f aca="false">IF(A35=Inputs!$C$12,"",F35)</f>
        <v>0.013875625927747</v>
      </c>
      <c r="T35" s="27" t="n">
        <f aca="false">IF(AND(A35&gt;Risk_Metrics!$C$28,P35&gt;=Risk_Metrics!$C$30),1,0)</f>
        <v>0</v>
      </c>
      <c r="U35" s="26" t="n">
        <f aca="false">IF(A35=Inputs!$C$12,"",K35)</f>
        <v>0.00423655747918629</v>
      </c>
    </row>
    <row r="36" customFormat="false" ht="15" hidden="false" customHeight="false" outlineLevel="0" collapsed="false">
      <c r="A36" s="25" t="n">
        <f aca="false">Prices!A37</f>
        <v>43754</v>
      </c>
      <c r="B36" s="26" t="n">
        <f aca="false">Prices!B37/Prices!B36-1</f>
        <v>0.00896782593279322</v>
      </c>
      <c r="C36" s="26" t="n">
        <f aca="false">Prices!C37/Prices!C36-1</f>
        <v>0.0155021350483997</v>
      </c>
      <c r="D36" s="26" t="n">
        <f aca="false">Prices!D37/Prices!D36-1</f>
        <v>0.017230376515635</v>
      </c>
      <c r="E36" s="26" t="n">
        <f aca="false">Prices!E37/Prices!E36-1</f>
        <v>-0.0138054079888427</v>
      </c>
      <c r="F36" s="26" t="n">
        <f aca="false">Prices!F37/Prices!F36-1</f>
        <v>0.00566307124551901</v>
      </c>
      <c r="G36" s="26" t="n">
        <f aca="false">Prices!G37/Prices!G36-1</f>
        <v>0.0211585501214013</v>
      </c>
      <c r="H36" s="26" t="n">
        <f aca="false">Prices!H37/Prices!H36-1</f>
        <v>0.0119565217391304</v>
      </c>
      <c r="I36" s="26" t="n">
        <f aca="false">Prices!I37/Prices!I36-1</f>
        <v>-0.00930521055777878</v>
      </c>
      <c r="J36" s="26" t="n">
        <f aca="false">Prices!J37/Prices!J36-1</f>
        <v>-0.023168461699019</v>
      </c>
      <c r="K36" s="26" t="n">
        <f aca="false">SUMPRODUCT(B36:J36,Optimization!$C$7:$K$7)</f>
        <v>0.00379993337302647</v>
      </c>
      <c r="L36" s="26" t="n">
        <f aca="false">SUMPRODUCT(B36:J36,Optimization!$C$8:$K$8)</f>
        <v>0.00640669468321008</v>
      </c>
      <c r="M36" s="26" t="n">
        <f aca="false">SUMPRODUCT(B36:J36,Optimization!$C$9:$K$9)</f>
        <v>0.00250650510097117</v>
      </c>
      <c r="N36" s="26" t="n">
        <f aca="false">SUMPRODUCT(B36:J36,Optimization!$C$10:$K$10)</f>
        <v>0.00864175144618966</v>
      </c>
      <c r="O36" s="27" t="n">
        <f aca="false">IF(AND(A36&gt;=Inputs!$C$6,A36&lt;=Inputs!$C$7),1,0)</f>
        <v>0</v>
      </c>
      <c r="P36" s="28" t="n">
        <f aca="false">P35*(1+K36)</f>
        <v>105.712141645616</v>
      </c>
      <c r="Q36" s="28" t="n">
        <f aca="false">MAX(Q35,P36)</f>
        <v>105.712141645616</v>
      </c>
      <c r="R36" s="29" t="n">
        <f aca="false">P36/Q36-1</f>
        <v>0</v>
      </c>
      <c r="S36" s="26" t="n">
        <f aca="false">IF(A36=Inputs!$C$12,"",F36)</f>
        <v>0.00566307124551901</v>
      </c>
      <c r="T36" s="27" t="n">
        <f aca="false">IF(AND(A36&gt;Risk_Metrics!$C$28,P36&gt;=Risk_Metrics!$C$30),1,0)</f>
        <v>0</v>
      </c>
      <c r="U36" s="26" t="n">
        <f aca="false">IF(A36=Inputs!$C$12,"",K36)</f>
        <v>0.00379993337302647</v>
      </c>
    </row>
    <row r="37" customFormat="false" ht="15" hidden="false" customHeight="false" outlineLevel="0" collapsed="false">
      <c r="A37" s="25" t="n">
        <f aca="false">Prices!A38</f>
        <v>43755</v>
      </c>
      <c r="B37" s="26" t="n">
        <f aca="false">Prices!B38/Prices!B37-1</f>
        <v>0.0275712129952619</v>
      </c>
      <c r="C37" s="26" t="n">
        <f aca="false">Prices!C38/Prices!C37-1</f>
        <v>0.0210177221689258</v>
      </c>
      <c r="D37" s="26" t="n">
        <f aca="false">Prices!D38/Prices!D37-1</f>
        <v>-0.00564617314930993</v>
      </c>
      <c r="E37" s="26" t="n">
        <f aca="false">Prices!E38/Prices!E37-1</f>
        <v>-0.00112892194225134</v>
      </c>
      <c r="F37" s="26" t="n">
        <f aca="false">Prices!F38/Prices!F37-1</f>
        <v>-0.00938528674382266</v>
      </c>
      <c r="G37" s="26" t="n">
        <f aca="false">Prices!G38/Prices!G37-1</f>
        <v>-0.0084918475376411</v>
      </c>
      <c r="H37" s="26" t="n">
        <f aca="false">Prices!H38/Prices!H37-1</f>
        <v>-0.00966702470461867</v>
      </c>
      <c r="I37" s="26" t="n">
        <f aca="false">Prices!I38/Prices!I37-1</f>
        <v>0.00542683326415538</v>
      </c>
      <c r="J37" s="26" t="n">
        <f aca="false">Prices!J38/Prices!J37-1</f>
        <v>-0.00192307696416827</v>
      </c>
      <c r="K37" s="26" t="n">
        <f aca="false">SUMPRODUCT(B37:J37,Optimization!$C$7:$K$7)</f>
        <v>0.00197482637628124</v>
      </c>
      <c r="L37" s="26" t="n">
        <f aca="false">SUMPRODUCT(B37:J37,Optimization!$C$8:$K$8)</f>
        <v>0.00474942038858858</v>
      </c>
      <c r="M37" s="26" t="n">
        <f aca="false">SUMPRODUCT(B37:J37,Optimization!$C$9:$K$9)</f>
        <v>0.00676433186595819</v>
      </c>
      <c r="N37" s="26" t="n">
        <f aca="false">SUMPRODUCT(B37:J37,Optimization!$C$10:$K$10)</f>
        <v>0.00487344996544575</v>
      </c>
      <c r="O37" s="27" t="n">
        <f aca="false">IF(AND(A37&gt;=Inputs!$C$6,A37&lt;=Inputs!$C$7),1,0)</f>
        <v>0</v>
      </c>
      <c r="P37" s="28" t="n">
        <f aca="false">P36*(1+K37)</f>
        <v>105.920904771231</v>
      </c>
      <c r="Q37" s="28" t="n">
        <f aca="false">MAX(Q36,P37)</f>
        <v>105.920904771231</v>
      </c>
      <c r="R37" s="29" t="n">
        <f aca="false">P37/Q37-1</f>
        <v>0</v>
      </c>
      <c r="S37" s="26" t="n">
        <f aca="false">IF(A37=Inputs!$C$12,"",F37)</f>
        <v>-0.00938528674382266</v>
      </c>
      <c r="T37" s="27" t="n">
        <f aca="false">IF(AND(A37&gt;Risk_Metrics!$C$28,P37&gt;=Risk_Metrics!$C$30),1,0)</f>
        <v>0</v>
      </c>
      <c r="U37" s="26" t="n">
        <f aca="false">IF(A37=Inputs!$C$12,"",K37)</f>
        <v>0.00197482637628124</v>
      </c>
    </row>
    <row r="38" customFormat="false" ht="15" hidden="false" customHeight="false" outlineLevel="0" collapsed="false">
      <c r="A38" s="25" t="n">
        <f aca="false">Prices!A39</f>
        <v>43756</v>
      </c>
      <c r="B38" s="26" t="n">
        <f aca="false">Prices!B39/Prices!B38-1</f>
        <v>0.00953216206417795</v>
      </c>
      <c r="C38" s="26" t="n">
        <f aca="false">Prices!C39/Prices!C38-1</f>
        <v>0.00628387879271686</v>
      </c>
      <c r="D38" s="26" t="n">
        <f aca="false">Prices!D39/Prices!D38-1</f>
        <v>-0.00504731861198737</v>
      </c>
      <c r="E38" s="26" t="n">
        <f aca="false">Prices!E39/Prices!E38-1</f>
        <v>0.0155968442181798</v>
      </c>
      <c r="F38" s="26" t="n">
        <f aca="false">Prices!F39/Prices!F38-1</f>
        <v>0.00094742999394537</v>
      </c>
      <c r="G38" s="26" t="n">
        <f aca="false">Prices!G39/Prices!G38-1</f>
        <v>0.00376834519464397</v>
      </c>
      <c r="H38" s="26" t="n">
        <f aca="false">Prices!H39/Prices!H38-1</f>
        <v>-0.00216919739696309</v>
      </c>
      <c r="I38" s="26" t="n">
        <f aca="false">Prices!I39/Prices!I38-1</f>
        <v>0.0485779650632361</v>
      </c>
      <c r="J38" s="26" t="n">
        <f aca="false">Prices!J39/Prices!J38-1</f>
        <v>-0.0145579108233337</v>
      </c>
      <c r="K38" s="26" t="n">
        <f aca="false">SUMPRODUCT(B38:J38,Optimization!$C$7:$K$7)</f>
        <v>0.00699246649940176</v>
      </c>
      <c r="L38" s="26" t="n">
        <f aca="false">SUMPRODUCT(B38:J38,Optimization!$C$8:$K$8)</f>
        <v>0.002451894423635</v>
      </c>
      <c r="M38" s="26" t="n">
        <f aca="false">SUMPRODUCT(B38:J38,Optimization!$C$9:$K$9)</f>
        <v>0.00448272723314363</v>
      </c>
      <c r="N38" s="26" t="n">
        <f aca="false">SUMPRODUCT(B38:J38,Optimization!$C$10:$K$10)</f>
        <v>-0.000395953643835223</v>
      </c>
      <c r="O38" s="27" t="n">
        <f aca="false">IF(AND(A38&gt;=Inputs!$C$6,A38&lt;=Inputs!$C$7),1,0)</f>
        <v>0</v>
      </c>
      <c r="P38" s="28" t="n">
        <f aca="false">P37*(1+K38)</f>
        <v>106.66155314943</v>
      </c>
      <c r="Q38" s="28" t="n">
        <f aca="false">MAX(Q37,P38)</f>
        <v>106.66155314943</v>
      </c>
      <c r="R38" s="29" t="n">
        <f aca="false">P38/Q38-1</f>
        <v>0</v>
      </c>
      <c r="S38" s="26" t="n">
        <f aca="false">IF(A38=Inputs!$C$12,"",F38)</f>
        <v>0.00094742999394537</v>
      </c>
      <c r="T38" s="27" t="n">
        <f aca="false">IF(AND(A38&gt;Risk_Metrics!$C$28,P38&gt;=Risk_Metrics!$C$30),1,0)</f>
        <v>0</v>
      </c>
      <c r="U38" s="26" t="n">
        <f aca="false">IF(A38=Inputs!$C$12,"",K38)</f>
        <v>0.00699246649940176</v>
      </c>
    </row>
    <row r="39" customFormat="false" ht="15" hidden="false" customHeight="false" outlineLevel="0" collapsed="false">
      <c r="A39" s="25" t="n">
        <f aca="false">Prices!A40</f>
        <v>43759</v>
      </c>
      <c r="B39" s="26" t="n">
        <f aca="false">Prices!B40/Prices!B39-1</f>
        <v>-0.00489594343234734</v>
      </c>
      <c r="C39" s="26" t="n">
        <f aca="false">Prices!C40/Prices!C39-1</f>
        <v>0.00968992248062017</v>
      </c>
      <c r="D39" s="26" t="n">
        <f aca="false">Prices!D40/Prices!D39-1</f>
        <v>-0.00253646163601773</v>
      </c>
      <c r="E39" s="26" t="n">
        <f aca="false">Prices!E40/Prices!E39-1</f>
        <v>-0.00734483498875616</v>
      </c>
      <c r="F39" s="26" t="n">
        <f aca="false">Prices!F40/Prices!F39-1</f>
        <v>-0.00189306643996479</v>
      </c>
      <c r="G39" s="26" t="n">
        <f aca="false">Prices!G40/Prices!G39-1</f>
        <v>-0.00341290114037207</v>
      </c>
      <c r="H39" s="26" t="n">
        <f aca="false">Prices!H40/Prices!H39-1</f>
        <v>0.00615942028985494</v>
      </c>
      <c r="I39" s="26" t="n">
        <f aca="false">Prices!I40/Prices!I39-1</f>
        <v>0.00851311496869811</v>
      </c>
      <c r="J39" s="26" t="n">
        <f aca="false">Prices!J40/Prices!J39-1</f>
        <v>0.025635455694883</v>
      </c>
      <c r="K39" s="26" t="n">
        <f aca="false">SUMPRODUCT(B39:J39,Optimization!$C$7:$K$7)</f>
        <v>0.00332385619962202</v>
      </c>
      <c r="L39" s="26" t="n">
        <f aca="false">SUMPRODUCT(B39:J39,Optimization!$C$8:$K$8)</f>
        <v>0.00443441611764716</v>
      </c>
      <c r="M39" s="26" t="n">
        <f aca="false">SUMPRODUCT(B39:J39,Optimization!$C$9:$K$9)</f>
        <v>0.0068195287996918</v>
      </c>
      <c r="N39" s="26" t="n">
        <f aca="false">SUMPRODUCT(B39:J39,Optimization!$C$10:$K$10)</f>
        <v>0.00326422906025759</v>
      </c>
      <c r="O39" s="27" t="n">
        <f aca="false">IF(AND(A39&gt;=Inputs!$C$6,A39&lt;=Inputs!$C$7),1,0)</f>
        <v>0</v>
      </c>
      <c r="P39" s="28" t="n">
        <f aca="false">P38*(1+K39)</f>
        <v>107.016080814127</v>
      </c>
      <c r="Q39" s="28" t="n">
        <f aca="false">MAX(Q38,P39)</f>
        <v>107.016080814127</v>
      </c>
      <c r="R39" s="29" t="n">
        <f aca="false">P39/Q39-1</f>
        <v>0</v>
      </c>
      <c r="S39" s="26" t="n">
        <f aca="false">IF(A39=Inputs!$C$12,"",F39)</f>
        <v>-0.00189306643996479</v>
      </c>
      <c r="T39" s="27" t="n">
        <f aca="false">IF(AND(A39&gt;Risk_Metrics!$C$28,P39&gt;=Risk_Metrics!$C$30),1,0)</f>
        <v>0</v>
      </c>
      <c r="U39" s="26" t="n">
        <f aca="false">IF(A39=Inputs!$C$12,"",K39)</f>
        <v>0.00332385619962202</v>
      </c>
    </row>
    <row r="40" customFormat="false" ht="15" hidden="false" customHeight="false" outlineLevel="0" collapsed="false">
      <c r="A40" s="25" t="n">
        <f aca="false">Prices!A41</f>
        <v>43760</v>
      </c>
      <c r="B40" s="26" t="n">
        <f aca="false">Prices!B41/Prices!B40-1</f>
        <v>0.0156387102442455</v>
      </c>
      <c r="C40" s="26" t="n">
        <f aca="false">Prices!C41/Prices!C40-1</f>
        <v>0.0136489443378118</v>
      </c>
      <c r="D40" s="26" t="n">
        <f aca="false">Prices!D41/Prices!D40-1</f>
        <v>0.0133502860775587</v>
      </c>
      <c r="E40" s="26" t="n">
        <f aca="false">Prices!E41/Prices!E40-1</f>
        <v>0.00201797764860689</v>
      </c>
      <c r="F40" s="26" t="n">
        <f aca="false">Prices!F41/Prices!F40-1</f>
        <v>-0.00948318953142824</v>
      </c>
      <c r="G40" s="26" t="n">
        <f aca="false">Prices!G41/Prices!G40-1</f>
        <v>-0.00924660927237642</v>
      </c>
      <c r="H40" s="26" t="n">
        <f aca="false">Prices!H41/Prices!H40-1</f>
        <v>0.0288080662585524</v>
      </c>
      <c r="I40" s="26" t="n">
        <f aca="false">Prices!I41/Prices!I40-1</f>
        <v>-0.00510401479491962</v>
      </c>
      <c r="J40" s="26" t="n">
        <f aca="false">Prices!J41/Prices!J40-1</f>
        <v>0.0019063758082265</v>
      </c>
      <c r="K40" s="26" t="n">
        <f aca="false">SUMPRODUCT(B40:J40,Optimization!$C$7:$K$7)</f>
        <v>0.00572628297514195</v>
      </c>
      <c r="L40" s="26" t="n">
        <f aca="false">SUMPRODUCT(B40:J40,Optimization!$C$8:$K$8)</f>
        <v>0.0100306745789734</v>
      </c>
      <c r="M40" s="26" t="n">
        <f aca="false">SUMPRODUCT(B40:J40,Optimization!$C$9:$K$9)</f>
        <v>0.00861683411927808</v>
      </c>
      <c r="N40" s="26" t="n">
        <f aca="false">SUMPRODUCT(B40:J40,Optimization!$C$10:$K$10)</f>
        <v>0.0114620618988213</v>
      </c>
      <c r="O40" s="27" t="n">
        <f aca="false">IF(AND(A40&gt;=Inputs!$C$6,A40&lt;=Inputs!$C$7),1,0)</f>
        <v>0</v>
      </c>
      <c r="P40" s="28" t="n">
        <f aca="false">P39*(1+K40)</f>
        <v>107.628885175759</v>
      </c>
      <c r="Q40" s="28" t="n">
        <f aca="false">MAX(Q39,P40)</f>
        <v>107.628885175759</v>
      </c>
      <c r="R40" s="29" t="n">
        <f aca="false">P40/Q40-1</f>
        <v>0</v>
      </c>
      <c r="S40" s="26" t="n">
        <f aca="false">IF(A40=Inputs!$C$12,"",F40)</f>
        <v>-0.00948318953142824</v>
      </c>
      <c r="T40" s="27" t="n">
        <f aca="false">IF(AND(A40&gt;Risk_Metrics!$C$28,P40&gt;=Risk_Metrics!$C$30),1,0)</f>
        <v>0</v>
      </c>
      <c r="U40" s="26" t="n">
        <f aca="false">IF(A40=Inputs!$C$12,"",K40)</f>
        <v>0.00572628297514195</v>
      </c>
    </row>
    <row r="41" customFormat="false" ht="15" hidden="false" customHeight="false" outlineLevel="0" collapsed="false">
      <c r="A41" s="25" t="n">
        <f aca="false">Prices!A42</f>
        <v>43761</v>
      </c>
      <c r="B41" s="26" t="n">
        <f aca="false">Prices!B42/Prices!B41-1</f>
        <v>-0.0129757787712073</v>
      </c>
      <c r="C41" s="26" t="n">
        <f aca="false">Prices!C42/Prices!C41-1</f>
        <v>0.0149379552900895</v>
      </c>
      <c r="D41" s="26" t="n">
        <f aca="false">Prices!D42/Prices!D41-1</f>
        <v>0.00752816813048951</v>
      </c>
      <c r="E41" s="26" t="n">
        <f aca="false">Prices!E42/Prices!E41-1</f>
        <v>-0.00693669609008341</v>
      </c>
      <c r="F41" s="26" t="n">
        <f aca="false">Prices!F42/Prices!F41-1</f>
        <v>0.00239351936978238</v>
      </c>
      <c r="G41" s="26" t="n">
        <f aca="false">Prices!G42/Prices!G41-1</f>
        <v>-0.00864154856550292</v>
      </c>
      <c r="H41" s="26" t="n">
        <f aca="false">Prices!H42/Prices!H41-1</f>
        <v>0.0133007000350018</v>
      </c>
      <c r="I41" s="26" t="n">
        <f aca="false">Prices!I42/Prices!I41-1</f>
        <v>-0.00355174374763745</v>
      </c>
      <c r="J41" s="26" t="n">
        <f aca="false">Prices!J42/Prices!J41-1</f>
        <v>-0.00401687112086413</v>
      </c>
      <c r="K41" s="26" t="n">
        <f aca="false">SUMPRODUCT(B41:J41,Optimization!$C$7:$K$7)</f>
        <v>0.000226411614452002</v>
      </c>
      <c r="L41" s="26" t="n">
        <f aca="false">SUMPRODUCT(B41:J41,Optimization!$C$8:$K$8)</f>
        <v>0.00227138117336137</v>
      </c>
      <c r="M41" s="26" t="n">
        <f aca="false">SUMPRODUCT(B41:J41,Optimization!$C$9:$K$9)</f>
        <v>0.000655245678507918</v>
      </c>
      <c r="N41" s="26" t="n">
        <f aca="false">SUMPRODUCT(B41:J41,Optimization!$C$10:$K$10)</f>
        <v>0.00281393861997908</v>
      </c>
      <c r="O41" s="27" t="n">
        <f aca="false">IF(AND(A41&gt;=Inputs!$C$6,A41&lt;=Inputs!$C$7),1,0)</f>
        <v>0</v>
      </c>
      <c r="P41" s="28" t="n">
        <f aca="false">P40*(1+K41)</f>
        <v>107.653253605414</v>
      </c>
      <c r="Q41" s="28" t="n">
        <f aca="false">MAX(Q40,P41)</f>
        <v>107.653253605414</v>
      </c>
      <c r="R41" s="29" t="n">
        <f aca="false">P41/Q41-1</f>
        <v>0</v>
      </c>
      <c r="S41" s="26" t="n">
        <f aca="false">IF(A41=Inputs!$C$12,"",F41)</f>
        <v>0.00239351936978238</v>
      </c>
      <c r="T41" s="27" t="n">
        <f aca="false">IF(AND(A41&gt;Risk_Metrics!$C$28,P41&gt;=Risk_Metrics!$C$30),1,0)</f>
        <v>0</v>
      </c>
      <c r="U41" s="26" t="n">
        <f aca="false">IF(A41=Inputs!$C$12,"",K41)</f>
        <v>0.000226411614452002</v>
      </c>
    </row>
    <row r="42" customFormat="false" ht="15" hidden="false" customHeight="false" outlineLevel="0" collapsed="false">
      <c r="A42" s="25" t="n">
        <f aca="false">Prices!A43</f>
        <v>43762</v>
      </c>
      <c r="B42" s="26" t="n">
        <f aca="false">Prices!B43/Prices!B42-1</f>
        <v>-0.00438212102335012</v>
      </c>
      <c r="C42" s="26" t="n">
        <f aca="false">Prices!C43/Prices!C42-1</f>
        <v>0.00787730099502504</v>
      </c>
      <c r="D42" s="26" t="n">
        <f aca="false">Prices!D43/Prices!D42-1</f>
        <v>-0.000622665044997972</v>
      </c>
      <c r="E42" s="26" t="n">
        <f aca="false">Prices!E43/Prices!E42-1</f>
        <v>-0.0617395041283834</v>
      </c>
      <c r="F42" s="26" t="n">
        <f aca="false">Prices!F43/Prices!F42-1</f>
        <v>-0.00668580360126658</v>
      </c>
      <c r="G42" s="26" t="n">
        <f aca="false">Prices!G43/Prices!G42-1</f>
        <v>-0.00174341004184098</v>
      </c>
      <c r="H42" s="26" t="n">
        <f aca="false">Prices!H43/Prices!H42-1</f>
        <v>-0.0217616918217032</v>
      </c>
      <c r="I42" s="26" t="n">
        <f aca="false">Prices!I43/Prices!I42-1</f>
        <v>-0.00356431801950041</v>
      </c>
      <c r="J42" s="26" t="n">
        <f aca="false">Prices!J43/Prices!J42-1</f>
        <v>-0.00764171072719777</v>
      </c>
      <c r="K42" s="26" t="n">
        <f aca="false">SUMPRODUCT(B42:J42,Optimization!$C$7:$K$7)</f>
        <v>-0.0111404359348017</v>
      </c>
      <c r="L42" s="26" t="n">
        <f aca="false">SUMPRODUCT(B42:J42,Optimization!$C$8:$K$8)</f>
        <v>-0.00155670261864351</v>
      </c>
      <c r="M42" s="26" t="n">
        <f aca="false">SUMPRODUCT(B42:J42,Optimization!$C$9:$K$9)</f>
        <v>-0.00209354124030741</v>
      </c>
      <c r="N42" s="26" t="n">
        <f aca="false">SUMPRODUCT(B42:J42,Optimization!$C$10:$K$10)</f>
        <v>-0.00125613808248806</v>
      </c>
      <c r="O42" s="27" t="n">
        <f aca="false">IF(AND(A42&gt;=Inputs!$C$6,A42&lt;=Inputs!$C$7),1,0)</f>
        <v>0</v>
      </c>
      <c r="P42" s="28" t="n">
        <f aca="false">P41*(1+K42)</f>
        <v>106.45394943045</v>
      </c>
      <c r="Q42" s="28" t="n">
        <f aca="false">MAX(Q41,P42)</f>
        <v>107.653253605414</v>
      </c>
      <c r="R42" s="29" t="n">
        <f aca="false">P42/Q42-1</f>
        <v>-0.0111404359348017</v>
      </c>
      <c r="S42" s="26" t="n">
        <f aca="false">IF(A42=Inputs!$C$12,"",F42)</f>
        <v>-0.00668580360126658</v>
      </c>
      <c r="T42" s="27" t="n">
        <f aca="false">IF(AND(A42&gt;Risk_Metrics!$C$28,P42&gt;=Risk_Metrics!$C$30),1,0)</f>
        <v>0</v>
      </c>
      <c r="U42" s="26" t="n">
        <f aca="false">IF(A42=Inputs!$C$12,"",K42)</f>
        <v>-0.0111404359348017</v>
      </c>
    </row>
    <row r="43" customFormat="false" ht="15" hidden="false" customHeight="false" outlineLevel="0" collapsed="false">
      <c r="A43" s="25" t="n">
        <f aca="false">Prices!A44</f>
        <v>43763</v>
      </c>
      <c r="B43" s="26" t="n">
        <f aca="false">Prices!B44/Prices!B43-1</f>
        <v>0.0126760741668324</v>
      </c>
      <c r="C43" s="26" t="n">
        <f aca="false">Prices!C44/Prices!C43-1</f>
        <v>-0.00431933351873026</v>
      </c>
      <c r="D43" s="26" t="n">
        <f aca="false">Prices!D44/Prices!D43-1</f>
        <v>-0.0130840506594424</v>
      </c>
      <c r="E43" s="26" t="n">
        <f aca="false">Prices!E44/Prices!E43-1</f>
        <v>0.00312198485907067</v>
      </c>
      <c r="F43" s="26" t="n">
        <f aca="false">Prices!F44/Prices!F43-1</f>
        <v>-0.0163461152993076</v>
      </c>
      <c r="G43" s="26" t="n">
        <f aca="false">Prices!G44/Prices!G43-1</f>
        <v>-0.00244498786046066</v>
      </c>
      <c r="H43" s="26" t="n">
        <f aca="false">Prices!H44/Prices!H43-1</f>
        <v>0.0328389830508475</v>
      </c>
      <c r="I43" s="26" t="n">
        <f aca="false">Prices!I44/Prices!I43-1</f>
        <v>0.00158983416488279</v>
      </c>
      <c r="J43" s="26" t="n">
        <f aca="false">Prices!J44/Prices!J43-1</f>
        <v>0.0387165989304812</v>
      </c>
      <c r="K43" s="26" t="n">
        <f aca="false">SUMPRODUCT(B43:J43,Optimization!$C$7:$K$7)</f>
        <v>0.00586099864824151</v>
      </c>
      <c r="L43" s="26" t="n">
        <f aca="false">SUMPRODUCT(B43:J43,Optimization!$C$8:$K$8)</f>
        <v>0.00211160632489372</v>
      </c>
      <c r="M43" s="26" t="n">
        <f aca="false">SUMPRODUCT(B43:J43,Optimization!$C$9:$K$9)</f>
        <v>0.00687022734411515</v>
      </c>
      <c r="N43" s="26" t="n">
        <f aca="false">SUMPRODUCT(B43:J43,Optimization!$C$10:$K$10)</f>
        <v>0.000842791873247203</v>
      </c>
      <c r="O43" s="27" t="n">
        <f aca="false">IF(AND(A43&gt;=Inputs!$C$6,A43&lt;=Inputs!$C$7),1,0)</f>
        <v>0</v>
      </c>
      <c r="P43" s="28" t="n">
        <f aca="false">P42*(1+K43)</f>
        <v>107.077875884161</v>
      </c>
      <c r="Q43" s="28" t="n">
        <f aca="false">MAX(Q42,P43)</f>
        <v>107.653253605414</v>
      </c>
      <c r="R43" s="29" t="n">
        <f aca="false">P43/Q43-1</f>
        <v>-0.00534473136651492</v>
      </c>
      <c r="S43" s="26" t="n">
        <f aca="false">IF(A43=Inputs!$C$12,"",F43)</f>
        <v>-0.0163461152993076</v>
      </c>
      <c r="T43" s="27" t="n">
        <f aca="false">IF(AND(A43&gt;Risk_Metrics!$C$28,P43&gt;=Risk_Metrics!$C$30),1,0)</f>
        <v>0</v>
      </c>
      <c r="U43" s="26" t="n">
        <f aca="false">IF(A43=Inputs!$C$12,"",K43)</f>
        <v>0.00586099864824151</v>
      </c>
    </row>
    <row r="44" customFormat="false" ht="15" hidden="false" customHeight="false" outlineLevel="0" collapsed="false">
      <c r="A44" s="25" t="n">
        <f aca="false">Prices!A45</f>
        <v>43766</v>
      </c>
      <c r="B44" s="26" t="n">
        <f aca="false">Prices!B45/Prices!B44-1</f>
        <v>-0.00208619610570238</v>
      </c>
      <c r="C44" s="26" t="n">
        <f aca="false">Prices!C45/Prices!C44-1</f>
        <v>0.00702344629451002</v>
      </c>
      <c r="D44" s="26" t="n">
        <f aca="false">Prices!D45/Prices!D44-1</f>
        <v>-0.0170454545454545</v>
      </c>
      <c r="E44" s="26" t="n">
        <f aca="false">Prices!E45/Prices!E44-1</f>
        <v>-0.00813982531137014</v>
      </c>
      <c r="F44" s="26" t="n">
        <f aca="false">Prices!F45/Prices!F44-1</f>
        <v>0.000488666507374447</v>
      </c>
      <c r="G44" s="26" t="n">
        <f aca="false">Prices!G45/Prices!G44-1</f>
        <v>0.0119047973356021</v>
      </c>
      <c r="H44" s="26" t="n">
        <f aca="false">Prices!H45/Prices!H44-1</f>
        <v>0.0119658119658119</v>
      </c>
      <c r="I44" s="26" t="n">
        <f aca="false">Prices!I45/Prices!I44-1</f>
        <v>-0.0140873360601311</v>
      </c>
      <c r="J44" s="26" t="n">
        <f aca="false">Prices!J45/Prices!J44-1</f>
        <v>0.0028830312421122</v>
      </c>
      <c r="K44" s="26" t="n">
        <f aca="false">SUMPRODUCT(B44:J44,Optimization!$C$7:$K$7)</f>
        <v>-0.000788117630805268</v>
      </c>
      <c r="L44" s="26" t="n">
        <f aca="false">SUMPRODUCT(B44:J44,Optimization!$C$8:$K$8)</f>
        <v>-0.00797796564215158</v>
      </c>
      <c r="M44" s="26" t="n">
        <f aca="false">SUMPRODUCT(B44:J44,Optimization!$C$9:$K$9)</f>
        <v>-0.00573419878858473</v>
      </c>
      <c r="N44" s="26" t="n">
        <f aca="false">SUMPRODUCT(B44:J44,Optimization!$C$10:$K$10)</f>
        <v>-0.00803253945236396</v>
      </c>
      <c r="O44" s="27" t="n">
        <f aca="false">IF(AND(A44&gt;=Inputs!$C$6,A44&lt;=Inputs!$C$7),1,0)</f>
        <v>0</v>
      </c>
      <c r="P44" s="28" t="n">
        <f aca="false">P43*(1+K44)</f>
        <v>106.993485922308</v>
      </c>
      <c r="Q44" s="28" t="n">
        <f aca="false">MAX(Q43,P44)</f>
        <v>107.653253605414</v>
      </c>
      <c r="R44" s="29" t="n">
        <f aca="false">P44/Q44-1</f>
        <v>-0.00612863672029818</v>
      </c>
      <c r="S44" s="26" t="n">
        <f aca="false">IF(A44=Inputs!$C$12,"",F44)</f>
        <v>0.000488666507374447</v>
      </c>
      <c r="T44" s="27" t="n">
        <f aca="false">IF(AND(A44&gt;Risk_Metrics!$C$28,P44&gt;=Risk_Metrics!$C$30),1,0)</f>
        <v>0</v>
      </c>
      <c r="U44" s="26" t="n">
        <f aca="false">IF(A44=Inputs!$C$12,"",K44)</f>
        <v>-0.000788117630805268</v>
      </c>
    </row>
    <row r="45" customFormat="false" ht="15" hidden="false" customHeight="false" outlineLevel="0" collapsed="false">
      <c r="A45" s="25" t="n">
        <f aca="false">Prices!A46</f>
        <v>43767</v>
      </c>
      <c r="B45" s="26" t="n">
        <f aca="false">Prices!B46/Prices!B45-1</f>
        <v>0.00696858860736627</v>
      </c>
      <c r="C45" s="26" t="n">
        <f aca="false">Prices!C46/Prices!C45-1</f>
        <v>-0.0174359384615385</v>
      </c>
      <c r="D45" s="26" t="n">
        <f aca="false">Prices!D46/Prices!D45-1</f>
        <v>-0.00706486833654463</v>
      </c>
      <c r="E45" s="26" t="n">
        <f aca="false">Prices!E46/Prices!E45-1</f>
        <v>0</v>
      </c>
      <c r="F45" s="26" t="n">
        <f aca="false">Prices!F46/Prices!F45-1</f>
        <v>-0.00488511161781768</v>
      </c>
      <c r="G45" s="26" t="n">
        <f aca="false">Prices!G46/Prices!G45-1</f>
        <v>-0.0249134948096885</v>
      </c>
      <c r="H45" s="26" t="n">
        <f aca="false">Prices!H46/Prices!H45-1</f>
        <v>0.00743243243243241</v>
      </c>
      <c r="I45" s="26" t="n">
        <f aca="false">Prices!I46/Prices!I45-1</f>
        <v>-0.0092573563592766</v>
      </c>
      <c r="J45" s="26" t="n">
        <f aca="false">Prices!J46/Prices!J45-1</f>
        <v>-0.00102667349021202</v>
      </c>
      <c r="K45" s="26" t="n">
        <f aca="false">SUMPRODUCT(B45:J45,Optimization!$C$7:$K$7)</f>
        <v>-0.00557582467058658</v>
      </c>
      <c r="L45" s="26" t="n">
        <f aca="false">SUMPRODUCT(B45:J45,Optimization!$C$8:$K$8)</f>
        <v>-0.00543262073309648</v>
      </c>
      <c r="M45" s="26" t="n">
        <f aca="false">SUMPRODUCT(B45:J45,Optimization!$C$9:$K$9)</f>
        <v>-0.00491107788108347</v>
      </c>
      <c r="N45" s="26" t="n">
        <f aca="false">SUMPRODUCT(B45:J45,Optimization!$C$10:$K$10)</f>
        <v>-0.00518864794835769</v>
      </c>
      <c r="O45" s="27" t="n">
        <f aca="false">IF(AND(A45&gt;=Inputs!$C$6,A45&lt;=Inputs!$C$7),1,0)</f>
        <v>0</v>
      </c>
      <c r="P45" s="28" t="n">
        <f aca="false">P44*(1+K45)</f>
        <v>106.39690900391</v>
      </c>
      <c r="Q45" s="28" t="n">
        <f aca="false">MAX(Q44,P45)</f>
        <v>107.653253605414</v>
      </c>
      <c r="R45" s="29" t="n">
        <f aca="false">P45/Q45-1</f>
        <v>-0.0116702891870627</v>
      </c>
      <c r="S45" s="26" t="n">
        <f aca="false">IF(A45=Inputs!$C$12,"",F45)</f>
        <v>-0.00488511161781768</v>
      </c>
      <c r="T45" s="27" t="n">
        <f aca="false">IF(AND(A45&gt;Risk_Metrics!$C$28,P45&gt;=Risk_Metrics!$C$30),1,0)</f>
        <v>0</v>
      </c>
      <c r="U45" s="26" t="n">
        <f aca="false">IF(A45=Inputs!$C$12,"",K45)</f>
        <v>-0.00557582467058658</v>
      </c>
    </row>
    <row r="46" customFormat="false" ht="15" hidden="false" customHeight="false" outlineLevel="0" collapsed="false">
      <c r="A46" s="25" t="n">
        <f aca="false">Prices!A47</f>
        <v>43768</v>
      </c>
      <c r="B46" s="26" t="n">
        <f aca="false">Prices!B47/Prices!B46-1</f>
        <v>0.012110744154165</v>
      </c>
      <c r="C46" s="26" t="n">
        <f aca="false">Prices!C47/Prices!C46-1</f>
        <v>0.0125260965564131</v>
      </c>
      <c r="D46" s="26" t="n">
        <f aca="false">Prices!D47/Prices!D46-1</f>
        <v>0.0109961190168175</v>
      </c>
      <c r="E46" s="26" t="n">
        <f aca="false">Prices!E47/Prices!E46-1</f>
        <v>0.0362056886938238</v>
      </c>
      <c r="F46" s="26" t="n">
        <f aca="false">Prices!F47/Prices!F46-1</f>
        <v>0.013745677382877</v>
      </c>
      <c r="G46" s="26" t="n">
        <f aca="false">Prices!G47/Prices!G46-1</f>
        <v>0.0372604684173172</v>
      </c>
      <c r="H46" s="26" t="n">
        <f aca="false">Prices!H47/Prices!H46-1</f>
        <v>0.00871898054996634</v>
      </c>
      <c r="I46" s="26" t="n">
        <f aca="false">Prices!I47/Prices!I46-1</f>
        <v>-0.00162503461431041</v>
      </c>
      <c r="J46" s="26" t="n">
        <f aca="false">Prices!J47/Prices!J46-1</f>
        <v>-0.00123334013429222</v>
      </c>
      <c r="K46" s="26" t="n">
        <f aca="false">SUMPRODUCT(B46:J46,Optimization!$C$7:$K$7)</f>
        <v>0.0143006000025308</v>
      </c>
      <c r="L46" s="26" t="n">
        <f aca="false">SUMPRODUCT(B46:J46,Optimization!$C$8:$K$8)</f>
        <v>0.00810019616081742</v>
      </c>
      <c r="M46" s="26" t="n">
        <f aca="false">SUMPRODUCT(B46:J46,Optimization!$C$9:$K$9)</f>
        <v>0.00688810418602947</v>
      </c>
      <c r="N46" s="26" t="n">
        <f aca="false">SUMPRODUCT(B46:J46,Optimization!$C$10:$K$10)</f>
        <v>0.00915968612220496</v>
      </c>
      <c r="O46" s="27" t="n">
        <f aca="false">IF(AND(A46&gt;=Inputs!$C$6,A46&lt;=Inputs!$C$7),1,0)</f>
        <v>0</v>
      </c>
      <c r="P46" s="28" t="n">
        <f aca="false">P45*(1+K46)</f>
        <v>107.918448641081</v>
      </c>
      <c r="Q46" s="28" t="n">
        <f aca="false">MAX(Q45,P46)</f>
        <v>107.918448641081</v>
      </c>
      <c r="R46" s="29" t="n">
        <f aca="false">P46/Q46-1</f>
        <v>0</v>
      </c>
      <c r="S46" s="26" t="n">
        <f aca="false">IF(A46=Inputs!$C$12,"",F46)</f>
        <v>0.013745677382877</v>
      </c>
      <c r="T46" s="27" t="n">
        <f aca="false">IF(AND(A46&gt;Risk_Metrics!$C$28,P46&gt;=Risk_Metrics!$C$30),1,0)</f>
        <v>0</v>
      </c>
      <c r="U46" s="26" t="n">
        <f aca="false">IF(A46=Inputs!$C$12,"",K46)</f>
        <v>0.0143006000025308</v>
      </c>
    </row>
    <row r="47" customFormat="false" ht="15" hidden="false" customHeight="false" outlineLevel="0" collapsed="false">
      <c r="A47" s="25" t="n">
        <f aca="false">Prices!A48</f>
        <v>43769</v>
      </c>
      <c r="B47" s="26" t="n">
        <f aca="false">Prices!B48/Prices!B47-1</f>
        <v>0.010256376068376</v>
      </c>
      <c r="C47" s="26" t="n">
        <f aca="false">Prices!C48/Prices!C47-1</f>
        <v>-0.00247428876182632</v>
      </c>
      <c r="D47" s="26" t="n">
        <f aca="false">Prices!D48/Prices!D47-1</f>
        <v>0.0191938579654509</v>
      </c>
      <c r="E47" s="26" t="n">
        <f aca="false">Prices!E48/Prices!E47-1</f>
        <v>0.00582342757121901</v>
      </c>
      <c r="F47" s="26" t="n">
        <f aca="false">Prices!F48/Prices!F47-1</f>
        <v>-0.0319612663745804</v>
      </c>
      <c r="G47" s="26" t="n">
        <f aca="false">Prices!G48/Prices!G47-1</f>
        <v>-0.000684262743756436</v>
      </c>
      <c r="H47" s="26" t="n">
        <f aca="false">Prices!H48/Prices!H47-1</f>
        <v>0.0103058178191491</v>
      </c>
      <c r="I47" s="26" t="n">
        <f aca="false">Prices!I48/Prices!I47-1</f>
        <v>-0.00671415932259589</v>
      </c>
      <c r="J47" s="26" t="n">
        <f aca="false">Prices!J48/Prices!J47-1</f>
        <v>-0.0286066886190575</v>
      </c>
      <c r="K47" s="26" t="n">
        <f aca="false">SUMPRODUCT(B47:J47,Optimization!$C$7:$K$7)</f>
        <v>-0.00276235404418016</v>
      </c>
      <c r="L47" s="26" t="n">
        <f aca="false">SUMPRODUCT(B47:J47,Optimization!$C$8:$K$8)</f>
        <v>0.00450664847882863</v>
      </c>
      <c r="M47" s="26" t="n">
        <f aca="false">SUMPRODUCT(B47:J47,Optimization!$C$9:$K$9)</f>
        <v>-0.000265075135519295</v>
      </c>
      <c r="N47" s="26" t="n">
        <f aca="false">SUMPRODUCT(B47:J47,Optimization!$C$10:$K$10)</f>
        <v>0.00667045353522016</v>
      </c>
      <c r="O47" s="27" t="n">
        <f aca="false">IF(AND(A47&gt;=Inputs!$C$6,A47&lt;=Inputs!$C$7),1,0)</f>
        <v>0</v>
      </c>
      <c r="P47" s="28" t="n">
        <f aca="false">P46*(1+K47)</f>
        <v>107.620339678036</v>
      </c>
      <c r="Q47" s="28" t="n">
        <f aca="false">MAX(Q46,P47)</f>
        <v>107.918448641081</v>
      </c>
      <c r="R47" s="29" t="n">
        <f aca="false">P47/Q47-1</f>
        <v>-0.00276235404418013</v>
      </c>
      <c r="S47" s="26" t="n">
        <f aca="false">IF(A47=Inputs!$C$12,"",F47)</f>
        <v>-0.0319612663745804</v>
      </c>
      <c r="T47" s="27" t="n">
        <f aca="false">IF(AND(A47&gt;Risk_Metrics!$C$28,P47&gt;=Risk_Metrics!$C$30),1,0)</f>
        <v>0</v>
      </c>
      <c r="U47" s="26" t="n">
        <f aca="false">IF(A47=Inputs!$C$12,"",K47)</f>
        <v>-0.00276235404418016</v>
      </c>
    </row>
    <row r="48" customFormat="false" ht="15" hidden="false" customHeight="false" outlineLevel="0" collapsed="false">
      <c r="A48" s="25" t="n">
        <f aca="false">Prices!A49</f>
        <v>43770</v>
      </c>
      <c r="B48" s="26" t="n">
        <f aca="false">Prices!B49/Prices!B48-1</f>
        <v>0.0510998494450035</v>
      </c>
      <c r="C48" s="26" t="n">
        <f aca="false">Prices!C49/Prices!C48-1</f>
        <v>0.0169492576425441</v>
      </c>
      <c r="D48" s="26" t="n">
        <f aca="false">Prices!D49/Prices!D48-1</f>
        <v>0.0138104205900815</v>
      </c>
      <c r="E48" s="26" t="n">
        <f aca="false">Prices!E49/Prices!E48-1</f>
        <v>0.00277902266351293</v>
      </c>
      <c r="F48" s="26" t="n">
        <f aca="false">Prices!F49/Prices!F48-1</f>
        <v>0.02000995191847</v>
      </c>
      <c r="G48" s="26" t="n">
        <f aca="false">Prices!G49/Prices!G48-1</f>
        <v>-0.00581985641286742</v>
      </c>
      <c r="H48" s="26" t="n">
        <f aca="false">Prices!H49/Prices!H48-1</f>
        <v>0.00131625539046576</v>
      </c>
      <c r="I48" s="26" t="n">
        <f aca="false">Prices!I49/Prices!I48-1</f>
        <v>0.00307257028604124</v>
      </c>
      <c r="J48" s="26" t="n">
        <f aca="false">Prices!J49/Prices!J48-1</f>
        <v>0.0262711435112046</v>
      </c>
      <c r="K48" s="26" t="n">
        <f aca="false">SUMPRODUCT(B48:J48,Optimization!$C$7:$K$7)</f>
        <v>0.0143876238927174</v>
      </c>
      <c r="L48" s="26" t="n">
        <f aca="false">SUMPRODUCT(B48:J48,Optimization!$C$8:$K$8)</f>
        <v>0.0210666087762697</v>
      </c>
      <c r="M48" s="26" t="n">
        <f aca="false">SUMPRODUCT(B48:J48,Optimization!$C$9:$K$9)</f>
        <v>0.0225479937671238</v>
      </c>
      <c r="N48" s="26" t="n">
        <f aca="false">SUMPRODUCT(B48:J48,Optimization!$C$10:$K$10)</f>
        <v>0.0223255888169905</v>
      </c>
      <c r="O48" s="27" t="n">
        <f aca="false">IF(AND(A48&gt;=Inputs!$C$6,A48&lt;=Inputs!$C$7),1,0)</f>
        <v>0</v>
      </c>
      <c r="P48" s="28" t="n">
        <f aca="false">P47*(1+K48)</f>
        <v>109.16874064853</v>
      </c>
      <c r="Q48" s="28" t="n">
        <f aca="false">MAX(Q47,P48)</f>
        <v>109.16874064853</v>
      </c>
      <c r="R48" s="29" t="n">
        <f aca="false">P48/Q48-1</f>
        <v>0</v>
      </c>
      <c r="S48" s="26" t="n">
        <f aca="false">IF(A48=Inputs!$C$12,"",F48)</f>
        <v>0.02000995191847</v>
      </c>
      <c r="T48" s="27" t="n">
        <f aca="false">IF(AND(A48&gt;Risk_Metrics!$C$28,P48&gt;=Risk_Metrics!$C$30),1,0)</f>
        <v>0</v>
      </c>
      <c r="U48" s="26" t="n">
        <f aca="false">IF(A48=Inputs!$C$12,"",K48)</f>
        <v>0.0143876238927174</v>
      </c>
    </row>
    <row r="49" customFormat="false" ht="15" hidden="false" customHeight="false" outlineLevel="0" collapsed="false">
      <c r="A49" s="25" t="n">
        <f aca="false">Prices!A50</f>
        <v>43773</v>
      </c>
      <c r="B49" s="26" t="n">
        <f aca="false">Prices!B50/Prices!B49-1</f>
        <v>-0.0188344819516175</v>
      </c>
      <c r="C49" s="26" t="n">
        <f aca="false">Prices!C50/Prices!C49-1</f>
        <v>0.00142268292682934</v>
      </c>
      <c r="D49" s="26" t="n">
        <f aca="false">Prices!D50/Prices!D49-1</f>
        <v>0.0328173374613003</v>
      </c>
      <c r="E49" s="26" t="n">
        <f aca="false">Prices!E50/Prices!E49-1</f>
        <v>-0.0242494233608372</v>
      </c>
      <c r="F49" s="26" t="n">
        <f aca="false">Prices!F50/Prices!F49-1</f>
        <v>-0.00931821245238973</v>
      </c>
      <c r="G49" s="26" t="n">
        <f aca="false">Prices!G50/Prices!G49-1</f>
        <v>0.00964183851095601</v>
      </c>
      <c r="H49" s="26" t="n">
        <f aca="false">Prices!H50/Prices!H49-1</f>
        <v>-0.00230032862306928</v>
      </c>
      <c r="I49" s="26" t="n">
        <f aca="false">Prices!I50/Prices!I49-1</f>
        <v>-0.00245054887546958</v>
      </c>
      <c r="J49" s="26" t="n">
        <f aca="false">Prices!J50/Prices!J49-1</f>
        <v>0.0284888734204969</v>
      </c>
      <c r="K49" s="26" t="n">
        <f aca="false">SUMPRODUCT(B49:J49,Optimization!$C$7:$K$7)</f>
        <v>0.00169085967291102</v>
      </c>
      <c r="L49" s="26" t="n">
        <f aca="false">SUMPRODUCT(B49:J49,Optimization!$C$8:$K$8)</f>
        <v>0.0164184090391357</v>
      </c>
      <c r="M49" s="26" t="n">
        <f aca="false">SUMPRODUCT(B49:J49,Optimization!$C$9:$K$9)</f>
        <v>0.0127817421934405</v>
      </c>
      <c r="N49" s="26" t="n">
        <f aca="false">SUMPRODUCT(B49:J49,Optimization!$C$10:$K$10)</f>
        <v>0.0174235716026625</v>
      </c>
      <c r="O49" s="27" t="n">
        <f aca="false">IF(AND(A49&gt;=Inputs!$C$6,A49&lt;=Inputs!$C$7),1,0)</f>
        <v>0</v>
      </c>
      <c r="P49" s="28" t="n">
        <f aca="false">P48*(1+K49)</f>
        <v>109.353329669635</v>
      </c>
      <c r="Q49" s="28" t="n">
        <f aca="false">MAX(Q48,P49)</f>
        <v>109.353329669635</v>
      </c>
      <c r="R49" s="29" t="n">
        <f aca="false">P49/Q49-1</f>
        <v>0</v>
      </c>
      <c r="S49" s="26" t="n">
        <f aca="false">IF(A49=Inputs!$C$12,"",F49)</f>
        <v>-0.00931821245238973</v>
      </c>
      <c r="T49" s="27" t="n">
        <f aca="false">IF(AND(A49&gt;Risk_Metrics!$C$28,P49&gt;=Risk_Metrics!$C$30),1,0)</f>
        <v>0</v>
      </c>
      <c r="U49" s="26" t="n">
        <f aca="false">IF(A49=Inputs!$C$12,"",K49)</f>
        <v>0.00169085967291102</v>
      </c>
    </row>
    <row r="50" customFormat="false" ht="15" hidden="false" customHeight="false" outlineLevel="0" collapsed="false">
      <c r="A50" s="25" t="n">
        <f aca="false">Prices!A51</f>
        <v>43774</v>
      </c>
      <c r="B50" s="26" t="n">
        <f aca="false">Prices!B51/Prices!B50-1</f>
        <v>-0.0106645117200245</v>
      </c>
      <c r="C50" s="26" t="n">
        <f aca="false">Prices!C51/Prices!C50-1</f>
        <v>0.000608889840380877</v>
      </c>
      <c r="D50" s="26" t="n">
        <f aca="false">Prices!D51/Prices!D50-1</f>
        <v>0.0323740407673863</v>
      </c>
      <c r="E50" s="26" t="n">
        <f aca="false">Prices!E51/Prices!E50-1</f>
        <v>-0.00165676336458664</v>
      </c>
      <c r="F50" s="26" t="n">
        <f aca="false">Prices!F51/Prices!F50-1</f>
        <v>-0.00841584633028214</v>
      </c>
      <c r="G50" s="26" t="n">
        <f aca="false">Prices!G51/Prices!G50-1</f>
        <v>-0.0266029672578445</v>
      </c>
      <c r="H50" s="26" t="n">
        <f aca="false">Prices!H51/Prices!H50-1</f>
        <v>-0.0233860664233839</v>
      </c>
      <c r="I50" s="26" t="n">
        <f aca="false">Prices!I51/Prices!I50-1</f>
        <v>-0.0112588848611174</v>
      </c>
      <c r="J50" s="26" t="n">
        <f aca="false">Prices!J51/Prices!J50-1</f>
        <v>0.00100359293456442</v>
      </c>
      <c r="K50" s="26" t="n">
        <f aca="false">SUMPRODUCT(B50:J50,Optimization!$C$7:$K$7)</f>
        <v>-0.00533316849054528</v>
      </c>
      <c r="L50" s="26" t="n">
        <f aca="false">SUMPRODUCT(B50:J50,Optimization!$C$8:$K$8)</f>
        <v>0.0119818465961681</v>
      </c>
      <c r="M50" s="26" t="n">
        <f aca="false">SUMPRODUCT(B50:J50,Optimization!$C$9:$K$9)</f>
        <v>0.00650892554393649</v>
      </c>
      <c r="N50" s="26" t="n">
        <f aca="false">SUMPRODUCT(B50:J50,Optimization!$C$10:$K$10)</f>
        <v>0.014186559350332</v>
      </c>
      <c r="O50" s="27" t="n">
        <f aca="false">IF(AND(A50&gt;=Inputs!$C$6,A50&lt;=Inputs!$C$7),1,0)</f>
        <v>0</v>
      </c>
      <c r="P50" s="28" t="n">
        <f aca="false">P49*(1+K50)</f>
        <v>108.770129937504</v>
      </c>
      <c r="Q50" s="28" t="n">
        <f aca="false">MAX(Q49,P50)</f>
        <v>109.353329669635</v>
      </c>
      <c r="R50" s="29" t="n">
        <f aca="false">P50/Q50-1</f>
        <v>-0.00533316849054533</v>
      </c>
      <c r="S50" s="26" t="n">
        <f aca="false">IF(A50=Inputs!$C$12,"",F50)</f>
        <v>-0.00841584633028214</v>
      </c>
      <c r="T50" s="27" t="n">
        <f aca="false">IF(AND(A50&gt;Risk_Metrics!$C$28,P50&gt;=Risk_Metrics!$C$30),1,0)</f>
        <v>0</v>
      </c>
      <c r="U50" s="26" t="n">
        <f aca="false">IF(A50=Inputs!$C$12,"",K50)</f>
        <v>-0.00533316849054528</v>
      </c>
    </row>
    <row r="51" customFormat="false" ht="15" hidden="false" customHeight="false" outlineLevel="0" collapsed="false">
      <c r="A51" s="25" t="n">
        <f aca="false">Prices!A52</f>
        <v>43775</v>
      </c>
      <c r="B51" s="26" t="n">
        <f aca="false">Prices!B52/Prices!B51-1</f>
        <v>0.00630184090052799</v>
      </c>
      <c r="C51" s="26" t="n">
        <f aca="false">Prices!C52/Prices!C51-1</f>
        <v>-0.00811357063801788</v>
      </c>
      <c r="D51" s="26" t="n">
        <f aca="false">Prices!D52/Prices!D51-1</f>
        <v>-0.00696858344765294</v>
      </c>
      <c r="E51" s="26" t="n">
        <f aca="false">Prices!E52/Prices!E51-1</f>
        <v>0.000237009243559738</v>
      </c>
      <c r="F51" s="26" t="n">
        <f aca="false">Prices!F52/Prices!F51-1</f>
        <v>0.0229654851695382</v>
      </c>
      <c r="G51" s="26" t="n">
        <f aca="false">Prices!G52/Prices!G51-1</f>
        <v>0.0224246313095784</v>
      </c>
      <c r="H51" s="26" t="n">
        <f aca="false">Prices!H52/Prices!H51-1</f>
        <v>0.00202357504215867</v>
      </c>
      <c r="I51" s="26" t="n">
        <f aca="false">Prices!I52/Prices!I51-1</f>
        <v>0.0163560629418795</v>
      </c>
      <c r="J51" s="26" t="n">
        <f aca="false">Prices!J52/Prices!J51-1</f>
        <v>-0.00360938447181436</v>
      </c>
      <c r="K51" s="26" t="n">
        <f aca="false">SUMPRODUCT(B51:J51,Optimization!$C$7:$K$7)</f>
        <v>0.00573522956108415</v>
      </c>
      <c r="L51" s="26" t="n">
        <f aca="false">SUMPRODUCT(B51:J51,Optimization!$C$8:$K$8)</f>
        <v>-0.0021717621820246</v>
      </c>
      <c r="M51" s="26" t="n">
        <f aca="false">SUMPRODUCT(B51:J51,Optimization!$C$9:$K$9)</f>
        <v>-0.000670979833075814</v>
      </c>
      <c r="N51" s="26" t="n">
        <f aca="false">SUMPRODUCT(B51:J51,Optimization!$C$10:$K$10)</f>
        <v>-0.00344798188330144</v>
      </c>
      <c r="O51" s="27" t="n">
        <f aca="false">IF(AND(A51&gt;=Inputs!$C$6,A51&lt;=Inputs!$C$7),1,0)</f>
        <v>0</v>
      </c>
      <c r="P51" s="28" t="n">
        <f aca="false">P50*(1+K51)</f>
        <v>109.393951602085</v>
      </c>
      <c r="Q51" s="28" t="n">
        <f aca="false">MAX(Q50,P51)</f>
        <v>109.393951602085</v>
      </c>
      <c r="R51" s="29" t="n">
        <f aca="false">P51/Q51-1</f>
        <v>0</v>
      </c>
      <c r="S51" s="26" t="n">
        <f aca="false">IF(A51=Inputs!$C$12,"",F51)</f>
        <v>0.0229654851695382</v>
      </c>
      <c r="T51" s="27" t="n">
        <f aca="false">IF(AND(A51&gt;Risk_Metrics!$C$28,P51&gt;=Risk_Metrics!$C$30),1,0)</f>
        <v>0</v>
      </c>
      <c r="U51" s="26" t="n">
        <f aca="false">IF(A51=Inputs!$C$12,"",K51)</f>
        <v>0.00573522956108415</v>
      </c>
    </row>
    <row r="52" customFormat="false" ht="15" hidden="false" customHeight="false" outlineLevel="0" collapsed="false">
      <c r="A52" s="25" t="n">
        <f aca="false">Prices!A53</f>
        <v>43776</v>
      </c>
      <c r="B52" s="26" t="n">
        <f aca="false">Prices!B53/Prices!B52-1</f>
        <v>-0.0120303065260382</v>
      </c>
      <c r="C52" s="26" t="n">
        <f aca="false">Prices!C53/Prices!C52-1</f>
        <v>0.010224908602755</v>
      </c>
      <c r="D52" s="26" t="n">
        <f aca="false">Prices!D53/Prices!D52-1</f>
        <v>0.0421052631578946</v>
      </c>
      <c r="E52" s="26" t="n">
        <f aca="false">Prices!E53/Prices!E52-1</f>
        <v>0.00379239415693244</v>
      </c>
      <c r="F52" s="26" t="n">
        <f aca="false">Prices!F53/Prices!F52-1</f>
        <v>-0.00780858840905607</v>
      </c>
      <c r="G52" s="26" t="n">
        <f aca="false">Prices!G53/Prices!G52-1</f>
        <v>0.00993827964359162</v>
      </c>
      <c r="H52" s="26" t="n">
        <f aca="false">Prices!H53/Prices!H52-1</f>
        <v>0.0400538889281012</v>
      </c>
      <c r="I52" s="26" t="n">
        <f aca="false">Prices!I53/Prices!I52-1</f>
        <v>0.0162966247294705</v>
      </c>
      <c r="J52" s="26" t="n">
        <f aca="false">Prices!J53/Prices!J52-1</f>
        <v>0.00845244533009537</v>
      </c>
      <c r="K52" s="26" t="n">
        <f aca="false">SUMPRODUCT(B52:J52,Optimization!$C$7:$K$7)</f>
        <v>0.0123361010681941</v>
      </c>
      <c r="L52" s="26" t="n">
        <f aca="false">SUMPRODUCT(B52:J52,Optimization!$C$8:$K$8)</f>
        <v>0.0213438235740006</v>
      </c>
      <c r="M52" s="26" t="n">
        <f aca="false">SUMPRODUCT(B52:J52,Optimization!$C$9:$K$9)</f>
        <v>0.0160825197542607</v>
      </c>
      <c r="N52" s="26" t="n">
        <f aca="false">SUMPRODUCT(B52:J52,Optimization!$C$10:$K$10)</f>
        <v>0.022223789986916</v>
      </c>
      <c r="O52" s="27" t="n">
        <f aca="false">IF(AND(A52&gt;=Inputs!$C$6,A52&lt;=Inputs!$C$7),1,0)</f>
        <v>0</v>
      </c>
      <c r="P52" s="28" t="n">
        <f aca="false">P51*(1+K52)</f>
        <v>110.743446445297</v>
      </c>
      <c r="Q52" s="28" t="n">
        <f aca="false">MAX(Q51,P52)</f>
        <v>110.743446445297</v>
      </c>
      <c r="R52" s="29" t="n">
        <f aca="false">P52/Q52-1</f>
        <v>0</v>
      </c>
      <c r="S52" s="26" t="n">
        <f aca="false">IF(A52=Inputs!$C$12,"",F52)</f>
        <v>-0.00780858840905607</v>
      </c>
      <c r="T52" s="27" t="n">
        <f aca="false">IF(AND(A52&gt;Risk_Metrics!$C$28,P52&gt;=Risk_Metrics!$C$30),1,0)</f>
        <v>0</v>
      </c>
      <c r="U52" s="26" t="n">
        <f aca="false">IF(A52=Inputs!$C$12,"",K52)</f>
        <v>0.0123361010681941</v>
      </c>
    </row>
    <row r="53" customFormat="false" ht="15" hidden="false" customHeight="false" outlineLevel="0" collapsed="false">
      <c r="A53" s="25" t="n">
        <f aca="false">Prices!A54</f>
        <v>43777</v>
      </c>
      <c r="B53" s="26" t="n">
        <f aca="false">Prices!B54/Prices!B53-1</f>
        <v>-0.00750627176803553</v>
      </c>
      <c r="C53" s="26" t="n">
        <f aca="false">Prices!C54/Prices!C53-1</f>
        <v>-0.0141699002196255</v>
      </c>
      <c r="D53" s="26" t="n">
        <f aca="false">Prices!D54/Prices!D53-1</f>
        <v>-0.0134680134680136</v>
      </c>
      <c r="E53" s="26" t="n">
        <f aca="false">Prices!E54/Prices!E53-1</f>
        <v>-0.0188902320294291</v>
      </c>
      <c r="F53" s="26" t="n">
        <f aca="false">Prices!F54/Prices!F53-1</f>
        <v>-0.0442696544253219</v>
      </c>
      <c r="G53" s="26" t="n">
        <f aca="false">Prices!G54/Prices!G53-1</f>
        <v>-0.0240922641361474</v>
      </c>
      <c r="H53" s="26" t="n">
        <f aca="false">Prices!H54/Prices!H53-1</f>
        <v>-0.0284789644012945</v>
      </c>
      <c r="I53" s="26" t="n">
        <f aca="false">Prices!I54/Prices!I53-1</f>
        <v>0.018039686556808</v>
      </c>
      <c r="J53" s="26" t="n">
        <f aca="false">Prices!J54/Prices!J53-1</f>
        <v>-0.0185591894121095</v>
      </c>
      <c r="K53" s="26" t="n">
        <f aca="false">SUMPRODUCT(B53:J53,Optimization!$C$7:$K$7)</f>
        <v>-0.0168216448114632</v>
      </c>
      <c r="L53" s="26" t="n">
        <f aca="false">SUMPRODUCT(B53:J53,Optimization!$C$8:$K$8)</f>
        <v>-0.010346785964313</v>
      </c>
      <c r="M53" s="26" t="n">
        <f aca="false">SUMPRODUCT(B53:J53,Optimization!$C$9:$K$9)</f>
        <v>-0.00937179790956025</v>
      </c>
      <c r="N53" s="26" t="n">
        <f aca="false">SUMPRODUCT(B53:J53,Optimization!$C$10:$K$10)</f>
        <v>-0.012139340117013</v>
      </c>
      <c r="O53" s="27" t="n">
        <f aca="false">IF(AND(A53&gt;=Inputs!$C$6,A53&lt;=Inputs!$C$7),1,0)</f>
        <v>0</v>
      </c>
      <c r="P53" s="28" t="n">
        <f aca="false">P52*(1+K53)</f>
        <v>108.880559523997</v>
      </c>
      <c r="Q53" s="28" t="n">
        <f aca="false">MAX(Q52,P53)</f>
        <v>110.743446445297</v>
      </c>
      <c r="R53" s="29" t="n">
        <f aca="false">P53/Q53-1</f>
        <v>-0.0168216448114632</v>
      </c>
      <c r="S53" s="26" t="n">
        <f aca="false">IF(A53=Inputs!$C$12,"",F53)</f>
        <v>-0.0442696544253219</v>
      </c>
      <c r="T53" s="27" t="n">
        <f aca="false">IF(AND(A53&gt;Risk_Metrics!$C$28,P53&gt;=Risk_Metrics!$C$30),1,0)</f>
        <v>0</v>
      </c>
      <c r="U53" s="26" t="n">
        <f aca="false">IF(A53=Inputs!$C$12,"",K53)</f>
        <v>-0.0168216448114632</v>
      </c>
    </row>
    <row r="54" customFormat="false" ht="15" hidden="false" customHeight="false" outlineLevel="0" collapsed="false">
      <c r="A54" s="25" t="n">
        <f aca="false">Prices!A55</f>
        <v>43780</v>
      </c>
      <c r="B54" s="26" t="n">
        <f aca="false">Prices!B55/Prices!B54-1</f>
        <v>0.00672272268907559</v>
      </c>
      <c r="C54" s="26" t="n">
        <f aca="false">Prices!C55/Prices!C54-1</f>
        <v>0.0287474526181746</v>
      </c>
      <c r="D54" s="26" t="n">
        <f aca="false">Prices!D55/Prices!D54-1</f>
        <v>0.0244596131968147</v>
      </c>
      <c r="E54" s="26" t="n">
        <f aca="false">Prices!E55/Prices!E54-1</f>
        <v>0.0139591633619671</v>
      </c>
      <c r="F54" s="26" t="n">
        <f aca="false">Prices!F55/Prices!F54-1</f>
        <v>0.0226454689928273</v>
      </c>
      <c r="G54" s="26" t="n">
        <f aca="false">Prices!G55/Prices!G54-1</f>
        <v>0.0125174200278162</v>
      </c>
      <c r="H54" s="26" t="n">
        <f aca="false">Prices!H55/Prices!H54-1</f>
        <v>0.01432381745503</v>
      </c>
      <c r="I54" s="26" t="n">
        <f aca="false">Prices!I55/Prices!I54-1</f>
        <v>0.0127977635890739</v>
      </c>
      <c r="J54" s="26" t="n">
        <f aca="false">Prices!J55/Prices!J54-1</f>
        <v>-0.0213501220008133</v>
      </c>
      <c r="K54" s="26" t="n">
        <f aca="false">SUMPRODUCT(B54:J54,Optimization!$C$7:$K$7)</f>
        <v>0.0127581444366629</v>
      </c>
      <c r="L54" s="26" t="n">
        <f aca="false">SUMPRODUCT(B54:J54,Optimization!$C$8:$K$8)</f>
        <v>0.0135107240890989</v>
      </c>
      <c r="M54" s="26" t="n">
        <f aca="false">SUMPRODUCT(B54:J54,Optimization!$C$9:$K$9)</f>
        <v>0.00968499366624974</v>
      </c>
      <c r="N54" s="26" t="n">
        <f aca="false">SUMPRODUCT(B54:J54,Optimization!$C$10:$K$10)</f>
        <v>0.0147459102483551</v>
      </c>
      <c r="O54" s="27" t="n">
        <f aca="false">IF(AND(A54&gt;=Inputs!$C$6,A54&lt;=Inputs!$C$7),1,0)</f>
        <v>0</v>
      </c>
      <c r="P54" s="28" t="n">
        <f aca="false">P53*(1+K54)</f>
        <v>110.269673428749</v>
      </c>
      <c r="Q54" s="28" t="n">
        <f aca="false">MAX(Q53,P54)</f>
        <v>110.743446445297</v>
      </c>
      <c r="R54" s="29" t="n">
        <f aca="false">P54/Q54-1</f>
        <v>-0.00427811334896722</v>
      </c>
      <c r="S54" s="26" t="n">
        <f aca="false">IF(A54=Inputs!$C$12,"",F54)</f>
        <v>0.0226454689928273</v>
      </c>
      <c r="T54" s="27" t="n">
        <f aca="false">IF(AND(A54&gt;Risk_Metrics!$C$28,P54&gt;=Risk_Metrics!$C$30),1,0)</f>
        <v>0</v>
      </c>
      <c r="U54" s="26" t="n">
        <f aca="false">IF(A54=Inputs!$C$12,"",K54)</f>
        <v>0.0127581444366629</v>
      </c>
    </row>
    <row r="55" customFormat="false" ht="15" hidden="false" customHeight="false" outlineLevel="0" collapsed="false">
      <c r="A55" s="25" t="n">
        <f aca="false">Prices!A56</f>
        <v>43781</v>
      </c>
      <c r="B55" s="26" t="n">
        <f aca="false">Prices!B56/Prices!B55-1</f>
        <v>-0.0158597824420774</v>
      </c>
      <c r="C55" s="26" t="n">
        <f aca="false">Prices!C56/Prices!C55-1</f>
        <v>-0.0179641306608306</v>
      </c>
      <c r="D55" s="26" t="n">
        <f aca="false">Prices!D56/Prices!D55-1</f>
        <v>-0.00888395335924486</v>
      </c>
      <c r="E55" s="26" t="n">
        <f aca="false">Prices!E56/Prices!E55-1</f>
        <v>-0.0199382610973384</v>
      </c>
      <c r="F55" s="26" t="n">
        <f aca="false">Prices!F56/Prices!F55-1</f>
        <v>-0.0186211156267154</v>
      </c>
      <c r="G55" s="26" t="n">
        <f aca="false">Prices!G56/Prices!G55-1</f>
        <v>-0.0113324171932548</v>
      </c>
      <c r="H55" s="26" t="n">
        <f aca="false">Prices!H56/Prices!H55-1</f>
        <v>-0.0141215430501956</v>
      </c>
      <c r="I55" s="26" t="n">
        <f aca="false">Prices!I56/Prices!I55-1</f>
        <v>-0.0103032747030944</v>
      </c>
      <c r="J55" s="26" t="n">
        <f aca="false">Prices!J56/Prices!J55-1</f>
        <v>-0.00477870341203612</v>
      </c>
      <c r="K55" s="26" t="n">
        <f aca="false">SUMPRODUCT(B55:J55,Optimization!$C$7:$K$7)</f>
        <v>-0.0135336868383098</v>
      </c>
      <c r="L55" s="26" t="n">
        <f aca="false">SUMPRODUCT(B55:J55,Optimization!$C$8:$K$8)</f>
        <v>-0.0106230787961771</v>
      </c>
      <c r="M55" s="26" t="n">
        <f aca="false">SUMPRODUCT(B55:J55,Optimization!$C$9:$K$9)</f>
        <v>-0.0107708926399605</v>
      </c>
      <c r="N55" s="26" t="n">
        <f aca="false">SUMPRODUCT(B55:J55,Optimization!$C$10:$K$10)</f>
        <v>-0.0108218608629527</v>
      </c>
      <c r="O55" s="27" t="n">
        <f aca="false">IF(AND(A55&gt;=Inputs!$C$6,A55&lt;=Inputs!$C$7),1,0)</f>
        <v>0</v>
      </c>
      <c r="P55" s="28" t="n">
        <f aca="false">P54*(1+K55)</f>
        <v>108.777318200802</v>
      </c>
      <c r="Q55" s="28" t="n">
        <f aca="false">MAX(Q54,P55)</f>
        <v>110.743446445297</v>
      </c>
      <c r="R55" s="29" t="n">
        <f aca="false">P55/Q55-1</f>
        <v>-0.0177539015409534</v>
      </c>
      <c r="S55" s="26" t="n">
        <f aca="false">IF(A55=Inputs!$C$12,"",F55)</f>
        <v>-0.0186211156267154</v>
      </c>
      <c r="T55" s="27" t="n">
        <f aca="false">IF(AND(A55&gt;Risk_Metrics!$C$28,P55&gt;=Risk_Metrics!$C$30),1,0)</f>
        <v>0</v>
      </c>
      <c r="U55" s="26" t="n">
        <f aca="false">IF(A55=Inputs!$C$12,"",K55)</f>
        <v>-0.0135336868383098</v>
      </c>
    </row>
    <row r="56" customFormat="false" ht="15" hidden="false" customHeight="false" outlineLevel="0" collapsed="false">
      <c r="A56" s="25" t="n">
        <f aca="false">Prices!A57</f>
        <v>43782</v>
      </c>
      <c r="B56" s="26" t="n">
        <f aca="false">Prices!B57/Prices!B56-1</f>
        <v>0.00763360462029517</v>
      </c>
      <c r="C56" s="26" t="n">
        <f aca="false">Prices!C57/Prices!C56-1</f>
        <v>0.00670731707317085</v>
      </c>
      <c r="D56" s="26" t="n">
        <f aca="false">Prices!D57/Prices!D56-1</f>
        <v>-0.0196078431372549</v>
      </c>
      <c r="E56" s="26" t="n">
        <f aca="false">Prices!E57/Prices!E56-1</f>
        <v>-0.00314847408863805</v>
      </c>
      <c r="F56" s="26" t="n">
        <f aca="false">Prices!F57/Prices!F56-1</f>
        <v>0.00307706430836952</v>
      </c>
      <c r="G56" s="26" t="n">
        <f aca="false">Prices!G57/Prices!G56-1</f>
        <v>-0.00764157667101162</v>
      </c>
      <c r="H56" s="26" t="n">
        <f aca="false">Prices!H57/Prices!H56-1</f>
        <v>-0.00399733510992673</v>
      </c>
      <c r="I56" s="26" t="n">
        <f aca="false">Prices!I57/Prices!I56-1</f>
        <v>-0.0106069237217552</v>
      </c>
      <c r="J56" s="26" t="n">
        <f aca="false">Prices!J57/Prices!J56-1</f>
        <v>-0.016283986793988</v>
      </c>
      <c r="K56" s="26" t="n">
        <f aca="false">SUMPRODUCT(B56:J56,Optimization!$C$7:$K$7)</f>
        <v>-0.00487423928008211</v>
      </c>
      <c r="L56" s="26" t="n">
        <f aca="false">SUMPRODUCT(B56:J56,Optimization!$C$8:$K$8)</f>
        <v>-0.0104664105762778</v>
      </c>
      <c r="M56" s="26" t="n">
        <f aca="false">SUMPRODUCT(B56:J56,Optimization!$C$9:$K$9)</f>
        <v>-0.00868326599876712</v>
      </c>
      <c r="N56" s="26" t="n">
        <f aca="false">SUMPRODUCT(B56:J56,Optimization!$C$10:$K$10)</f>
        <v>-0.01033071161679</v>
      </c>
      <c r="O56" s="27" t="n">
        <f aca="false">IF(AND(A56&gt;=Inputs!$C$6,A56&lt;=Inputs!$C$7),1,0)</f>
        <v>0</v>
      </c>
      <c r="P56" s="28" t="n">
        <f aca="false">P55*(1+K56)</f>
        <v>108.247111523645</v>
      </c>
      <c r="Q56" s="28" t="n">
        <f aca="false">MAX(Q55,P56)</f>
        <v>110.743446445297</v>
      </c>
      <c r="R56" s="29" t="n">
        <f aca="false">P56/Q56-1</f>
        <v>-0.0225416040567699</v>
      </c>
      <c r="S56" s="26" t="n">
        <f aca="false">IF(A56=Inputs!$C$12,"",F56)</f>
        <v>0.00307706430836952</v>
      </c>
      <c r="T56" s="27" t="n">
        <f aca="false">IF(AND(A56&gt;Risk_Metrics!$C$28,P56&gt;=Risk_Metrics!$C$30),1,0)</f>
        <v>0</v>
      </c>
      <c r="U56" s="26" t="n">
        <f aca="false">IF(A56=Inputs!$C$12,"",K56)</f>
        <v>-0.00487423928008211</v>
      </c>
    </row>
    <row r="57" customFormat="false" ht="15" hidden="false" customHeight="false" outlineLevel="0" collapsed="false">
      <c r="A57" s="25" t="n">
        <f aca="false">Prices!A58</f>
        <v>43783</v>
      </c>
      <c r="B57" s="26" t="n">
        <f aca="false">Prices!B58/Prices!B57-1</f>
        <v>0.0213804033205252</v>
      </c>
      <c r="C57" s="26" t="n">
        <f aca="false">Prices!C58/Prices!C57-1</f>
        <v>0.00545124167171407</v>
      </c>
      <c r="D57" s="26" t="n">
        <f aca="false">Prices!D58/Prices!D57-1</f>
        <v>0.00342851428571445</v>
      </c>
      <c r="E57" s="26" t="n">
        <f aca="false">Prices!E58/Prices!E57-1</f>
        <v>0.0143343108588188</v>
      </c>
      <c r="F57" s="26" t="n">
        <f aca="false">Prices!F58/Prices!F57-1</f>
        <v>0.0219835516447329</v>
      </c>
      <c r="G57" s="26" t="n">
        <f aca="false">Prices!G58/Prices!G57-1</f>
        <v>0.0276514175708786</v>
      </c>
      <c r="H57" s="26" t="n">
        <f aca="false">Prices!H58/Prices!H57-1</f>
        <v>-0.020066923076923</v>
      </c>
      <c r="I57" s="26" t="n">
        <f aca="false">Prices!I58/Prices!I57-1</f>
        <v>0.0136985710779673</v>
      </c>
      <c r="J57" s="26" t="n">
        <f aca="false">Prices!J58/Prices!J57-1</f>
        <v>-0.0025466681355405</v>
      </c>
      <c r="K57" s="26" t="n">
        <f aca="false">SUMPRODUCT(B57:J57,Optimization!$C$7:$K$7)</f>
        <v>0.00947937991309864</v>
      </c>
      <c r="L57" s="26" t="n">
        <f aca="false">SUMPRODUCT(B57:J57,Optimization!$C$8:$K$8)</f>
        <v>0.00653786301372111</v>
      </c>
      <c r="M57" s="26" t="n">
        <f aca="false">SUMPRODUCT(B57:J57,Optimization!$C$9:$K$9)</f>
        <v>0.00709960307113603</v>
      </c>
      <c r="N57" s="26" t="n">
        <f aca="false">SUMPRODUCT(B57:J57,Optimization!$C$10:$K$10)</f>
        <v>0.00638306545474251</v>
      </c>
      <c r="O57" s="27" t="n">
        <f aca="false">IF(AND(A57&gt;=Inputs!$C$6,A57&lt;=Inputs!$C$7),1,0)</f>
        <v>0</v>
      </c>
      <c r="P57" s="28" t="n">
        <f aca="false">P56*(1+K57)</f>
        <v>109.273227018274</v>
      </c>
      <c r="Q57" s="28" t="n">
        <f aca="false">MAX(Q56,P57)</f>
        <v>110.743446445297</v>
      </c>
      <c r="R57" s="29" t="n">
        <f aca="false">P57/Q57-1</f>
        <v>-0.013275904572376</v>
      </c>
      <c r="S57" s="26" t="n">
        <f aca="false">IF(A57=Inputs!$C$12,"",F57)</f>
        <v>0.0219835516447329</v>
      </c>
      <c r="T57" s="27" t="n">
        <f aca="false">IF(AND(A57&gt;Risk_Metrics!$C$28,P57&gt;=Risk_Metrics!$C$30),1,0)</f>
        <v>0</v>
      </c>
      <c r="U57" s="26" t="n">
        <f aca="false">IF(A57=Inputs!$C$12,"",K57)</f>
        <v>0.00947937991309864</v>
      </c>
    </row>
    <row r="58" customFormat="false" ht="15" hidden="false" customHeight="false" outlineLevel="0" collapsed="false">
      <c r="A58" s="25" t="n">
        <f aca="false">Prices!A59</f>
        <v>43787</v>
      </c>
      <c r="B58" s="26" t="n">
        <f aca="false">Prices!B59/Prices!B58-1</f>
        <v>-0.00642820195906391</v>
      </c>
      <c r="C58" s="26" t="n">
        <f aca="false">Prices!C59/Prices!C58-1</f>
        <v>-0.0152610843373495</v>
      </c>
      <c r="D58" s="26" t="n">
        <f aca="false">Prices!D59/Prices!D58-1</f>
        <v>0.00911161783095782</v>
      </c>
      <c r="E58" s="26" t="n">
        <f aca="false">Prices!E59/Prices!E58-1</f>
        <v>-0.0143713181153842</v>
      </c>
      <c r="F58" s="26" t="n">
        <f aca="false">Prices!F59/Prices!F58-1</f>
        <v>-0.0155077955607095</v>
      </c>
      <c r="G58" s="26" t="n">
        <f aca="false">Prices!G59/Prices!G58-1</f>
        <v>-0.00170306533708908</v>
      </c>
      <c r="H58" s="26" t="n">
        <f aca="false">Prices!H59/Prices!H58-1</f>
        <v>-0.0075084985497782</v>
      </c>
      <c r="I58" s="26" t="n">
        <f aca="false">Prices!I59/Prices!I58-1</f>
        <v>-0.00744217754180487</v>
      </c>
      <c r="J58" s="26" t="n">
        <f aca="false">Prices!J59/Prices!J58-1</f>
        <v>0.0129787446808509</v>
      </c>
      <c r="K58" s="26" t="n">
        <f aca="false">SUMPRODUCT(B58:J58,Optimization!$C$7:$K$7)</f>
        <v>-0.00512575320993005</v>
      </c>
      <c r="L58" s="26" t="n">
        <f aca="false">SUMPRODUCT(B58:J58,Optimization!$C$8:$K$8)</f>
        <v>0.00249999499863238</v>
      </c>
      <c r="M58" s="26" t="n">
        <f aca="false">SUMPRODUCT(B58:J58,Optimization!$C$9:$K$9)</f>
        <v>0.0012440112379683</v>
      </c>
      <c r="N58" s="26" t="n">
        <f aca="false">SUMPRODUCT(B58:J58,Optimization!$C$10:$K$10)</f>
        <v>0.00297320214288401</v>
      </c>
      <c r="O58" s="27" t="n">
        <f aca="false">IF(AND(A58&gt;=Inputs!$C$6,A58&lt;=Inputs!$C$7),1,0)</f>
        <v>0</v>
      </c>
      <c r="P58" s="28" t="n">
        <f aca="false">P57*(1+K58)</f>
        <v>108.713119424125</v>
      </c>
      <c r="Q58" s="28" t="n">
        <f aca="false">MAX(Q57,P58)</f>
        <v>110.743446445297</v>
      </c>
      <c r="R58" s="29" t="n">
        <f aca="false">P58/Q58-1</f>
        <v>-0.0183336087718295</v>
      </c>
      <c r="S58" s="26" t="n">
        <f aca="false">IF(A58=Inputs!$C$12,"",F58)</f>
        <v>-0.0155077955607095</v>
      </c>
      <c r="T58" s="27" t="n">
        <f aca="false">IF(AND(A58&gt;Risk_Metrics!$C$28,P58&gt;=Risk_Metrics!$C$30),1,0)</f>
        <v>0</v>
      </c>
      <c r="U58" s="26" t="n">
        <f aca="false">IF(A58=Inputs!$C$12,"",K58)</f>
        <v>-0.00512575320993005</v>
      </c>
    </row>
    <row r="59" customFormat="false" ht="15" hidden="false" customHeight="false" outlineLevel="0" collapsed="false">
      <c r="A59" s="25" t="n">
        <f aca="false">Prices!A60</f>
        <v>43788</v>
      </c>
      <c r="B59" s="26" t="n">
        <f aca="false">Prices!B60/Prices!B59-1</f>
        <v>-0.00447911420834612</v>
      </c>
      <c r="C59" s="26" t="n">
        <f aca="false">Prices!C60/Prices!C59-1</f>
        <v>-0.0224306289735166</v>
      </c>
      <c r="D59" s="26" t="n">
        <f aca="false">Prices!D60/Prices!D59-1</f>
        <v>-0.0107222353680722</v>
      </c>
      <c r="E59" s="26" t="n">
        <f aca="false">Prices!E60/Prices!E59-1</f>
        <v>-0.00315916048478615</v>
      </c>
      <c r="F59" s="26" t="n">
        <f aca="false">Prices!F60/Prices!F59-1</f>
        <v>0.0147358027219306</v>
      </c>
      <c r="G59" s="26" t="n">
        <f aca="false">Prices!G60/Prices!G59-1</f>
        <v>-0.0204708297670021</v>
      </c>
      <c r="H59" s="26" t="n">
        <f aca="false">Prices!H60/Prices!H59-1</f>
        <v>-0.0103163342503438</v>
      </c>
      <c r="I59" s="26" t="n">
        <f aca="false">Prices!I60/Prices!I59-1</f>
        <v>0.0157853453791368</v>
      </c>
      <c r="J59" s="26" t="n">
        <f aca="false">Prices!J60/Prices!J59-1</f>
        <v>0.011762171565592</v>
      </c>
      <c r="K59" s="26" t="n">
        <f aca="false">SUMPRODUCT(B59:J59,Optimization!$C$7:$K$7)</f>
        <v>-0.00325499815393416</v>
      </c>
      <c r="L59" s="26" t="n">
        <f aca="false">SUMPRODUCT(B59:J59,Optimization!$C$8:$K$8)</f>
        <v>-0.00492825611168228</v>
      </c>
      <c r="M59" s="26" t="n">
        <f aca="false">SUMPRODUCT(B59:J59,Optimization!$C$9:$K$9)</f>
        <v>-0.00244581771900459</v>
      </c>
      <c r="N59" s="26" t="n">
        <f aca="false">SUMPRODUCT(B59:J59,Optimization!$C$10:$K$10)</f>
        <v>-0.00698079791151917</v>
      </c>
      <c r="O59" s="27" t="n">
        <f aca="false">IF(AND(A59&gt;=Inputs!$C$6,A59&lt;=Inputs!$C$7),1,0)</f>
        <v>0</v>
      </c>
      <c r="P59" s="28" t="n">
        <f aca="false">P58*(1+K59)</f>
        <v>108.359258421091</v>
      </c>
      <c r="Q59" s="28" t="n">
        <f aca="false">MAX(Q58,P59)</f>
        <v>110.743446445297</v>
      </c>
      <c r="R59" s="29" t="n">
        <f aca="false">P59/Q59-1</f>
        <v>-0.0215289310630565</v>
      </c>
      <c r="S59" s="26" t="n">
        <f aca="false">IF(A59=Inputs!$C$12,"",F59)</f>
        <v>0.0147358027219306</v>
      </c>
      <c r="T59" s="27" t="n">
        <f aca="false">IF(AND(A59&gt;Risk_Metrics!$C$28,P59&gt;=Risk_Metrics!$C$30),1,0)</f>
        <v>0</v>
      </c>
      <c r="U59" s="26" t="n">
        <f aca="false">IF(A59=Inputs!$C$12,"",K59)</f>
        <v>-0.00325499815393416</v>
      </c>
    </row>
    <row r="60" customFormat="false" ht="15" hidden="false" customHeight="false" outlineLevel="0" collapsed="false">
      <c r="A60" s="25" t="n">
        <f aca="false">Prices!A61</f>
        <v>43790</v>
      </c>
      <c r="B60" s="26" t="n">
        <f aca="false">Prices!B61/Prices!B60-1</f>
        <v>0.0521579920732542</v>
      </c>
      <c r="C60" s="26" t="n">
        <f aca="false">Prices!C61/Prices!C60-1</f>
        <v>0.0196078222778473</v>
      </c>
      <c r="D60" s="26" t="n">
        <f aca="false">Prices!D61/Prices!D60-1</f>
        <v>0.00399309731927588</v>
      </c>
      <c r="E60" s="26" t="n">
        <f aca="false">Prices!E61/Prices!E60-1</f>
        <v>0.0560701801377164</v>
      </c>
      <c r="F60" s="26" t="n">
        <f aca="false">Prices!F61/Prices!F60-1</f>
        <v>0.0215322642035127</v>
      </c>
      <c r="G60" s="26" t="n">
        <f aca="false">Prices!G61/Prices!G60-1</f>
        <v>0.0292580992427063</v>
      </c>
      <c r="H60" s="26" t="n">
        <f aca="false">Prices!H61/Prices!H60-1</f>
        <v>0.0371785602092232</v>
      </c>
      <c r="I60" s="26" t="n">
        <f aca="false">Prices!I61/Prices!I60-1</f>
        <v>-0.0122377868569051</v>
      </c>
      <c r="J60" s="26" t="n">
        <f aca="false">Prices!J61/Prices!J60-1</f>
        <v>0.0051899524679242</v>
      </c>
      <c r="K60" s="26" t="n">
        <f aca="false">SUMPRODUCT(B60:J60,Optimization!$C$7:$K$7)</f>
        <v>0.0236389090082839</v>
      </c>
      <c r="L60" s="26" t="n">
        <f aca="false">SUMPRODUCT(B60:J60,Optimization!$C$8:$K$8)</f>
        <v>0.0121754160502267</v>
      </c>
      <c r="M60" s="26" t="n">
        <f aca="false">SUMPRODUCT(B60:J60,Optimization!$C$9:$K$9)</f>
        <v>0.013244169232933</v>
      </c>
      <c r="N60" s="26" t="n">
        <f aca="false">SUMPRODUCT(B60:J60,Optimization!$C$10:$K$10)</f>
        <v>0.0143098790421243</v>
      </c>
      <c r="O60" s="27" t="n">
        <f aca="false">IF(AND(A60&gt;=Inputs!$C$6,A60&lt;=Inputs!$C$7),1,0)</f>
        <v>0</v>
      </c>
      <c r="P60" s="28" t="n">
        <f aca="false">P59*(1+K60)</f>
        <v>110.920753071113</v>
      </c>
      <c r="Q60" s="28" t="n">
        <f aca="false">MAX(Q59,P60)</f>
        <v>110.920753071113</v>
      </c>
      <c r="R60" s="29" t="n">
        <f aca="false">P60/Q60-1</f>
        <v>0</v>
      </c>
      <c r="S60" s="26" t="n">
        <f aca="false">IF(A60=Inputs!$C$12,"",F60)</f>
        <v>0.0215322642035127</v>
      </c>
      <c r="T60" s="27" t="n">
        <f aca="false">IF(AND(A60&gt;Risk_Metrics!$C$28,P60&gt;=Risk_Metrics!$C$30),1,0)</f>
        <v>0</v>
      </c>
      <c r="U60" s="26" t="n">
        <f aca="false">IF(A60=Inputs!$C$12,"",K60)</f>
        <v>0.0236389090082839</v>
      </c>
    </row>
    <row r="61" customFormat="false" ht="15" hidden="false" customHeight="false" outlineLevel="0" collapsed="false">
      <c r="A61" s="25" t="n">
        <f aca="false">Prices!A62</f>
        <v>43791</v>
      </c>
      <c r="B61" s="26" t="n">
        <f aca="false">Prices!B62/Prices!B61-1</f>
        <v>0.0247069690324193</v>
      </c>
      <c r="C61" s="26" t="n">
        <f aca="false">Prices!C62/Prices!C61-1</f>
        <v>0.0124795215319051</v>
      </c>
      <c r="D61" s="26" t="n">
        <f aca="false">Prices!D62/Prices!D61-1</f>
        <v>-0.00170454545454557</v>
      </c>
      <c r="E61" s="26" t="n">
        <f aca="false">Prices!E62/Prices!E61-1</f>
        <v>0.0219298278569522</v>
      </c>
      <c r="F61" s="26" t="n">
        <f aca="false">Prices!F62/Prices!F61-1</f>
        <v>-0.00294106550947615</v>
      </c>
      <c r="G61" s="26" t="n">
        <f aca="false">Prices!G62/Prices!G61-1</f>
        <v>-0.00169201359363835</v>
      </c>
      <c r="H61" s="26" t="n">
        <f aca="false">Prices!H62/Prices!H61-1</f>
        <v>0.00435510887772184</v>
      </c>
      <c r="I61" s="26" t="n">
        <f aca="false">Prices!I62/Prices!I61-1</f>
        <v>0.0129793875845075</v>
      </c>
      <c r="J61" s="26" t="n">
        <f aca="false">Prices!J62/Prices!J61-1</f>
        <v>0.0332507448678538</v>
      </c>
      <c r="K61" s="26" t="n">
        <f aca="false">SUMPRODUCT(B61:J61,Optimization!$C$7:$K$7)</f>
        <v>0.0114848816881889</v>
      </c>
      <c r="L61" s="26" t="n">
        <f aca="false">SUMPRODUCT(B61:J61,Optimization!$C$8:$K$8)</f>
        <v>0.0115163931756962</v>
      </c>
      <c r="M61" s="26" t="n">
        <f aca="false">SUMPRODUCT(B61:J61,Optimization!$C$9:$K$9)</f>
        <v>0.0152977069761209</v>
      </c>
      <c r="N61" s="26" t="n">
        <f aca="false">SUMPRODUCT(B61:J61,Optimization!$C$10:$K$10)</f>
        <v>0.0106073055410655</v>
      </c>
      <c r="O61" s="27" t="n">
        <f aca="false">IF(AND(A61&gt;=Inputs!$C$6,A61&lt;=Inputs!$C$7),1,0)</f>
        <v>0</v>
      </c>
      <c r="P61" s="28" t="n">
        <f aca="false">P60*(1+K61)</f>
        <v>112.194664796899</v>
      </c>
      <c r="Q61" s="28" t="n">
        <f aca="false">MAX(Q60,P61)</f>
        <v>112.194664796899</v>
      </c>
      <c r="R61" s="29" t="n">
        <f aca="false">P61/Q61-1</f>
        <v>0</v>
      </c>
      <c r="S61" s="26" t="n">
        <f aca="false">IF(A61=Inputs!$C$12,"",F61)</f>
        <v>-0.00294106550947615</v>
      </c>
      <c r="T61" s="27" t="n">
        <f aca="false">IF(AND(A61&gt;Risk_Metrics!$C$28,P61&gt;=Risk_Metrics!$C$30),1,0)</f>
        <v>0</v>
      </c>
      <c r="U61" s="26" t="n">
        <f aca="false">IF(A61=Inputs!$C$12,"",K61)</f>
        <v>0.0114848816881889</v>
      </c>
    </row>
    <row r="62" customFormat="false" ht="15" hidden="false" customHeight="false" outlineLevel="0" collapsed="false">
      <c r="A62" s="25" t="n">
        <f aca="false">Prices!A63</f>
        <v>43794</v>
      </c>
      <c r="B62" s="26" t="n">
        <f aca="false">Prices!B63/Prices!B62-1</f>
        <v>-0.0262750707700959</v>
      </c>
      <c r="C62" s="26" t="n">
        <f aca="false">Prices!C63/Prices!C62-1</f>
        <v>-0.034754477056152</v>
      </c>
      <c r="D62" s="26" t="n">
        <f aca="false">Prices!D63/Prices!D62-1</f>
        <v>0.0022766647694934</v>
      </c>
      <c r="E62" s="26" t="n">
        <f aca="false">Prices!E63/Prices!E62-1</f>
        <v>-0.0047436189016421</v>
      </c>
      <c r="F62" s="26" t="n">
        <f aca="false">Prices!F63/Prices!F62-1</f>
        <v>0.0127826051866069</v>
      </c>
      <c r="G62" s="26" t="n">
        <f aca="false">Prices!G63/Prices!G62-1</f>
        <v>-0.00881355932203398</v>
      </c>
      <c r="H62" s="26" t="n">
        <f aca="false">Prices!H63/Prices!H62-1</f>
        <v>-0.00833889259506337</v>
      </c>
      <c r="I62" s="26" t="n">
        <f aca="false">Prices!I63/Prices!I62-1</f>
        <v>0.0205785239985876</v>
      </c>
      <c r="J62" s="26" t="n">
        <f aca="false">Prices!J63/Prices!J62-1</f>
        <v>0.0165900862800337</v>
      </c>
      <c r="K62" s="26" t="n">
        <f aca="false">SUMPRODUCT(B62:J62,Optimization!$C$7:$K$7)</f>
        <v>-0.00341085982336287</v>
      </c>
      <c r="L62" s="26" t="n">
        <f aca="false">SUMPRODUCT(B62:J62,Optimization!$C$8:$K$8)</f>
        <v>-0.00284903564454697</v>
      </c>
      <c r="M62" s="26" t="n">
        <f aca="false">SUMPRODUCT(B62:J62,Optimization!$C$9:$K$9)</f>
        <v>-0.00261088977897234</v>
      </c>
      <c r="N62" s="26" t="n">
        <f aca="false">SUMPRODUCT(B62:J62,Optimization!$C$10:$K$10)</f>
        <v>-0.00515001709768817</v>
      </c>
      <c r="O62" s="27" t="n">
        <f aca="false">IF(AND(A62&gt;=Inputs!$C$6,A62&lt;=Inputs!$C$7),1,0)</f>
        <v>0</v>
      </c>
      <c r="P62" s="28" t="n">
        <f aca="false">P61*(1+K62)</f>
        <v>111.811984522348</v>
      </c>
      <c r="Q62" s="28" t="n">
        <f aca="false">MAX(Q61,P62)</f>
        <v>112.194664796899</v>
      </c>
      <c r="R62" s="29" t="n">
        <f aca="false">P62/Q62-1</f>
        <v>-0.00341085982336287</v>
      </c>
      <c r="S62" s="26" t="n">
        <f aca="false">IF(A62=Inputs!$C$12,"",F62)</f>
        <v>0.0127826051866069</v>
      </c>
      <c r="T62" s="27" t="n">
        <f aca="false">IF(AND(A62&gt;Risk_Metrics!$C$28,P62&gt;=Risk_Metrics!$C$30),1,0)</f>
        <v>0</v>
      </c>
      <c r="U62" s="26" t="n">
        <f aca="false">IF(A62=Inputs!$C$12,"",K62)</f>
        <v>-0.00341085982336287</v>
      </c>
    </row>
    <row r="63" customFormat="false" ht="15" hidden="false" customHeight="false" outlineLevel="0" collapsed="false">
      <c r="A63" s="25" t="n">
        <f aca="false">Prices!A64</f>
        <v>43795</v>
      </c>
      <c r="B63" s="26" t="n">
        <f aca="false">Prices!B64/Prices!B63-1</f>
        <v>-0.00476188888888884</v>
      </c>
      <c r="C63" s="26" t="n">
        <f aca="false">Prices!C64/Prices!C63-1</f>
        <v>-0.0265857028801696</v>
      </c>
      <c r="D63" s="26" t="n">
        <f aca="false">Prices!D64/Prices!D63-1</f>
        <v>-0.0102215212821397</v>
      </c>
      <c r="E63" s="26" t="n">
        <f aca="false">Prices!E64/Prices!E63-1</f>
        <v>-0.012255950355731</v>
      </c>
      <c r="F63" s="26" t="n">
        <f aca="false">Prices!F64/Prices!F63-1</f>
        <v>-0.00631070928686006</v>
      </c>
      <c r="G63" s="26" t="n">
        <f aca="false">Prices!G64/Prices!G63-1</f>
        <v>-0.0253077975376197</v>
      </c>
      <c r="H63" s="26" t="n">
        <f aca="false">Prices!H64/Prices!H63-1</f>
        <v>-0.0181634376051127</v>
      </c>
      <c r="I63" s="26" t="n">
        <f aca="false">Prices!I64/Prices!I63-1</f>
        <v>-0.00836980911203245</v>
      </c>
      <c r="J63" s="26" t="n">
        <f aca="false">Prices!J64/Prices!J63-1</f>
        <v>0.0070782538915013</v>
      </c>
      <c r="K63" s="26" t="n">
        <f aca="false">SUMPRODUCT(B63:J63,Optimization!$C$7:$K$7)</f>
        <v>-0.0116553958952281</v>
      </c>
      <c r="L63" s="26" t="n">
        <f aca="false">SUMPRODUCT(B63:J63,Optimization!$C$8:$K$8)</f>
        <v>-0.00845382324409287</v>
      </c>
      <c r="M63" s="26" t="n">
        <f aca="false">SUMPRODUCT(B63:J63,Optimization!$C$9:$K$9)</f>
        <v>-0.00738218717064301</v>
      </c>
      <c r="N63" s="26" t="n">
        <f aca="false">SUMPRODUCT(B63:J63,Optimization!$C$10:$K$10)</f>
        <v>-0.00889584407645918</v>
      </c>
      <c r="O63" s="27" t="n">
        <f aca="false">IF(AND(A63&gt;=Inputs!$C$6,A63&lt;=Inputs!$C$7),1,0)</f>
        <v>0</v>
      </c>
      <c r="P63" s="28" t="n">
        <f aca="false">P62*(1+K63)</f>
        <v>110.508771576909</v>
      </c>
      <c r="Q63" s="28" t="n">
        <f aca="false">MAX(Q62,P63)</f>
        <v>112.194664796899</v>
      </c>
      <c r="R63" s="29" t="n">
        <f aca="false">P63/Q63-1</f>
        <v>-0.0150265007970065</v>
      </c>
      <c r="S63" s="26" t="n">
        <f aca="false">IF(A63=Inputs!$C$12,"",F63)</f>
        <v>-0.00631070928686006</v>
      </c>
      <c r="T63" s="27" t="n">
        <f aca="false">IF(AND(A63&gt;Risk_Metrics!$C$28,P63&gt;=Risk_Metrics!$C$30),1,0)</f>
        <v>0</v>
      </c>
      <c r="U63" s="26" t="n">
        <f aca="false">IF(A63=Inputs!$C$12,"",K63)</f>
        <v>-0.0116553958952281</v>
      </c>
    </row>
    <row r="64" customFormat="false" ht="15" hidden="false" customHeight="false" outlineLevel="0" collapsed="false">
      <c r="A64" s="25" t="n">
        <f aca="false">Prices!A65</f>
        <v>43796</v>
      </c>
      <c r="B64" s="26" t="n">
        <f aca="false">Prices!B65/Prices!B64-1</f>
        <v>-0.00797448153150748</v>
      </c>
      <c r="C64" s="26" t="n">
        <f aca="false">Prices!C65/Prices!C64-1</f>
        <v>0.0204300645161291</v>
      </c>
      <c r="D64" s="26" t="n">
        <f aca="false">Prices!D65/Prices!D64-1</f>
        <v>0.0258174985656914</v>
      </c>
      <c r="E64" s="26" t="n">
        <f aca="false">Prices!E65/Prices!E64-1</f>
        <v>-0.00574455179814914</v>
      </c>
      <c r="F64" s="26" t="n">
        <f aca="false">Prices!F65/Prices!F64-1</f>
        <v>0.0410357807208064</v>
      </c>
      <c r="G64" s="26" t="n">
        <f aca="false">Prices!G65/Prices!G64-1</f>
        <v>0</v>
      </c>
      <c r="H64" s="26" t="n">
        <f aca="false">Prices!H65/Prices!H64-1</f>
        <v>0.00479612864692935</v>
      </c>
      <c r="I64" s="26" t="n">
        <f aca="false">Prices!I65/Prices!I64-1</f>
        <v>0.00498750243598001</v>
      </c>
      <c r="J64" s="26" t="n">
        <f aca="false">Prices!J65/Prices!J64-1</f>
        <v>-0.0124950993265307</v>
      </c>
      <c r="K64" s="26" t="n">
        <f aca="false">SUMPRODUCT(B64:J64,Optimization!$C$7:$K$7)</f>
        <v>0.0078725380254832</v>
      </c>
      <c r="L64" s="26" t="n">
        <f aca="false">SUMPRODUCT(B64:J64,Optimization!$C$8:$K$8)</f>
        <v>0.0114209144376124</v>
      </c>
      <c r="M64" s="26" t="n">
        <f aca="false">SUMPRODUCT(B64:J64,Optimization!$C$9:$K$9)</f>
        <v>0.00715549879981277</v>
      </c>
      <c r="N64" s="26" t="n">
        <f aca="false">SUMPRODUCT(B64:J64,Optimization!$C$10:$K$10)</f>
        <v>0.012694636525134</v>
      </c>
      <c r="O64" s="27" t="n">
        <f aca="false">IF(AND(A64&gt;=Inputs!$C$6,A64&lt;=Inputs!$C$7),1,0)</f>
        <v>0</v>
      </c>
      <c r="P64" s="28" t="n">
        <f aca="false">P63*(1+K64)</f>
        <v>111.378756083297</v>
      </c>
      <c r="Q64" s="28" t="n">
        <f aca="false">MAX(Q63,P64)</f>
        <v>112.194664796899</v>
      </c>
      <c r="R64" s="29" t="n">
        <f aca="false">P64/Q64-1</f>
        <v>-0.00727225947043775</v>
      </c>
      <c r="S64" s="26" t="n">
        <f aca="false">IF(A64=Inputs!$C$12,"",F64)</f>
        <v>0.0410357807208064</v>
      </c>
      <c r="T64" s="27" t="n">
        <f aca="false">IF(AND(A64&gt;Risk_Metrics!$C$28,P64&gt;=Risk_Metrics!$C$30),1,0)</f>
        <v>0</v>
      </c>
      <c r="U64" s="26" t="n">
        <f aca="false">IF(A64=Inputs!$C$12,"",K64)</f>
        <v>0.0078725380254832</v>
      </c>
    </row>
    <row r="65" customFormat="false" ht="15" hidden="false" customHeight="false" outlineLevel="0" collapsed="false">
      <c r="A65" s="25" t="n">
        <f aca="false">Prices!A66</f>
        <v>43797</v>
      </c>
      <c r="B65" s="26" t="n">
        <f aca="false">Prices!B66/Prices!B65-1</f>
        <v>0.00128614145842221</v>
      </c>
      <c r="C65" s="26" t="n">
        <f aca="false">Prices!C66/Prices!C65-1</f>
        <v>0.014752350463745</v>
      </c>
      <c r="D65" s="26" t="n">
        <f aca="false">Prices!D66/Prices!D65-1</f>
        <v>-0.0128634794666377</v>
      </c>
      <c r="E65" s="26" t="n">
        <f aca="false">Prices!E66/Prices!E65-1</f>
        <v>0.0342038182340481</v>
      </c>
      <c r="F65" s="26" t="n">
        <f aca="false">Prices!F66/Prices!F65-1</f>
        <v>0.0314406022917055</v>
      </c>
      <c r="G65" s="26" t="n">
        <f aca="false">Prices!G66/Prices!G65-1</f>
        <v>0.018947403508772</v>
      </c>
      <c r="H65" s="26" t="n">
        <f aca="false">Prices!H66/Prices!H65-1</f>
        <v>0.00681899079440851</v>
      </c>
      <c r="I65" s="26" t="n">
        <f aca="false">Prices!I66/Prices!I65-1</f>
        <v>0.0162245137282799</v>
      </c>
      <c r="J65" s="26" t="n">
        <f aca="false">Prices!J66/Prices!J65-1</f>
        <v>-0.0041518978192211</v>
      </c>
      <c r="K65" s="26" t="n">
        <f aca="false">SUMPRODUCT(B65:J65,Optimization!$C$7:$K$7)</f>
        <v>0.0118509381326136</v>
      </c>
      <c r="L65" s="26" t="n">
        <f aca="false">SUMPRODUCT(B65:J65,Optimization!$C$8:$K$8)</f>
        <v>-0.00272850198748343</v>
      </c>
      <c r="M65" s="26" t="n">
        <f aca="false">SUMPRODUCT(B65:J65,Optimization!$C$9:$K$9)</f>
        <v>-0.00013237283696141</v>
      </c>
      <c r="N65" s="26" t="n">
        <f aca="false">SUMPRODUCT(B65:J65,Optimization!$C$10:$K$10)</f>
        <v>-0.0042314841536397</v>
      </c>
      <c r="O65" s="27" t="n">
        <f aca="false">IF(AND(A65&gt;=Inputs!$C$6,A65&lt;=Inputs!$C$7),1,0)</f>
        <v>0</v>
      </c>
      <c r="P65" s="28" t="n">
        <f aca="false">P64*(1+K65)</f>
        <v>112.698698830928</v>
      </c>
      <c r="Q65" s="28" t="n">
        <f aca="false">MAX(Q64,P65)</f>
        <v>112.698698830928</v>
      </c>
      <c r="R65" s="29" t="n">
        <f aca="false">P65/Q65-1</f>
        <v>0</v>
      </c>
      <c r="S65" s="26" t="n">
        <f aca="false">IF(A65=Inputs!$C$12,"",F65)</f>
        <v>0.0314406022917055</v>
      </c>
      <c r="T65" s="27" t="n">
        <f aca="false">IF(AND(A65&gt;Risk_Metrics!$C$28,P65&gt;=Risk_Metrics!$C$30),1,0)</f>
        <v>0</v>
      </c>
      <c r="U65" s="26" t="n">
        <f aca="false">IF(A65=Inputs!$C$12,"",K65)</f>
        <v>0.0118509381326136</v>
      </c>
    </row>
    <row r="66" customFormat="false" ht="15" hidden="false" customHeight="false" outlineLevel="0" collapsed="false">
      <c r="A66" s="25" t="n">
        <f aca="false">Prices!A67</f>
        <v>43798</v>
      </c>
      <c r="B66" s="26" t="n">
        <f aca="false">Prices!B67/Prices!B66-1</f>
        <v>0.00353245028151017</v>
      </c>
      <c r="C66" s="26" t="n">
        <f aca="false">Prices!C67/Prices!C66-1</f>
        <v>-0.00893040554083524</v>
      </c>
      <c r="D66" s="26" t="n">
        <f aca="false">Prices!D67/Prices!D66-1</f>
        <v>-0.00623223796033989</v>
      </c>
      <c r="E66" s="26" t="n">
        <f aca="false">Prices!E67/Prices!E66-1</f>
        <v>0.0064804830798062</v>
      </c>
      <c r="F66" s="26" t="n">
        <f aca="false">Prices!F67/Prices!F66-1</f>
        <v>0.0136488035127327</v>
      </c>
      <c r="G66" s="26" t="n">
        <f aca="false">Prices!G67/Prices!G66-1</f>
        <v>-0.00413226569792469</v>
      </c>
      <c r="H66" s="26" t="n">
        <f aca="false">Prices!H67/Prices!H66-1</f>
        <v>-0.0128683029844801</v>
      </c>
      <c r="I66" s="26" t="n">
        <f aca="false">Prices!I67/Prices!I66-1</f>
        <v>-0.00864016396769352</v>
      </c>
      <c r="J66" s="26" t="n">
        <f aca="false">Prices!J67/Prices!J66-1</f>
        <v>-0.00774268429109959</v>
      </c>
      <c r="K66" s="26" t="n">
        <f aca="false">SUMPRODUCT(B66:J66,Optimization!$C$7:$K$7)</f>
        <v>-0.00276492484092488</v>
      </c>
      <c r="L66" s="26" t="n">
        <f aca="false">SUMPRODUCT(B66:J66,Optimization!$C$8:$K$8)</f>
        <v>-0.00553933457557692</v>
      </c>
      <c r="M66" s="26" t="n">
        <f aca="false">SUMPRODUCT(B66:J66,Optimization!$C$9:$K$9)</f>
        <v>-0.00547411231929051</v>
      </c>
      <c r="N66" s="26" t="n">
        <f aca="false">SUMPRODUCT(B66:J66,Optimization!$C$10:$K$10)</f>
        <v>-0.00517550053481692</v>
      </c>
      <c r="O66" s="27" t="n">
        <f aca="false">IF(AND(A66&gt;=Inputs!$C$6,A66&lt;=Inputs!$C$7),1,0)</f>
        <v>0</v>
      </c>
      <c r="P66" s="28" t="n">
        <f aca="false">P65*(1+K66)</f>
        <v>112.38709539899</v>
      </c>
      <c r="Q66" s="28" t="n">
        <f aca="false">MAX(Q65,P66)</f>
        <v>112.698698830928</v>
      </c>
      <c r="R66" s="29" t="n">
        <f aca="false">P66/Q66-1</f>
        <v>-0.00276492484092483</v>
      </c>
      <c r="S66" s="26" t="n">
        <f aca="false">IF(A66=Inputs!$C$12,"",F66)</f>
        <v>0.0136488035127327</v>
      </c>
      <c r="T66" s="27" t="n">
        <f aca="false">IF(AND(A66&gt;Risk_Metrics!$C$28,P66&gt;=Risk_Metrics!$C$30),1,0)</f>
        <v>0</v>
      </c>
      <c r="U66" s="26" t="n">
        <f aca="false">IF(A66=Inputs!$C$12,"",K66)</f>
        <v>-0.00276492484092488</v>
      </c>
    </row>
    <row r="67" customFormat="false" ht="15" hidden="false" customHeight="false" outlineLevel="0" collapsed="false">
      <c r="A67" s="25" t="n">
        <f aca="false">Prices!A68</f>
        <v>43801</v>
      </c>
      <c r="B67" s="26" t="n">
        <f aca="false">Prices!B68/Prices!B67-1</f>
        <v>0.00159996800000006</v>
      </c>
      <c r="C67" s="26" t="n">
        <f aca="false">Prices!C68/Prices!C67-1</f>
        <v>-0.00251466900732056</v>
      </c>
      <c r="D67" s="26" t="n">
        <f aca="false">Prices!D68/Prices!D67-1</f>
        <v>0.0256555857665002</v>
      </c>
      <c r="E67" s="26" t="n">
        <f aca="false">Prices!E68/Prices!E67-1</f>
        <v>-0.0106571738955541</v>
      </c>
      <c r="F67" s="26" t="n">
        <f aca="false">Prices!F68/Prices!F67-1</f>
        <v>0.0201974205158051</v>
      </c>
      <c r="G67" s="26" t="n">
        <f aca="false">Prices!G68/Prices!G67-1</f>
        <v>0.0145228215767634</v>
      </c>
      <c r="H67" s="26" t="n">
        <f aca="false">Prices!H68/Prices!H67-1</f>
        <v>-0.00274442538593478</v>
      </c>
      <c r="I67" s="26" t="n">
        <f aca="false">Prices!I68/Prices!I67-1</f>
        <v>0.0227358914833571</v>
      </c>
      <c r="J67" s="26" t="n">
        <f aca="false">Prices!J68/Prices!J67-1</f>
        <v>0.0272108843537415</v>
      </c>
      <c r="K67" s="26" t="n">
        <f aca="false">SUMPRODUCT(B67:J67,Optimization!$C$7:$K$7)</f>
        <v>0.010667367045262</v>
      </c>
      <c r="L67" s="26" t="n">
        <f aca="false">SUMPRODUCT(B67:J67,Optimization!$C$8:$K$8)</f>
        <v>0.0181806232267041</v>
      </c>
      <c r="M67" s="26" t="n">
        <f aca="false">SUMPRODUCT(B67:J67,Optimization!$C$9:$K$9)</f>
        <v>0.0170294081081888</v>
      </c>
      <c r="N67" s="26" t="n">
        <f aca="false">SUMPRODUCT(B67:J67,Optimization!$C$10:$K$10)</f>
        <v>0.0176220150894783</v>
      </c>
      <c r="O67" s="27" t="n">
        <f aca="false">IF(AND(A67&gt;=Inputs!$C$6,A67&lt;=Inputs!$C$7),1,0)</f>
        <v>0</v>
      </c>
      <c r="P67" s="28" t="n">
        <f aca="false">P66*(1+K67)</f>
        <v>113.585969796762</v>
      </c>
      <c r="Q67" s="28" t="n">
        <f aca="false">MAX(Q66,P67)</f>
        <v>113.585969796762</v>
      </c>
      <c r="R67" s="29" t="n">
        <f aca="false">P67/Q67-1</f>
        <v>0</v>
      </c>
      <c r="S67" s="26" t="n">
        <f aca="false">IF(A67=Inputs!$C$12,"",F67)</f>
        <v>0.0201974205158051</v>
      </c>
      <c r="T67" s="27" t="n">
        <f aca="false">IF(AND(A67&gt;Risk_Metrics!$C$28,P67&gt;=Risk_Metrics!$C$30),1,0)</f>
        <v>0</v>
      </c>
      <c r="U67" s="26" t="n">
        <f aca="false">IF(A67=Inputs!$C$12,"",K67)</f>
        <v>0.010667367045262</v>
      </c>
    </row>
    <row r="68" customFormat="false" ht="15" hidden="false" customHeight="false" outlineLevel="0" collapsed="false">
      <c r="A68" s="25" t="n">
        <f aca="false">Prices!A69</f>
        <v>43802</v>
      </c>
      <c r="B68" s="26" t="n">
        <f aca="false">Prices!B69/Prices!B68-1</f>
        <v>0.0292332597199125</v>
      </c>
      <c r="C68" s="26" t="n">
        <f aca="false">Prices!C69/Prices!C68-1</f>
        <v>0.0107143491896786</v>
      </c>
      <c r="D68" s="26" t="n">
        <f aca="false">Prices!D69/Prices!D68-1</f>
        <v>0.00444691495275174</v>
      </c>
      <c r="E68" s="26" t="n">
        <f aca="false">Prices!E69/Prices!E68-1</f>
        <v>0.00628367036739053</v>
      </c>
      <c r="F68" s="26" t="n">
        <f aca="false">Prices!F69/Prices!F68-1</f>
        <v>0.0118785894868618</v>
      </c>
      <c r="G68" s="26" t="n">
        <f aca="false">Prices!G69/Prices!G68-1</f>
        <v>-0.00409001363326511</v>
      </c>
      <c r="H68" s="26" t="n">
        <f aca="false">Prices!H69/Prices!H68-1</f>
        <v>-0.00309597523219818</v>
      </c>
      <c r="I68" s="26" t="n">
        <f aca="false">Prices!I69/Prices!I68-1</f>
        <v>0.00463133376347891</v>
      </c>
      <c r="J68" s="26" t="n">
        <f aca="false">Prices!J69/Prices!J68-1</f>
        <v>-0.0179197896377095</v>
      </c>
      <c r="K68" s="26" t="n">
        <f aca="false">SUMPRODUCT(B68:J68,Optimization!$C$7:$K$7)</f>
        <v>0.00467581544187793</v>
      </c>
      <c r="L68" s="26" t="n">
        <f aca="false">SUMPRODUCT(B68:J68,Optimization!$C$8:$K$8)</f>
        <v>0.00547454782800695</v>
      </c>
      <c r="M68" s="26" t="n">
        <f aca="false">SUMPRODUCT(B68:J68,Optimization!$C$9:$K$9)</f>
        <v>0.00483157505775066</v>
      </c>
      <c r="N68" s="26" t="n">
        <f aca="false">SUMPRODUCT(B68:J68,Optimization!$C$10:$K$10)</f>
        <v>0.00643347575059217</v>
      </c>
      <c r="O68" s="27" t="n">
        <f aca="false">IF(AND(A68&gt;=Inputs!$C$6,A68&lt;=Inputs!$C$7),1,0)</f>
        <v>0</v>
      </c>
      <c r="P68" s="28" t="n">
        <f aca="false">P67*(1+K68)</f>
        <v>114.117076828319</v>
      </c>
      <c r="Q68" s="28" t="n">
        <f aca="false">MAX(Q67,P68)</f>
        <v>114.117076828319</v>
      </c>
      <c r="R68" s="29" t="n">
        <f aca="false">P68/Q68-1</f>
        <v>0</v>
      </c>
      <c r="S68" s="26" t="n">
        <f aca="false">IF(A68=Inputs!$C$12,"",F68)</f>
        <v>0.0118785894868618</v>
      </c>
      <c r="T68" s="27" t="n">
        <f aca="false">IF(AND(A68&gt;Risk_Metrics!$C$28,P68&gt;=Risk_Metrics!$C$30),1,0)</f>
        <v>0</v>
      </c>
      <c r="U68" s="26" t="n">
        <f aca="false">IF(A68=Inputs!$C$12,"",K68)</f>
        <v>0.00467581544187793</v>
      </c>
    </row>
    <row r="69" customFormat="false" ht="15" hidden="false" customHeight="false" outlineLevel="0" collapsed="false">
      <c r="A69" s="25" t="n">
        <f aca="false">Prices!A70</f>
        <v>43803</v>
      </c>
      <c r="B69" s="26" t="n">
        <f aca="false">Prices!B70/Prices!B69-1</f>
        <v>0.00263849138600025</v>
      </c>
      <c r="C69" s="26" t="n">
        <f aca="false">Prices!C70/Prices!C69-1</f>
        <v>0.0263977545957648</v>
      </c>
      <c r="D69" s="26" t="n">
        <f aca="false">Prices!D70/Prices!D69-1</f>
        <v>-0.00553408965135582</v>
      </c>
      <c r="E69" s="26" t="n">
        <f aca="false">Prices!E70/Prices!E69-1</f>
        <v>-0.00981269957668896</v>
      </c>
      <c r="F69" s="26" t="n">
        <f aca="false">Prices!F70/Prices!F69-1</f>
        <v>0.00521741232124429</v>
      </c>
      <c r="G69" s="26" t="n">
        <f aca="false">Prices!G70/Prices!G69-1</f>
        <v>0.0191650246120816</v>
      </c>
      <c r="H69" s="26" t="n">
        <f aca="false">Prices!H70/Prices!H69-1</f>
        <v>0.0234644582470669</v>
      </c>
      <c r="I69" s="26" t="n">
        <f aca="false">Prices!I70/Prices!I69-1</f>
        <v>-0.0121703202935853</v>
      </c>
      <c r="J69" s="26" t="n">
        <f aca="false">Prices!J70/Prices!J69-1</f>
        <v>0.00991670011569612</v>
      </c>
      <c r="K69" s="26" t="n">
        <f aca="false">SUMPRODUCT(B69:J69,Optimization!$C$7:$K$7)</f>
        <v>0.00658697019513598</v>
      </c>
      <c r="L69" s="26" t="n">
        <f aca="false">SUMPRODUCT(B69:J69,Optimization!$C$8:$K$8)</f>
        <v>0.00180290390144216</v>
      </c>
      <c r="M69" s="26" t="n">
        <f aca="false">SUMPRODUCT(B69:J69,Optimization!$C$9:$K$9)</f>
        <v>0.0033254548404813</v>
      </c>
      <c r="N69" s="26" t="n">
        <f aca="false">SUMPRODUCT(B69:J69,Optimization!$C$10:$K$10)</f>
        <v>0.00235790911995964</v>
      </c>
      <c r="O69" s="27" t="n">
        <f aca="false">IF(AND(A69&gt;=Inputs!$C$6,A69&lt;=Inputs!$C$7),1,0)</f>
        <v>0</v>
      </c>
      <c r="P69" s="28" t="n">
        <f aca="false">P68*(1+K69)</f>
        <v>114.868762612143</v>
      </c>
      <c r="Q69" s="28" t="n">
        <f aca="false">MAX(Q68,P69)</f>
        <v>114.868762612143</v>
      </c>
      <c r="R69" s="29" t="n">
        <f aca="false">P69/Q69-1</f>
        <v>0</v>
      </c>
      <c r="S69" s="26" t="n">
        <f aca="false">IF(A69=Inputs!$C$12,"",F69)</f>
        <v>0.00521741232124429</v>
      </c>
      <c r="T69" s="27" t="n">
        <f aca="false">IF(AND(A69&gt;Risk_Metrics!$C$28,P69&gt;=Risk_Metrics!$C$30),1,0)</f>
        <v>0</v>
      </c>
      <c r="U69" s="26" t="n">
        <f aca="false">IF(A69=Inputs!$C$12,"",K69)</f>
        <v>0.00658697019513598</v>
      </c>
    </row>
    <row r="70" customFormat="false" ht="15" hidden="false" customHeight="false" outlineLevel="0" collapsed="false">
      <c r="A70" s="25" t="n">
        <f aca="false">Prices!A71</f>
        <v>43804</v>
      </c>
      <c r="B70" s="26" t="n">
        <f aca="false">Prices!B71/Prices!B70-1</f>
        <v>0.0123839632317018</v>
      </c>
      <c r="C70" s="26" t="n">
        <f aca="false">Prices!C71/Prices!C70-1</f>
        <v>-0.00263262470429071</v>
      </c>
      <c r="D70" s="26" t="n">
        <f aca="false">Prices!D71/Prices!D70-1</f>
        <v>0.0127992216360167</v>
      </c>
      <c r="E70" s="26" t="n">
        <f aca="false">Prices!E71/Prices!E70-1</f>
        <v>0.0144144193571951</v>
      </c>
      <c r="F70" s="26" t="n">
        <f aca="false">Prices!F71/Prices!F70-1</f>
        <v>-0.0034602070117552</v>
      </c>
      <c r="G70" s="26" t="n">
        <f aca="false">Prices!G71/Prices!G70-1</f>
        <v>0.0144391533096322</v>
      </c>
      <c r="H70" s="26" t="n">
        <f aca="false">Prices!H71/Prices!H70-1</f>
        <v>0.0131489885367497</v>
      </c>
      <c r="I70" s="26" t="n">
        <f aca="false">Prices!I71/Prices!I70-1</f>
        <v>-0.0169871624283938</v>
      </c>
      <c r="J70" s="26" t="n">
        <f aca="false">Prices!J71/Prices!J70-1</f>
        <v>0.000589218404918324</v>
      </c>
      <c r="K70" s="26" t="n">
        <f aca="false">SUMPRODUCT(B70:J70,Optimization!$C$7:$K$7)</f>
        <v>0.00496610781464156</v>
      </c>
      <c r="L70" s="26" t="n">
        <f aca="false">SUMPRODUCT(B70:J70,Optimization!$C$8:$K$8)</f>
        <v>0.00575871982292009</v>
      </c>
      <c r="M70" s="26" t="n">
        <f aca="false">SUMPRODUCT(B70:J70,Optimization!$C$9:$K$9)</f>
        <v>0.00353585174851942</v>
      </c>
      <c r="N70" s="26" t="n">
        <f aca="false">SUMPRODUCT(B70:J70,Optimization!$C$10:$K$10)</f>
        <v>0.00774880270322201</v>
      </c>
      <c r="O70" s="27" t="n">
        <f aca="false">IF(AND(A70&gt;=Inputs!$C$6,A70&lt;=Inputs!$C$7),1,0)</f>
        <v>0</v>
      </c>
      <c r="P70" s="28" t="n">
        <f aca="false">P69*(1+K70)</f>
        <v>115.439213271809</v>
      </c>
      <c r="Q70" s="28" t="n">
        <f aca="false">MAX(Q69,P70)</f>
        <v>115.439213271809</v>
      </c>
      <c r="R70" s="29" t="n">
        <f aca="false">P70/Q70-1</f>
        <v>0</v>
      </c>
      <c r="S70" s="26" t="n">
        <f aca="false">IF(A70=Inputs!$C$12,"",F70)</f>
        <v>-0.0034602070117552</v>
      </c>
      <c r="T70" s="27" t="n">
        <f aca="false">IF(AND(A70&gt;Risk_Metrics!$C$28,P70&gt;=Risk_Metrics!$C$30),1,0)</f>
        <v>0</v>
      </c>
      <c r="U70" s="26" t="n">
        <f aca="false">IF(A70=Inputs!$C$12,"",K70)</f>
        <v>0.00496610781464156</v>
      </c>
    </row>
    <row r="71" customFormat="false" ht="15" hidden="false" customHeight="false" outlineLevel="0" collapsed="false">
      <c r="A71" s="25" t="n">
        <f aca="false">Prices!A72</f>
        <v>43805</v>
      </c>
      <c r="B71" s="26" t="n">
        <f aca="false">Prices!B72/Prices!B71-1</f>
        <v>0.0412843412451271</v>
      </c>
      <c r="C71" s="26" t="n">
        <f aca="false">Prices!C72/Prices!C71-1</f>
        <v>-0.00304562448916235</v>
      </c>
      <c r="D71" s="26" t="n">
        <f aca="false">Prices!D72/Prices!D71-1</f>
        <v>0.0104394499758544</v>
      </c>
      <c r="E71" s="26" t="n">
        <f aca="false">Prices!E72/Prices!E71-1</f>
        <v>0.0146536315908454</v>
      </c>
      <c r="F71" s="26" t="n">
        <f aca="false">Prices!F72/Prices!F71-1</f>
        <v>0.0707464882337212</v>
      </c>
      <c r="G71" s="26" t="n">
        <f aca="false">Prices!G72/Prices!G71-1</f>
        <v>0.0105925855873084</v>
      </c>
      <c r="H71" s="26" t="n">
        <f aca="false">Prices!H72/Prices!H71-1</f>
        <v>0.00998339467498832</v>
      </c>
      <c r="I71" s="26" t="n">
        <f aca="false">Prices!I72/Prices!I71-1</f>
        <v>0.0172807127019401</v>
      </c>
      <c r="J71" s="26" t="n">
        <f aca="false">Prices!J72/Prices!J71-1</f>
        <v>0.00785077511578458</v>
      </c>
      <c r="K71" s="26" t="n">
        <f aca="false">SUMPRODUCT(B71:J71,Optimization!$C$7:$K$7)</f>
        <v>0.0199761949596008</v>
      </c>
      <c r="L71" s="26" t="n">
        <f aca="false">SUMPRODUCT(B71:J71,Optimization!$C$8:$K$8)</f>
        <v>0.0137726312232485</v>
      </c>
      <c r="M71" s="26" t="n">
        <f aca="false">SUMPRODUCT(B71:J71,Optimization!$C$9:$K$9)</f>
        <v>0.0145840769975886</v>
      </c>
      <c r="N71" s="26" t="n">
        <f aca="false">SUMPRODUCT(B71:J71,Optimization!$C$10:$K$10)</f>
        <v>0.0139257087286648</v>
      </c>
      <c r="O71" s="27" t="n">
        <f aca="false">IF(AND(A71&gt;=Inputs!$C$6,A71&lt;=Inputs!$C$7),1,0)</f>
        <v>0</v>
      </c>
      <c r="P71" s="28" t="n">
        <f aca="false">P70*(1+K71)</f>
        <v>117.74524950211</v>
      </c>
      <c r="Q71" s="28" t="n">
        <f aca="false">MAX(Q70,P71)</f>
        <v>117.74524950211</v>
      </c>
      <c r="R71" s="29" t="n">
        <f aca="false">P71/Q71-1</f>
        <v>0</v>
      </c>
      <c r="S71" s="26" t="n">
        <f aca="false">IF(A71=Inputs!$C$12,"",F71)</f>
        <v>0.0707464882337212</v>
      </c>
      <c r="T71" s="27" t="n">
        <f aca="false">IF(AND(A71&gt;Risk_Metrics!$C$28,P71&gt;=Risk_Metrics!$C$30),1,0)</f>
        <v>0</v>
      </c>
      <c r="U71" s="26" t="n">
        <f aca="false">IF(A71=Inputs!$C$12,"",K71)</f>
        <v>0.0199761949596008</v>
      </c>
    </row>
    <row r="72" customFormat="false" ht="15" hidden="false" customHeight="false" outlineLevel="0" collapsed="false">
      <c r="A72" s="25" t="n">
        <f aca="false">Prices!A73</f>
        <v>43808</v>
      </c>
      <c r="B72" s="26" t="n">
        <f aca="false">Prices!B73/Prices!B72-1</f>
        <v>0.00587374466589563</v>
      </c>
      <c r="C72" s="26" t="n">
        <f aca="false">Prices!C73/Prices!C72-1</f>
        <v>-0.029531608359845</v>
      </c>
      <c r="D72" s="26" t="n">
        <f aca="false">Prices!D73/Prices!D72-1</f>
        <v>-0.0168569340324598</v>
      </c>
      <c r="E72" s="26" t="n">
        <f aca="false">Prices!E73/Prices!E72-1</f>
        <v>-0.0122538220920375</v>
      </c>
      <c r="F72" s="26" t="n">
        <f aca="false">Prices!F73/Prices!F72-1</f>
        <v>0.0162140635798274</v>
      </c>
      <c r="G72" s="26" t="n">
        <f aca="false">Prices!G73/Prices!G72-1</f>
        <v>-0.00131021941335674</v>
      </c>
      <c r="H72" s="26" t="n">
        <f aca="false">Prices!H73/Prices!H72-1</f>
        <v>-0.00461288303130158</v>
      </c>
      <c r="I72" s="26" t="n">
        <f aca="false">Prices!I73/Prices!I72-1</f>
        <v>-0.0188538944340756</v>
      </c>
      <c r="J72" s="26" t="n">
        <f aca="false">Prices!J73/Prices!J72-1</f>
        <v>0.00175269724450633</v>
      </c>
      <c r="K72" s="26" t="n">
        <f aca="false">SUMPRODUCT(B72:J72,Optimization!$C$7:$K$7)</f>
        <v>-0.00661987287476077</v>
      </c>
      <c r="L72" s="26" t="n">
        <f aca="false">SUMPRODUCT(B72:J72,Optimization!$C$8:$K$8)</f>
        <v>-0.0120632340009997</v>
      </c>
      <c r="M72" s="26" t="n">
        <f aca="false">SUMPRODUCT(B72:J72,Optimization!$C$9:$K$9)</f>
        <v>-0.0104710465098962</v>
      </c>
      <c r="N72" s="26" t="n">
        <f aca="false">SUMPRODUCT(B72:J72,Optimization!$C$10:$K$10)</f>
        <v>-0.0118957528713708</v>
      </c>
      <c r="O72" s="27" t="n">
        <f aca="false">IF(AND(A72&gt;=Inputs!$C$6,A72&lt;=Inputs!$C$7),1,0)</f>
        <v>0</v>
      </c>
      <c r="P72" s="28" t="n">
        <f aca="false">P71*(1+K72)</f>
        <v>116.965790918799</v>
      </c>
      <c r="Q72" s="28" t="n">
        <f aca="false">MAX(Q71,P72)</f>
        <v>117.74524950211</v>
      </c>
      <c r="R72" s="29" t="n">
        <f aca="false">P72/Q72-1</f>
        <v>-0.00661987287476074</v>
      </c>
      <c r="S72" s="26" t="n">
        <f aca="false">IF(A72=Inputs!$C$12,"",F72)</f>
        <v>0.0162140635798274</v>
      </c>
      <c r="T72" s="27" t="n">
        <f aca="false">IF(AND(A72&gt;Risk_Metrics!$C$28,P72&gt;=Risk_Metrics!$C$30),1,0)</f>
        <v>0</v>
      </c>
      <c r="U72" s="26" t="n">
        <f aca="false">IF(A72=Inputs!$C$12,"",K72)</f>
        <v>-0.00661987287476077</v>
      </c>
    </row>
    <row r="73" customFormat="false" ht="15" hidden="false" customHeight="false" outlineLevel="0" collapsed="false">
      <c r="A73" s="25" t="n">
        <f aca="false">Prices!A74</f>
        <v>43809</v>
      </c>
      <c r="B73" s="26" t="n">
        <f aca="false">Prices!B74/Prices!B73-1</f>
        <v>-0.0277372554744526</v>
      </c>
      <c r="C73" s="26" t="n">
        <f aca="false">Prices!C74/Prices!C73-1</f>
        <v>-0.0180482899905202</v>
      </c>
      <c r="D73" s="26" t="n">
        <f aca="false">Prices!D74/Prices!D73-1</f>
        <v>0.0110620022123895</v>
      </c>
      <c r="E73" s="26" t="n">
        <f aca="false">Prices!E74/Prices!E73-1</f>
        <v>-0.015285781327143</v>
      </c>
      <c r="F73" s="26" t="n">
        <f aca="false">Prices!F74/Prices!F73-1</f>
        <v>-0.00538146662646555</v>
      </c>
      <c r="G73" s="26" t="n">
        <f aca="false">Prices!G74/Prices!G73-1</f>
        <v>0.00196782551656294</v>
      </c>
      <c r="H73" s="26" t="n">
        <f aca="false">Prices!H74/Prices!H73-1</f>
        <v>0.00761343951054072</v>
      </c>
      <c r="I73" s="26" t="n">
        <f aca="false">Prices!I74/Prices!I73-1</f>
        <v>-0.0251141440816737</v>
      </c>
      <c r="J73" s="26" t="n">
        <f aca="false">Prices!J74/Prices!J73-1</f>
        <v>-0.00466559107048192</v>
      </c>
      <c r="K73" s="26" t="n">
        <f aca="false">SUMPRODUCT(B73:J73,Optimization!$C$7:$K$7)</f>
        <v>-0.00839880681458264</v>
      </c>
      <c r="L73" s="26" t="n">
        <f aca="false">SUMPRODUCT(B73:J73,Optimization!$C$8:$K$8)</f>
        <v>-0.004996309508451</v>
      </c>
      <c r="M73" s="26" t="n">
        <f aca="false">SUMPRODUCT(B73:J73,Optimization!$C$9:$K$9)</f>
        <v>-0.0089725888909925</v>
      </c>
      <c r="N73" s="26" t="n">
        <f aca="false">SUMPRODUCT(B73:J73,Optimization!$C$10:$K$10)</f>
        <v>-0.0034410023688066</v>
      </c>
      <c r="O73" s="27" t="n">
        <f aca="false">IF(AND(A73&gt;=Inputs!$C$6,A73&lt;=Inputs!$C$7),1,0)</f>
        <v>0</v>
      </c>
      <c r="P73" s="28" t="n">
        <f aca="false">P72*(1+K73)</f>
        <v>115.983417836957</v>
      </c>
      <c r="Q73" s="28" t="n">
        <f aca="false">MAX(Q72,P73)</f>
        <v>117.74524950211</v>
      </c>
      <c r="R73" s="29" t="n">
        <f aca="false">P73/Q73-1</f>
        <v>-0.0149630806559312</v>
      </c>
      <c r="S73" s="26" t="n">
        <f aca="false">IF(A73=Inputs!$C$12,"",F73)</f>
        <v>-0.00538146662646555</v>
      </c>
      <c r="T73" s="27" t="n">
        <f aca="false">IF(AND(A73&gt;Risk_Metrics!$C$28,P73&gt;=Risk_Metrics!$C$30),1,0)</f>
        <v>0</v>
      </c>
      <c r="U73" s="26" t="n">
        <f aca="false">IF(A73=Inputs!$C$12,"",K73)</f>
        <v>-0.00839880681458264</v>
      </c>
    </row>
    <row r="74" customFormat="false" ht="15" hidden="false" customHeight="false" outlineLevel="0" collapsed="false">
      <c r="A74" s="25" t="n">
        <f aca="false">Prices!A75</f>
        <v>43810</v>
      </c>
      <c r="B74" s="26" t="n">
        <f aca="false">Prices!B75/Prices!B74-1</f>
        <v>-0.00900897924951893</v>
      </c>
      <c r="C74" s="26" t="n">
        <f aca="false">Prices!C75/Prices!C74-1</f>
        <v>-0.0126094897460778</v>
      </c>
      <c r="D74" s="26" t="n">
        <f aca="false">Prices!D75/Prices!D74-1</f>
        <v>0.0153171764049687</v>
      </c>
      <c r="E74" s="26" t="n">
        <f aca="false">Prices!E75/Prices!E74-1</f>
        <v>0.0260967646014729</v>
      </c>
      <c r="F74" s="26" t="n">
        <f aca="false">Prices!F75/Prices!F74-1</f>
        <v>-0.00603617706237425</v>
      </c>
      <c r="G74" s="26" t="n">
        <f aca="false">Prices!G75/Prices!G74-1</f>
        <v>-0.00327325706295434</v>
      </c>
      <c r="H74" s="26" t="n">
        <f aca="false">Prices!H75/Prices!H74-1</f>
        <v>-0.00131409325512177</v>
      </c>
      <c r="I74" s="26" t="n">
        <f aca="false">Prices!I75/Prices!I74-1</f>
        <v>0.0202966320712026</v>
      </c>
      <c r="J74" s="26" t="n">
        <f aca="false">Prices!J75/Prices!J74-1</f>
        <v>0.0123047067909237</v>
      </c>
      <c r="K74" s="26" t="n">
        <f aca="false">SUMPRODUCT(B74:J74,Optimization!$C$7:$K$7)</f>
        <v>0.00464147594361342</v>
      </c>
      <c r="L74" s="26" t="n">
        <f aca="false">SUMPRODUCT(B74:J74,Optimization!$C$8:$K$8)</f>
        <v>0.0078584909791331</v>
      </c>
      <c r="M74" s="26" t="n">
        <f aca="false">SUMPRODUCT(B74:J74,Optimization!$C$9:$K$9)</f>
        <v>0.00668417829251343</v>
      </c>
      <c r="N74" s="26" t="n">
        <f aca="false">SUMPRODUCT(B74:J74,Optimization!$C$10:$K$10)</f>
        <v>0.00687653828523209</v>
      </c>
      <c r="O74" s="27" t="n">
        <f aca="false">IF(AND(A74&gt;=Inputs!$C$6,A74&lt;=Inputs!$C$7),1,0)</f>
        <v>0</v>
      </c>
      <c r="P74" s="28" t="n">
        <f aca="false">P73*(1+K74)</f>
        <v>116.521752080705</v>
      </c>
      <c r="Q74" s="28" t="n">
        <f aca="false">MAX(Q73,P74)</f>
        <v>117.74524950211</v>
      </c>
      <c r="R74" s="29" t="n">
        <f aca="false">P74/Q74-1</f>
        <v>-0.0103910554912248</v>
      </c>
      <c r="S74" s="26" t="n">
        <f aca="false">IF(A74=Inputs!$C$12,"",F74)</f>
        <v>-0.00603617706237425</v>
      </c>
      <c r="T74" s="27" t="n">
        <f aca="false">IF(AND(A74&gt;Risk_Metrics!$C$28,P74&gt;=Risk_Metrics!$C$30),1,0)</f>
        <v>0</v>
      </c>
      <c r="U74" s="26" t="n">
        <f aca="false">IF(A74=Inputs!$C$12,"",K74)</f>
        <v>0.00464147594361342</v>
      </c>
    </row>
    <row r="75" customFormat="false" ht="15" hidden="false" customHeight="false" outlineLevel="0" collapsed="false">
      <c r="A75" s="25" t="n">
        <f aca="false">Prices!A76</f>
        <v>43811</v>
      </c>
      <c r="B75" s="26" t="n">
        <f aca="false">Prices!B76/Prices!B75-1</f>
        <v>-0.00560610606060596</v>
      </c>
      <c r="C75" s="26" t="n">
        <f aca="false">Prices!C76/Prices!C75-1</f>
        <v>0.010606038961039</v>
      </c>
      <c r="D75" s="26" t="n">
        <f aca="false">Prices!D76/Prices!D75-1</f>
        <v>0.0102371233963967</v>
      </c>
      <c r="E75" s="26" t="n">
        <f aca="false">Prices!E76/Prices!E75-1</f>
        <v>0.0256522529360461</v>
      </c>
      <c r="F75" s="26" t="n">
        <f aca="false">Prices!F76/Prices!F75-1</f>
        <v>0.0603238841974136</v>
      </c>
      <c r="G75" s="26" t="n">
        <f aca="false">Prices!G76/Prices!G75-1</f>
        <v>0.0114941868146408</v>
      </c>
      <c r="H75" s="26" t="n">
        <f aca="false">Prices!H76/Prices!H75-1</f>
        <v>0.0187499671052633</v>
      </c>
      <c r="I75" s="26" t="n">
        <f aca="false">Prices!I76/Prices!I75-1</f>
        <v>0.0233358977358675</v>
      </c>
      <c r="J75" s="26" t="n">
        <f aca="false">Prices!J76/Prices!J75-1</f>
        <v>0.0216090865672742</v>
      </c>
      <c r="K75" s="26" t="n">
        <f aca="false">SUMPRODUCT(B75:J75,Optimization!$C$7:$K$7)</f>
        <v>0.0196002590725928</v>
      </c>
      <c r="L75" s="26" t="n">
        <f aca="false">SUMPRODUCT(B75:J75,Optimization!$C$8:$K$8)</f>
        <v>0.0109748194936622</v>
      </c>
      <c r="M75" s="26" t="n">
        <f aca="false">SUMPRODUCT(B75:J75,Optimization!$C$9:$K$9)</f>
        <v>0.0118632827258191</v>
      </c>
      <c r="N75" s="26" t="n">
        <f aca="false">SUMPRODUCT(B75:J75,Optimization!$C$10:$K$10)</f>
        <v>0.00960755784259851</v>
      </c>
      <c r="O75" s="27" t="n">
        <f aca="false">IF(AND(A75&gt;=Inputs!$C$6,A75&lt;=Inputs!$C$7),1,0)</f>
        <v>0</v>
      </c>
      <c r="P75" s="28" t="n">
        <f aca="false">P74*(1+K75)</f>
        <v>118.80560860908</v>
      </c>
      <c r="Q75" s="28" t="n">
        <f aca="false">MAX(Q74,P75)</f>
        <v>118.80560860908</v>
      </c>
      <c r="R75" s="29" t="n">
        <f aca="false">P75/Q75-1</f>
        <v>0</v>
      </c>
      <c r="S75" s="26" t="n">
        <f aca="false">IF(A75=Inputs!$C$12,"",F75)</f>
        <v>0.0603238841974136</v>
      </c>
      <c r="T75" s="27" t="n">
        <f aca="false">IF(AND(A75&gt;Risk_Metrics!$C$28,P75&gt;=Risk_Metrics!$C$30),1,0)</f>
        <v>0</v>
      </c>
      <c r="U75" s="26" t="n">
        <f aca="false">IF(A75=Inputs!$C$12,"",K75)</f>
        <v>0.0196002590725928</v>
      </c>
    </row>
    <row r="76" customFormat="false" ht="15" hidden="false" customHeight="false" outlineLevel="0" collapsed="false">
      <c r="A76" s="25" t="n">
        <f aca="false">Prices!A77</f>
        <v>43812</v>
      </c>
      <c r="B76" s="26" t="n">
        <f aca="false">Prices!B77/Prices!B76-1</f>
        <v>-0.000457092813824223</v>
      </c>
      <c r="C76" s="26" t="n">
        <f aca="false">Prices!C77/Prices!C76-1</f>
        <v>-0.0062112016751168</v>
      </c>
      <c r="D76" s="26" t="n">
        <f aca="false">Prices!D77/Prices!D76-1</f>
        <v>0.00479999999999992</v>
      </c>
      <c r="E76" s="26" t="n">
        <f aca="false">Prices!E77/Prices!E76-1</f>
        <v>0.00106880934306997</v>
      </c>
      <c r="F76" s="26" t="n">
        <f aca="false">Prices!F77/Prices!F76-1</f>
        <v>0.0210003428407659</v>
      </c>
      <c r="G76" s="26" t="n">
        <f aca="false">Prices!G77/Prices!G76-1</f>
        <v>0.00162340914361714</v>
      </c>
      <c r="H76" s="26" t="n">
        <f aca="false">Prices!H77/Prices!H76-1</f>
        <v>-0.0319663878581333</v>
      </c>
      <c r="I76" s="26" t="n">
        <f aca="false">Prices!I77/Prices!I76-1</f>
        <v>0.000560738226910384</v>
      </c>
      <c r="J76" s="26" t="n">
        <f aca="false">Prices!J77/Prices!J76-1</f>
        <v>0.0152973934788028</v>
      </c>
      <c r="K76" s="26" t="n">
        <f aca="false">SUMPRODUCT(B76:J76,Optimization!$C$7:$K$7)</f>
        <v>0.000635112298454637</v>
      </c>
      <c r="L76" s="26" t="n">
        <f aca="false">SUMPRODUCT(B76:J76,Optimization!$C$8:$K$8)</f>
        <v>0.00385627955677509</v>
      </c>
      <c r="M76" s="26" t="n">
        <f aca="false">SUMPRODUCT(B76:J76,Optimization!$C$9:$K$9)</f>
        <v>0.00407116108977958</v>
      </c>
      <c r="N76" s="26" t="n">
        <f aca="false">SUMPRODUCT(B76:J76,Optimization!$C$10:$K$10)</f>
        <v>0.00374209143236757</v>
      </c>
      <c r="O76" s="27" t="n">
        <f aca="false">IF(AND(A76&gt;=Inputs!$C$6,A76&lt;=Inputs!$C$7),1,0)</f>
        <v>0</v>
      </c>
      <c r="P76" s="28" t="n">
        <f aca="false">P75*(1+K76)</f>
        <v>118.881063512233</v>
      </c>
      <c r="Q76" s="28" t="n">
        <f aca="false">MAX(Q75,P76)</f>
        <v>118.881063512233</v>
      </c>
      <c r="R76" s="29" t="n">
        <f aca="false">P76/Q76-1</f>
        <v>0</v>
      </c>
      <c r="S76" s="26" t="n">
        <f aca="false">IF(A76=Inputs!$C$12,"",F76)</f>
        <v>0.0210003428407659</v>
      </c>
      <c r="T76" s="27" t="n">
        <f aca="false">IF(AND(A76&gt;Risk_Metrics!$C$28,P76&gt;=Risk_Metrics!$C$30),1,0)</f>
        <v>0</v>
      </c>
      <c r="U76" s="26" t="n">
        <f aca="false">IF(A76=Inputs!$C$12,"",K76)</f>
        <v>0.000635112298454637</v>
      </c>
    </row>
    <row r="77" customFormat="false" ht="15" hidden="false" customHeight="false" outlineLevel="0" collapsed="false">
      <c r="A77" s="25" t="n">
        <f aca="false">Prices!A78</f>
        <v>43815</v>
      </c>
      <c r="B77" s="26" t="n">
        <f aca="false">Prices!B78/Prices!B77-1</f>
        <v>-0.0137195278573027</v>
      </c>
      <c r="C77" s="26" t="n">
        <f aca="false">Prices!C78/Prices!C77-1</f>
        <v>-0.00387931051203927</v>
      </c>
      <c r="D77" s="26" t="n">
        <f aca="false">Prices!D78/Prices!D77-1</f>
        <v>-0.00955414012738853</v>
      </c>
      <c r="E77" s="26" t="n">
        <f aca="false">Prices!E78/Prices!E77-1</f>
        <v>0.0143070858433669</v>
      </c>
      <c r="F77" s="26" t="n">
        <f aca="false">Prices!F78/Prices!F77-1</f>
        <v>-0.00897531787584138</v>
      </c>
      <c r="G77" s="26" t="n">
        <f aca="false">Prices!G78/Prices!G77-1</f>
        <v>0.00745542949756883</v>
      </c>
      <c r="H77" s="26" t="n">
        <f aca="false">Prices!H78/Prices!H77-1</f>
        <v>-0.0190126751167445</v>
      </c>
      <c r="I77" s="26" t="n">
        <f aca="false">Prices!I78/Prices!I77-1</f>
        <v>0.0162525576773795</v>
      </c>
      <c r="J77" s="26" t="n">
        <f aca="false">Prices!J78/Prices!J77-1</f>
        <v>-0.00781246308826122</v>
      </c>
      <c r="K77" s="26" t="n">
        <f aca="false">SUMPRODUCT(B77:J77,Optimization!$C$7:$K$7)</f>
        <v>-0.00277092906214026</v>
      </c>
      <c r="L77" s="26" t="n">
        <f aca="false">SUMPRODUCT(B77:J77,Optimization!$C$8:$K$8)</f>
        <v>-0.00662672442387207</v>
      </c>
      <c r="M77" s="26" t="n">
        <f aca="false">SUMPRODUCT(B77:J77,Optimization!$C$9:$K$9)</f>
        <v>-0.00554735308646878</v>
      </c>
      <c r="N77" s="26" t="n">
        <f aca="false">SUMPRODUCT(B77:J77,Optimization!$C$10:$K$10)</f>
        <v>-0.00834352073201907</v>
      </c>
      <c r="O77" s="27" t="n">
        <f aca="false">IF(AND(A77&gt;=Inputs!$C$6,A77&lt;=Inputs!$C$7),1,0)</f>
        <v>0</v>
      </c>
      <c r="P77" s="28" t="n">
        <f aca="false">P76*(1+K77)</f>
        <v>118.551652518408</v>
      </c>
      <c r="Q77" s="28" t="n">
        <f aca="false">MAX(Q76,P77)</f>
        <v>118.881063512233</v>
      </c>
      <c r="R77" s="29" t="n">
        <f aca="false">P77/Q77-1</f>
        <v>-0.00277092906214027</v>
      </c>
      <c r="S77" s="26" t="n">
        <f aca="false">IF(A77=Inputs!$C$12,"",F77)</f>
        <v>-0.00897531787584138</v>
      </c>
      <c r="T77" s="27" t="n">
        <f aca="false">IF(AND(A77&gt;Risk_Metrics!$C$28,P77&gt;=Risk_Metrics!$C$30),1,0)</f>
        <v>0</v>
      </c>
      <c r="U77" s="26" t="n">
        <f aca="false">IF(A77=Inputs!$C$12,"",K77)</f>
        <v>-0.00277092906214026</v>
      </c>
    </row>
    <row r="78" customFormat="false" ht="15" hidden="false" customHeight="false" outlineLevel="0" collapsed="false">
      <c r="A78" s="25" t="n">
        <f aca="false">Prices!A79</f>
        <v>43816</v>
      </c>
      <c r="B78" s="26" t="n">
        <f aca="false">Prices!B79/Prices!B78-1</f>
        <v>-0.00309114388366971</v>
      </c>
      <c r="C78" s="26" t="n">
        <f aca="false">Prices!C79/Prices!C78-1</f>
        <v>0.0339680239709228</v>
      </c>
      <c r="D78" s="26" t="n">
        <f aca="false">Prices!D79/Prices!D78-1</f>
        <v>0.00803853161843526</v>
      </c>
      <c r="E78" s="26" t="n">
        <f aca="false">Prices!E79/Prices!E78-1</f>
        <v>-0.00421050011523472</v>
      </c>
      <c r="F78" s="26" t="n">
        <f aca="false">Prices!F79/Prices!F78-1</f>
        <v>-0.0237735471698114</v>
      </c>
      <c r="G78" s="26" t="n">
        <f aca="false">Prices!G79/Prices!G78-1</f>
        <v>-0.0112612612612611</v>
      </c>
      <c r="H78" s="26" t="n">
        <f aca="false">Prices!H79/Prices!H78-1</f>
        <v>0.0149608976538593</v>
      </c>
      <c r="I78" s="26" t="n">
        <f aca="false">Prices!I79/Prices!I78-1</f>
        <v>0.00294119323502917</v>
      </c>
      <c r="J78" s="26" t="n">
        <f aca="false">Prices!J79/Prices!J78-1</f>
        <v>0.00149977502812138</v>
      </c>
      <c r="K78" s="26" t="n">
        <f aca="false">SUMPRODUCT(B78:J78,Optimization!$C$7:$K$7)</f>
        <v>0.00211910767515455</v>
      </c>
      <c r="L78" s="26" t="n">
        <f aca="false">SUMPRODUCT(B78:J78,Optimization!$C$8:$K$8)</f>
        <v>0.00808375252929583</v>
      </c>
      <c r="M78" s="26" t="n">
        <f aca="false">SUMPRODUCT(B78:J78,Optimization!$C$9:$K$9)</f>
        <v>0.00754378208534154</v>
      </c>
      <c r="N78" s="26" t="n">
        <f aca="false">SUMPRODUCT(B78:J78,Optimization!$C$10:$K$10)</f>
        <v>0.00849134797111017</v>
      </c>
      <c r="O78" s="27" t="n">
        <f aca="false">IF(AND(A78&gt;=Inputs!$C$6,A78&lt;=Inputs!$C$7),1,0)</f>
        <v>0</v>
      </c>
      <c r="P78" s="28" t="n">
        <f aca="false">P77*(1+K78)</f>
        <v>118.802876235162</v>
      </c>
      <c r="Q78" s="28" t="n">
        <f aca="false">MAX(Q77,P78)</f>
        <v>118.881063512233</v>
      </c>
      <c r="R78" s="29" t="n">
        <f aca="false">P78/Q78-1</f>
        <v>-0.000657693284028538</v>
      </c>
      <c r="S78" s="26" t="n">
        <f aca="false">IF(A78=Inputs!$C$12,"",F78)</f>
        <v>-0.0237735471698114</v>
      </c>
      <c r="T78" s="27" t="n">
        <f aca="false">IF(AND(A78&gt;Risk_Metrics!$C$28,P78&gt;=Risk_Metrics!$C$30),1,0)</f>
        <v>0</v>
      </c>
      <c r="U78" s="26" t="n">
        <f aca="false">IF(A78=Inputs!$C$12,"",K78)</f>
        <v>0.00211910767515455</v>
      </c>
    </row>
    <row r="79" customFormat="false" ht="15" hidden="false" customHeight="false" outlineLevel="0" collapsed="false">
      <c r="A79" s="25" t="n">
        <f aca="false">Prices!A80</f>
        <v>43817</v>
      </c>
      <c r="B79" s="26" t="n">
        <f aca="false">Prices!B80/Prices!B79-1</f>
        <v>-0.00775193798449614</v>
      </c>
      <c r="C79" s="26" t="n">
        <f aca="false">Prices!C80/Prices!C79-1</f>
        <v>0.0161121155053359</v>
      </c>
      <c r="D79" s="26" t="n">
        <f aca="false">Prices!D80/Prices!D79-1</f>
        <v>-0.00106315795125778</v>
      </c>
      <c r="E79" s="26" t="n">
        <f aca="false">Prices!E80/Prices!E79-1</f>
        <v>0.0217759122851753</v>
      </c>
      <c r="F79" s="26" t="n">
        <f aca="false">Prices!F80/Prices!F79-1</f>
        <v>-0.00657131787509391</v>
      </c>
      <c r="G79" s="26" t="n">
        <f aca="false">Prices!G80/Prices!G79-1</f>
        <v>0.0120403514480965</v>
      </c>
      <c r="H79" s="26" t="n">
        <f aca="false">Prices!H80/Prices!H79-1</f>
        <v>0.0231156113902846</v>
      </c>
      <c r="I79" s="26" t="n">
        <f aca="false">Prices!I80/Prices!I79-1</f>
        <v>0.00421552440034034</v>
      </c>
      <c r="J79" s="26" t="n">
        <f aca="false">Prices!J80/Prices!J79-1</f>
        <v>0.000936035227856236</v>
      </c>
      <c r="K79" s="26" t="n">
        <f aca="false">SUMPRODUCT(B79:J79,Optimization!$C$7:$K$7)</f>
        <v>0.00697879293847122</v>
      </c>
      <c r="L79" s="26" t="n">
        <f aca="false">SUMPRODUCT(B79:J79,Optimization!$C$8:$K$8)</f>
        <v>0.000976725710769367</v>
      </c>
      <c r="M79" s="26" t="n">
        <f aca="false">SUMPRODUCT(B79:J79,Optimization!$C$9:$K$9)</f>
        <v>0.00140284162468334</v>
      </c>
      <c r="N79" s="26" t="n">
        <f aca="false">SUMPRODUCT(B79:J79,Optimization!$C$10:$K$10)</f>
        <v>0.000595640322785305</v>
      </c>
      <c r="O79" s="27" t="n">
        <f aca="false">IF(AND(A79&gt;=Inputs!$C$6,A79&lt;=Inputs!$C$7),1,0)</f>
        <v>0</v>
      </c>
      <c r="P79" s="28" t="n">
        <f aca="false">P78*(1+K79)</f>
        <v>119.631976908902</v>
      </c>
      <c r="Q79" s="28" t="n">
        <f aca="false">MAX(Q78,P79)</f>
        <v>119.631976908902</v>
      </c>
      <c r="R79" s="29" t="n">
        <f aca="false">P79/Q79-1</f>
        <v>0</v>
      </c>
      <c r="S79" s="26" t="n">
        <f aca="false">IF(A79=Inputs!$C$12,"",F79)</f>
        <v>-0.00657131787509391</v>
      </c>
      <c r="T79" s="27" t="n">
        <f aca="false">IF(AND(A79&gt;Risk_Metrics!$C$28,P79&gt;=Risk_Metrics!$C$30),1,0)</f>
        <v>0</v>
      </c>
      <c r="U79" s="26" t="n">
        <f aca="false">IF(A79=Inputs!$C$12,"",K79)</f>
        <v>0.00697879293847122</v>
      </c>
    </row>
    <row r="80" customFormat="false" ht="15" hidden="false" customHeight="false" outlineLevel="0" collapsed="false">
      <c r="A80" s="25" t="n">
        <f aca="false">Prices!A81</f>
        <v>43818</v>
      </c>
      <c r="B80" s="26" t="n">
        <f aca="false">Prices!B81/Prices!B80-1</f>
        <v>0.01156246875</v>
      </c>
      <c r="C80" s="26" t="n">
        <f aca="false">Prices!C81/Prices!C80-1</f>
        <v>0</v>
      </c>
      <c r="D80" s="26" t="n">
        <f aca="false">Prices!D81/Prices!D80-1</f>
        <v>0.0117083016653379</v>
      </c>
      <c r="E80" s="26" t="n">
        <f aca="false">Prices!E81/Prices!E80-1</f>
        <v>0.0117938483948623</v>
      </c>
      <c r="F80" s="26" t="n">
        <f aca="false">Prices!F81/Prices!F80-1</f>
        <v>0.0058365367378781</v>
      </c>
      <c r="G80" s="26" t="n">
        <f aca="false">Prices!G81/Prices!G80-1</f>
        <v>0.0180064308681671</v>
      </c>
      <c r="H80" s="26" t="n">
        <f aca="false">Prices!H81/Prices!H80-1</f>
        <v>0.00229207589089464</v>
      </c>
      <c r="I80" s="26" t="n">
        <f aca="false">Prices!I81/Prices!I80-1</f>
        <v>0.0260996418053485</v>
      </c>
      <c r="J80" s="26" t="n">
        <f aca="false">Prices!J81/Prices!J80-1</f>
        <v>0.00991208135567456</v>
      </c>
      <c r="K80" s="26" t="n">
        <f aca="false">SUMPRODUCT(B80:J80,Optimization!$C$7:$K$7)</f>
        <v>0.0108012650520181</v>
      </c>
      <c r="L80" s="26" t="n">
        <f aca="false">SUMPRODUCT(B80:J80,Optimization!$C$8:$K$8)</f>
        <v>0.0112882928314278</v>
      </c>
      <c r="M80" s="26" t="n">
        <f aca="false">SUMPRODUCT(B80:J80,Optimization!$C$9:$K$9)</f>
        <v>0.0115117301082216</v>
      </c>
      <c r="N80" s="26" t="n">
        <f aca="false">SUMPRODUCT(B80:J80,Optimization!$C$10:$K$10)</f>
        <v>0.0103135239794972</v>
      </c>
      <c r="O80" s="27" t="n">
        <f aca="false">IF(AND(A80&gt;=Inputs!$C$6,A80&lt;=Inputs!$C$7),1,0)</f>
        <v>0</v>
      </c>
      <c r="P80" s="28" t="n">
        <f aca="false">P79*(1+K80)</f>
        <v>120.924153600192</v>
      </c>
      <c r="Q80" s="28" t="n">
        <f aca="false">MAX(Q79,P80)</f>
        <v>120.924153600192</v>
      </c>
      <c r="R80" s="29" t="n">
        <f aca="false">P80/Q80-1</f>
        <v>0</v>
      </c>
      <c r="S80" s="26" t="n">
        <f aca="false">IF(A80=Inputs!$C$12,"",F80)</f>
        <v>0.0058365367378781</v>
      </c>
      <c r="T80" s="27" t="n">
        <f aca="false">IF(AND(A80&gt;Risk_Metrics!$C$28,P80&gt;=Risk_Metrics!$C$30),1,0)</f>
        <v>0</v>
      </c>
      <c r="U80" s="26" t="n">
        <f aca="false">IF(A80=Inputs!$C$12,"",K80)</f>
        <v>0.0108012650520181</v>
      </c>
    </row>
    <row r="81" customFormat="false" ht="15" hidden="false" customHeight="false" outlineLevel="0" collapsed="false">
      <c r="A81" s="25" t="n">
        <f aca="false">Prices!A82</f>
        <v>43819</v>
      </c>
      <c r="B81" s="26" t="n">
        <f aca="false">Prices!B82/Prices!B81-1</f>
        <v>0</v>
      </c>
      <c r="C81" s="26" t="n">
        <f aca="false">Prices!C82/Prices!C81-1</f>
        <v>0.0111203258286789</v>
      </c>
      <c r="D81" s="26" t="n">
        <f aca="false">Prices!D82/Prices!D81-1</f>
        <v>-0.0142030510257761</v>
      </c>
      <c r="E81" s="26" t="n">
        <f aca="false">Prices!E82/Prices!E81-1</f>
        <v>-0.0220858171703825</v>
      </c>
      <c r="F81" s="26" t="n">
        <f aca="false">Prices!F82/Prices!F81-1</f>
        <v>0.0112185299806575</v>
      </c>
      <c r="G81" s="26" t="n">
        <f aca="false">Prices!G82/Prices!G81-1</f>
        <v>0.01105489576753</v>
      </c>
      <c r="H81" s="26" t="n">
        <f aca="false">Prices!H82/Prices!H81-1</f>
        <v>-0.0114342041347858</v>
      </c>
      <c r="I81" s="26" t="n">
        <f aca="false">Prices!I82/Prices!I81-1</f>
        <v>0.00426896782226671</v>
      </c>
      <c r="J81" s="26" t="n">
        <f aca="false">Prices!J82/Prices!J81-1</f>
        <v>0.014629648148148</v>
      </c>
      <c r="K81" s="26" t="n">
        <f aca="false">SUMPRODUCT(B81:J81,Optimization!$C$7:$K$7)</f>
        <v>0.000507699468481874</v>
      </c>
      <c r="L81" s="26" t="n">
        <f aca="false">SUMPRODUCT(B81:J81,Optimization!$C$8:$K$8)</f>
        <v>-0.00208397860051402</v>
      </c>
      <c r="M81" s="26" t="n">
        <f aca="false">SUMPRODUCT(B81:J81,Optimization!$C$9:$K$9)</f>
        <v>0.00134091955815186</v>
      </c>
      <c r="N81" s="26" t="n">
        <f aca="false">SUMPRODUCT(B81:J81,Optimization!$C$10:$K$10)</f>
        <v>-0.00329306885570957</v>
      </c>
      <c r="O81" s="27" t="n">
        <f aca="false">IF(AND(A81&gt;=Inputs!$C$6,A81&lt;=Inputs!$C$7),1,0)</f>
        <v>0</v>
      </c>
      <c r="P81" s="28" t="n">
        <f aca="false">P80*(1+K81)</f>
        <v>120.985546728702</v>
      </c>
      <c r="Q81" s="28" t="n">
        <f aca="false">MAX(Q80,P81)</f>
        <v>120.985546728702</v>
      </c>
      <c r="R81" s="29" t="n">
        <f aca="false">P81/Q81-1</f>
        <v>0</v>
      </c>
      <c r="S81" s="26" t="n">
        <f aca="false">IF(A81=Inputs!$C$12,"",F81)</f>
        <v>0.0112185299806575</v>
      </c>
      <c r="T81" s="27" t="n">
        <f aca="false">IF(AND(A81&gt;Risk_Metrics!$C$28,P81&gt;=Risk_Metrics!$C$30),1,0)</f>
        <v>0</v>
      </c>
      <c r="U81" s="26" t="n">
        <f aca="false">IF(A81=Inputs!$C$12,"",K81)</f>
        <v>0.000507699468481874</v>
      </c>
    </row>
    <row r="82" customFormat="false" ht="15" hidden="false" customHeight="false" outlineLevel="0" collapsed="false">
      <c r="A82" s="25" t="n">
        <f aca="false">Prices!A83</f>
        <v>43822</v>
      </c>
      <c r="B82" s="26" t="n">
        <f aca="false">Prices!B83/Prices!B82-1</f>
        <v>0.0163732627857047</v>
      </c>
      <c r="C82" s="26" t="n">
        <f aca="false">Prices!C83/Prices!C82-1</f>
        <v>-0.0454175550831455</v>
      </c>
      <c r="D82" s="26" t="n">
        <f aca="false">Prices!D83/Prices!D82-1</f>
        <v>-0.0181430096051227</v>
      </c>
      <c r="E82" s="26" t="n">
        <f aca="false">Prices!E83/Prices!E82-1</f>
        <v>0.0276034718769735</v>
      </c>
      <c r="F82" s="26" t="n">
        <f aca="false">Prices!F83/Prices!F82-1</f>
        <v>0.00994648087017902</v>
      </c>
      <c r="G82" s="26" t="n">
        <f aca="false">Prices!G83/Prices!G82-1</f>
        <v>0.00499843830043334</v>
      </c>
      <c r="H82" s="26" t="n">
        <f aca="false">Prices!H83/Prices!H82-1</f>
        <v>0.00793126239259734</v>
      </c>
      <c r="I82" s="26" t="n">
        <f aca="false">Prices!I83/Prices!I82-1</f>
        <v>0.0108041251112045</v>
      </c>
      <c r="J82" s="26" t="n">
        <f aca="false">Prices!J83/Prices!J82-1</f>
        <v>-0.00383279788587698</v>
      </c>
      <c r="K82" s="26" t="n">
        <f aca="false">SUMPRODUCT(B82:J82,Optimization!$C$7:$K$7)</f>
        <v>0.00114040875143859</v>
      </c>
      <c r="L82" s="26" t="n">
        <f aca="false">SUMPRODUCT(B82:J82,Optimization!$C$8:$K$8)</f>
        <v>-0.0110490353562914</v>
      </c>
      <c r="M82" s="26" t="n">
        <f aca="false">SUMPRODUCT(B82:J82,Optimization!$C$9:$K$9)</f>
        <v>-0.00848336844263806</v>
      </c>
      <c r="N82" s="26" t="n">
        <f aca="false">SUMPRODUCT(B82:J82,Optimization!$C$10:$K$10)</f>
        <v>-0.0126366947507522</v>
      </c>
      <c r="O82" s="27" t="n">
        <f aca="false">IF(AND(A82&gt;=Inputs!$C$6,A82&lt;=Inputs!$C$7),1,0)</f>
        <v>0</v>
      </c>
      <c r="P82" s="28" t="n">
        <f aca="false">P81*(1+K82)</f>
        <v>121.123519704989</v>
      </c>
      <c r="Q82" s="28" t="n">
        <f aca="false">MAX(Q81,P82)</f>
        <v>121.123519704989</v>
      </c>
      <c r="R82" s="29" t="n">
        <f aca="false">P82/Q82-1</f>
        <v>0</v>
      </c>
      <c r="S82" s="26" t="n">
        <f aca="false">IF(A82=Inputs!$C$12,"",F82)</f>
        <v>0.00994648087017902</v>
      </c>
      <c r="T82" s="27" t="n">
        <f aca="false">IF(AND(A82&gt;Risk_Metrics!$C$28,P82&gt;=Risk_Metrics!$C$30),1,0)</f>
        <v>0</v>
      </c>
      <c r="U82" s="26" t="n">
        <f aca="false">IF(A82=Inputs!$C$12,"",K82)</f>
        <v>0.00114040875143859</v>
      </c>
    </row>
    <row r="83" customFormat="false" ht="15" hidden="false" customHeight="false" outlineLevel="0" collapsed="false">
      <c r="A83" s="25" t="n">
        <f aca="false">Prices!A84</f>
        <v>43825</v>
      </c>
      <c r="B83" s="26" t="n">
        <f aca="false">Prices!B84/Prices!B83-1</f>
        <v>-0.0156535859124505</v>
      </c>
      <c r="C83" s="26" t="n">
        <f aca="false">Prices!C84/Prices!C83-1</f>
        <v>-0.00469381277349712</v>
      </c>
      <c r="D83" s="26" t="n">
        <f aca="false">Prices!D84/Prices!D83-1</f>
        <v>0.00652173913043486</v>
      </c>
      <c r="E83" s="26" t="n">
        <f aca="false">Prices!E84/Prices!E83-1</f>
        <v>0.031196560495653</v>
      </c>
      <c r="F83" s="26" t="n">
        <f aca="false">Prices!F84/Prices!F83-1</f>
        <v>0.00946969696969702</v>
      </c>
      <c r="G83" s="26" t="n">
        <f aca="false">Prices!G84/Prices!G83-1</f>
        <v>0.0341934121351206</v>
      </c>
      <c r="H83" s="26" t="n">
        <f aca="false">Prices!H84/Prices!H83-1</f>
        <v>0.0134426229508198</v>
      </c>
      <c r="I83" s="26" t="n">
        <f aca="false">Prices!I84/Prices!I83-1</f>
        <v>0.0162957488633877</v>
      </c>
      <c r="J83" s="26" t="n">
        <f aca="false">Prices!J84/Prices!J83-1</f>
        <v>0.00384754474725013</v>
      </c>
      <c r="K83" s="26" t="n">
        <f aca="false">SUMPRODUCT(B83:J83,Optimization!$C$7:$K$7)</f>
        <v>0.0105133251784906</v>
      </c>
      <c r="L83" s="26" t="n">
        <f aca="false">SUMPRODUCT(B83:J83,Optimization!$C$8:$K$8)</f>
        <v>0.00210714689230976</v>
      </c>
      <c r="M83" s="26" t="n">
        <f aca="false">SUMPRODUCT(B83:J83,Optimization!$C$9:$K$9)</f>
        <v>0.00151601938088776</v>
      </c>
      <c r="N83" s="26" t="n">
        <f aca="false">SUMPRODUCT(B83:J83,Optimization!$C$10:$K$10)</f>
        <v>0.000985982819667413</v>
      </c>
      <c r="O83" s="27" t="n">
        <f aca="false">IF(AND(A83&gt;=Inputs!$C$6,A83&lt;=Inputs!$C$7),1,0)</f>
        <v>0</v>
      </c>
      <c r="P83" s="28" t="n">
        <f aca="false">P82*(1+K83)</f>
        <v>122.396930654411</v>
      </c>
      <c r="Q83" s="28" t="n">
        <f aca="false">MAX(Q82,P83)</f>
        <v>122.396930654411</v>
      </c>
      <c r="R83" s="29" t="n">
        <f aca="false">P83/Q83-1</f>
        <v>0</v>
      </c>
      <c r="S83" s="26" t="n">
        <f aca="false">IF(A83=Inputs!$C$12,"",F83)</f>
        <v>0.00946969696969702</v>
      </c>
      <c r="T83" s="27" t="n">
        <f aca="false">IF(AND(A83&gt;Risk_Metrics!$C$28,P83&gt;=Risk_Metrics!$C$30),1,0)</f>
        <v>0</v>
      </c>
      <c r="U83" s="26" t="n">
        <f aca="false">IF(A83=Inputs!$C$12,"",K83)</f>
        <v>0.0105133251784906</v>
      </c>
    </row>
    <row r="84" customFormat="false" ht="15" hidden="false" customHeight="false" outlineLevel="0" collapsed="false">
      <c r="A84" s="25" t="n">
        <f aca="false">Prices!A85</f>
        <v>43826</v>
      </c>
      <c r="B84" s="26" t="n">
        <f aca="false">Prices!B85/Prices!B84-1</f>
        <v>-0.0121969590333624</v>
      </c>
      <c r="C84" s="26" t="n">
        <f aca="false">Prices!C85/Prices!C84-1</f>
        <v>-0.0523044372990354</v>
      </c>
      <c r="D84" s="26" t="n">
        <f aca="false">Prices!D85/Prices!D84-1</f>
        <v>-0.0129589092872571</v>
      </c>
      <c r="E84" s="26" t="n">
        <f aca="false">Prices!E85/Prices!E84-1</f>
        <v>-0.00621630775865345</v>
      </c>
      <c r="F84" s="26" t="n">
        <f aca="false">Prices!F85/Prices!F84-1</f>
        <v>-0.0210131332082552</v>
      </c>
      <c r="G84" s="26" t="n">
        <f aca="false">Prices!G85/Prices!G84-1</f>
        <v>-0.00691310489930885</v>
      </c>
      <c r="H84" s="26" t="n">
        <f aca="false">Prices!H85/Prices!H84-1</f>
        <v>-0.0126172759624718</v>
      </c>
      <c r="I84" s="26" t="n">
        <f aca="false">Prices!I85/Prices!I84-1</f>
        <v>0.00362072193552576</v>
      </c>
      <c r="J84" s="26" t="n">
        <f aca="false">Prices!J85/Prices!J84-1</f>
        <v>-0.0217193461996834</v>
      </c>
      <c r="K84" s="26" t="n">
        <f aca="false">SUMPRODUCT(B84:J84,Optimization!$C$7:$K$7)</f>
        <v>-0.0158131946347224</v>
      </c>
      <c r="L84" s="26" t="n">
        <f aca="false">SUMPRODUCT(B84:J84,Optimization!$C$8:$K$8)</f>
        <v>-0.0177696997091468</v>
      </c>
      <c r="M84" s="26" t="n">
        <f aca="false">SUMPRODUCT(B84:J84,Optimization!$C$9:$K$9)</f>
        <v>-0.0183547917488941</v>
      </c>
      <c r="N84" s="26" t="n">
        <f aca="false">SUMPRODUCT(B84:J84,Optimization!$C$10:$K$10)</f>
        <v>-0.0189483857719054</v>
      </c>
      <c r="O84" s="27" t="n">
        <f aca="false">IF(AND(A84&gt;=Inputs!$C$6,A84&lt;=Inputs!$C$7),1,0)</f>
        <v>0</v>
      </c>
      <c r="P84" s="28" t="n">
        <f aca="false">P83*(1+K84)</f>
        <v>120.46144416728</v>
      </c>
      <c r="Q84" s="28" t="n">
        <f aca="false">MAX(Q83,P84)</f>
        <v>122.396930654411</v>
      </c>
      <c r="R84" s="29" t="n">
        <f aca="false">P84/Q84-1</f>
        <v>-0.0158131946347224</v>
      </c>
      <c r="S84" s="26" t="n">
        <f aca="false">IF(A84=Inputs!$C$12,"",F84)</f>
        <v>-0.0210131332082552</v>
      </c>
      <c r="T84" s="27" t="n">
        <f aca="false">IF(AND(A84&gt;Risk_Metrics!$C$28,P84&gt;=Risk_Metrics!$C$30),1,0)</f>
        <v>0</v>
      </c>
      <c r="U84" s="26" t="n">
        <f aca="false">IF(A84=Inputs!$C$12,"",K84)</f>
        <v>-0.0158131946347224</v>
      </c>
    </row>
    <row r="85" customFormat="false" ht="15" hidden="false" customHeight="false" outlineLevel="0" collapsed="false">
      <c r="A85" s="25" t="n">
        <f aca="false">Prices!A86</f>
        <v>43829</v>
      </c>
      <c r="B85" s="26" t="n">
        <f aca="false">Prices!B86/Prices!B85-1</f>
        <v>0.000312597686777272</v>
      </c>
      <c r="C85" s="26" t="n">
        <f aca="false">Prices!C86/Prices!C85-1</f>
        <v>-0.028047931601354</v>
      </c>
      <c r="D85" s="26" t="n">
        <f aca="false">Prices!D86/Prices!D85-1</f>
        <v>0.0114879096560225</v>
      </c>
      <c r="E85" s="26" t="n">
        <f aca="false">Prices!E86/Prices!E85-1</f>
        <v>-0.0114678692966613</v>
      </c>
      <c r="F85" s="26" t="n">
        <f aca="false">Prices!F86/Prices!F85-1</f>
        <v>-0.00689919509390569</v>
      </c>
      <c r="G85" s="26" t="n">
        <f aca="false">Prices!G86/Prices!G85-1</f>
        <v>0.00181588977554825</v>
      </c>
      <c r="H85" s="26" t="n">
        <f aca="false">Prices!H86/Prices!H85-1</f>
        <v>-0.0111402359108781</v>
      </c>
      <c r="I85" s="26" t="n">
        <f aca="false">Prices!I86/Prices!I85-1</f>
        <v>0.0365916286312986</v>
      </c>
      <c r="J85" s="26" t="n">
        <f aca="false">Prices!J86/Prices!J85-1</f>
        <v>-0.00559699647749989</v>
      </c>
      <c r="K85" s="26" t="n">
        <f aca="false">SUMPRODUCT(B85:J85,Optimization!$C$7:$K$7)</f>
        <v>-0.00143824473673915</v>
      </c>
      <c r="L85" s="26" t="n">
        <f aca="false">SUMPRODUCT(B85:J85,Optimization!$C$8:$K$8)</f>
        <v>0.0042473251419303</v>
      </c>
      <c r="M85" s="26" t="n">
        <f aca="false">SUMPRODUCT(B85:J85,Optimization!$C$9:$K$9)</f>
        <v>0.00310181224256329</v>
      </c>
      <c r="N85" s="26" t="n">
        <f aca="false">SUMPRODUCT(B85:J85,Optimization!$C$10:$K$10)</f>
        <v>0.00242692007883396</v>
      </c>
      <c r="O85" s="27" t="n">
        <f aca="false">IF(AND(A85&gt;=Inputs!$C$6,A85&lt;=Inputs!$C$7),1,0)</f>
        <v>0</v>
      </c>
      <c r="P85" s="28" t="n">
        <f aca="false">P84*(1+K85)</f>
        <v>120.288191129226</v>
      </c>
      <c r="Q85" s="28" t="n">
        <f aca="false">MAX(Q84,P85)</f>
        <v>122.396930654411</v>
      </c>
      <c r="R85" s="29" t="n">
        <f aca="false">P85/Q85-1</f>
        <v>-0.0172286961275071</v>
      </c>
      <c r="S85" s="26" t="n">
        <f aca="false">IF(A85=Inputs!$C$12,"",F85)</f>
        <v>-0.00689919509390569</v>
      </c>
      <c r="T85" s="27" t="n">
        <f aca="false">IF(AND(A85&gt;Risk_Metrics!$C$28,P85&gt;=Risk_Metrics!$C$30),1,0)</f>
        <v>0</v>
      </c>
      <c r="U85" s="26" t="n">
        <f aca="false">IF(A85=Inputs!$C$12,"",K85)</f>
        <v>-0.00143824473673915</v>
      </c>
    </row>
    <row r="86" customFormat="false" ht="15" hidden="false" customHeight="false" outlineLevel="0" collapsed="false">
      <c r="A86" s="25" t="n">
        <f aca="false">Prices!A87</f>
        <v>43832</v>
      </c>
      <c r="B86" s="26" t="n">
        <f aca="false">Prices!B87/Prices!B86-1</f>
        <v>-0.00140625000000005</v>
      </c>
      <c r="C86" s="26" t="n">
        <f aca="false">Prices!C87/Prices!C86-1</f>
        <v>0.0498021654596734</v>
      </c>
      <c r="D86" s="26" t="n">
        <f aca="false">Prices!D87/Prices!D86-1</f>
        <v>0</v>
      </c>
      <c r="E86" s="26" t="n">
        <f aca="false">Prices!E87/Prices!E86-1</f>
        <v>0.0466146171693735</v>
      </c>
      <c r="F86" s="26" t="n">
        <f aca="false">Prices!F87/Prices!F86-1</f>
        <v>0.0343496333461983</v>
      </c>
      <c r="G86" s="26" t="n">
        <f aca="false">Prices!G87/Prices!G86-1</f>
        <v>0.0135951971960844</v>
      </c>
      <c r="H86" s="26" t="n">
        <f aca="false">Prices!H87/Prices!H86-1</f>
        <v>0.0172299867461896</v>
      </c>
      <c r="I86" s="26" t="n">
        <f aca="false">Prices!I87/Prices!I86-1</f>
        <v>0.0228704461293496</v>
      </c>
      <c r="J86" s="26" t="n">
        <f aca="false">Prices!J87/Prices!J86-1</f>
        <v>0.0193246345089049</v>
      </c>
      <c r="K86" s="26" t="n">
        <f aca="false">SUMPRODUCT(B86:J86,Optimization!$C$7:$K$7)</f>
        <v>0.0224867145061971</v>
      </c>
      <c r="L86" s="26" t="n">
        <f aca="false">SUMPRODUCT(B86:J86,Optimization!$C$8:$K$8)</f>
        <v>0.0117216487081863</v>
      </c>
      <c r="M86" s="26" t="n">
        <f aca="false">SUMPRODUCT(B86:J86,Optimization!$C$9:$K$9)</f>
        <v>0.0146958653027749</v>
      </c>
      <c r="N86" s="26" t="n">
        <f aca="false">SUMPRODUCT(B86:J86,Optimization!$C$10:$K$10)</f>
        <v>0.0102655449785891</v>
      </c>
      <c r="O86" s="27" t="n">
        <f aca="false">IF(AND(A86&gt;=Inputs!$C$6,A86&lt;=Inputs!$C$7),1,0)</f>
        <v>0</v>
      </c>
      <c r="P86" s="28" t="n">
        <f aca="false">P85*(1+K86)</f>
        <v>122.993077341616</v>
      </c>
      <c r="Q86" s="28" t="n">
        <f aca="false">MAX(Q85,P86)</f>
        <v>122.993077341616</v>
      </c>
      <c r="R86" s="29" t="n">
        <f aca="false">P86/Q86-1</f>
        <v>0</v>
      </c>
      <c r="S86" s="26" t="n">
        <f aca="false">IF(A86=Inputs!$C$12,"",F86)</f>
        <v>0.0343496333461983</v>
      </c>
      <c r="T86" s="27" t="n">
        <f aca="false">IF(AND(A86&gt;Risk_Metrics!$C$28,P86&gt;=Risk_Metrics!$C$30),1,0)</f>
        <v>0</v>
      </c>
      <c r="U86" s="26" t="n">
        <f aca="false">IF(A86=Inputs!$C$12,"",K86)</f>
        <v>0.0224867145061971</v>
      </c>
    </row>
    <row r="87" customFormat="false" ht="15" hidden="false" customHeight="false" outlineLevel="0" collapsed="false">
      <c r="A87" s="25" t="n">
        <f aca="false">Prices!A88</f>
        <v>43833</v>
      </c>
      <c r="B87" s="26" t="n">
        <f aca="false">Prices!B88/Prices!B87-1</f>
        <v>-0.0142387732749178</v>
      </c>
      <c r="C87" s="26" t="n">
        <f aca="false">Prices!C88/Prices!C87-1</f>
        <v>-0.0288184229136965</v>
      </c>
      <c r="D87" s="26" t="n">
        <f aca="false">Prices!D88/Prices!D87-1</f>
        <v>0.0243375338020553</v>
      </c>
      <c r="E87" s="26" t="n">
        <f aca="false">Prices!E88/Prices!E87-1</f>
        <v>-0.0145102179465985</v>
      </c>
      <c r="F87" s="26" t="n">
        <f aca="false">Prices!F88/Prices!F87-1</f>
        <v>0.00186570902483996</v>
      </c>
      <c r="G87" s="26" t="n">
        <f aca="false">Prices!G88/Prices!G87-1</f>
        <v>0</v>
      </c>
      <c r="H87" s="26" t="n">
        <f aca="false">Prices!H88/Prices!H87-1</f>
        <v>-0.00814332221031522</v>
      </c>
      <c r="I87" s="26" t="n">
        <f aca="false">Prices!I88/Prices!I87-1</f>
        <v>0.0371029688305715</v>
      </c>
      <c r="J87" s="26" t="n">
        <f aca="false">Prices!J88/Prices!J87-1</f>
        <v>-0.0073624514131253</v>
      </c>
      <c r="K87" s="26" t="n">
        <f aca="false">SUMPRODUCT(B87:J87,Optimization!$C$7:$K$7)</f>
        <v>-0.00108521956679851</v>
      </c>
      <c r="L87" s="26" t="n">
        <f aca="false">SUMPRODUCT(B87:J87,Optimization!$C$8:$K$8)</f>
        <v>0.00738750856147346</v>
      </c>
      <c r="M87" s="26" t="n">
        <f aca="false">SUMPRODUCT(B87:J87,Optimization!$C$9:$K$9)</f>
        <v>0.00383956167256274</v>
      </c>
      <c r="N87" s="26" t="n">
        <f aca="false">SUMPRODUCT(B87:J87,Optimization!$C$10:$K$10)</f>
        <v>0.00594164574077948</v>
      </c>
      <c r="O87" s="27" t="n">
        <f aca="false">IF(AND(A87&gt;=Inputs!$C$6,A87&lt;=Inputs!$C$7),1,0)</f>
        <v>0</v>
      </c>
      <c r="P87" s="28" t="n">
        <f aca="false">P86*(1+K87)</f>
        <v>122.859602847504</v>
      </c>
      <c r="Q87" s="28" t="n">
        <f aca="false">MAX(Q86,P87)</f>
        <v>122.993077341616</v>
      </c>
      <c r="R87" s="29" t="n">
        <f aca="false">P87/Q87-1</f>
        <v>-0.00108521956679852</v>
      </c>
      <c r="S87" s="26" t="n">
        <f aca="false">IF(A87=Inputs!$C$12,"",F87)</f>
        <v>0.00186570902483996</v>
      </c>
      <c r="T87" s="27" t="n">
        <f aca="false">IF(AND(A87&gt;Risk_Metrics!$C$28,P87&gt;=Risk_Metrics!$C$30),1,0)</f>
        <v>0</v>
      </c>
      <c r="U87" s="26" t="n">
        <f aca="false">IF(A87=Inputs!$C$12,"",K87)</f>
        <v>-0.00108521956679851</v>
      </c>
    </row>
    <row r="88" customFormat="false" ht="15" hidden="false" customHeight="false" outlineLevel="0" collapsed="false">
      <c r="A88" s="25" t="n">
        <f aca="false">Prices!A89</f>
        <v>43836</v>
      </c>
      <c r="B88" s="26" t="n">
        <f aca="false">Prices!B89/Prices!B88-1</f>
        <v>-0.0061904603174604</v>
      </c>
      <c r="C88" s="26" t="n">
        <f aca="false">Prices!C89/Prices!C88-1</f>
        <v>-0.0095868525356505</v>
      </c>
      <c r="D88" s="26" t="n">
        <f aca="false">Prices!D89/Prices!D88-1</f>
        <v>0.00897571230328875</v>
      </c>
      <c r="E88" s="26" t="n">
        <f aca="false">Prices!E89/Prices!E88-1</f>
        <v>-0.0116564412410454</v>
      </c>
      <c r="F88" s="26" t="n">
        <f aca="false">Prices!F89/Prices!F88-1</f>
        <v>-0.0115455865921789</v>
      </c>
      <c r="G88" s="26" t="n">
        <f aca="false">Prices!G89/Prices!G88-1</f>
        <v>-0.00178828619339166</v>
      </c>
      <c r="H88" s="26" t="n">
        <f aca="false">Prices!H89/Prices!H88-1</f>
        <v>0.0118225940288146</v>
      </c>
      <c r="I88" s="26" t="n">
        <f aca="false">Prices!I89/Prices!I88-1</f>
        <v>0.00406190966466435</v>
      </c>
      <c r="J88" s="26" t="n">
        <f aca="false">Prices!J89/Prices!J88-1</f>
        <v>-0.00593359910995739</v>
      </c>
      <c r="K88" s="26" t="n">
        <f aca="false">SUMPRODUCT(B88:J88,Optimization!$C$7:$K$7)</f>
        <v>-0.00242677888810183</v>
      </c>
      <c r="L88" s="26" t="n">
        <f aca="false">SUMPRODUCT(B88:J88,Optimization!$C$8:$K$8)</f>
        <v>0.00122864596261363</v>
      </c>
      <c r="M88" s="26" t="n">
        <f aca="false">SUMPRODUCT(B88:J88,Optimization!$C$9:$K$9)</f>
        <v>-0.000683391057824649</v>
      </c>
      <c r="N88" s="26" t="n">
        <f aca="false">SUMPRODUCT(B88:J88,Optimization!$C$10:$K$10)</f>
        <v>0.00135408037264698</v>
      </c>
      <c r="O88" s="27" t="n">
        <f aca="false">IF(AND(A88&gt;=Inputs!$C$6,A88&lt;=Inputs!$C$7),1,0)</f>
        <v>0</v>
      </c>
      <c r="P88" s="28" t="n">
        <f aca="false">P87*(1+K88)</f>
        <v>122.561449757113</v>
      </c>
      <c r="Q88" s="28" t="n">
        <f aca="false">MAX(Q87,P88)</f>
        <v>122.993077341616</v>
      </c>
      <c r="R88" s="29" t="n">
        <f aca="false">P88/Q88-1</f>
        <v>-0.00350936486696662</v>
      </c>
      <c r="S88" s="26" t="n">
        <f aca="false">IF(A88=Inputs!$C$12,"",F88)</f>
        <v>-0.0115455865921789</v>
      </c>
      <c r="T88" s="27" t="n">
        <f aca="false">IF(AND(A88&gt;Risk_Metrics!$C$28,P88&gt;=Risk_Metrics!$C$30),1,0)</f>
        <v>0</v>
      </c>
      <c r="U88" s="26" t="n">
        <f aca="false">IF(A88=Inputs!$C$12,"",K88)</f>
        <v>-0.00242677888810183</v>
      </c>
    </row>
    <row r="89" customFormat="false" ht="15" hidden="false" customHeight="false" outlineLevel="0" collapsed="false">
      <c r="A89" s="25" t="n">
        <f aca="false">Prices!A90</f>
        <v>43837</v>
      </c>
      <c r="B89" s="26" t="n">
        <f aca="false">Prices!B90/Prices!B89-1</f>
        <v>0.00463186384552206</v>
      </c>
      <c r="C89" s="26" t="n">
        <f aca="false">Prices!C90/Prices!C89-1</f>
        <v>0.0322655227532962</v>
      </c>
      <c r="D89" s="26" t="n">
        <f aca="false">Prices!D90/Prices!D89-1</f>
        <v>0.00313966493251372</v>
      </c>
      <c r="E89" s="26" t="n">
        <f aca="false">Prices!E90/Prices!E89-1</f>
        <v>0.00972474613181262</v>
      </c>
      <c r="F89" s="26" t="n">
        <f aca="false">Prices!F90/Prices!F89-1</f>
        <v>-0.0199698937464244</v>
      </c>
      <c r="G89" s="26" t="n">
        <f aca="false">Prices!G90/Prices!G89-1</f>
        <v>0.00268736920350143</v>
      </c>
      <c r="H89" s="26" t="n">
        <f aca="false">Prices!H90/Prices!H89-1</f>
        <v>-0.00389477455030107</v>
      </c>
      <c r="I89" s="26" t="n">
        <f aca="false">Prices!I90/Prices!I89-1</f>
        <v>-0.0196047816763718</v>
      </c>
      <c r="J89" s="26" t="n">
        <f aca="false">Prices!J90/Prices!J89-1</f>
        <v>0.00727474338230283</v>
      </c>
      <c r="K89" s="26" t="n">
        <f aca="false">SUMPRODUCT(B89:J89,Optimization!$C$7:$K$7)</f>
        <v>0.00180605114176128</v>
      </c>
      <c r="L89" s="26" t="n">
        <f aca="false">SUMPRODUCT(B89:J89,Optimization!$C$8:$K$8)</f>
        <v>0.00559883574867802</v>
      </c>
      <c r="M89" s="26" t="n">
        <f aca="false">SUMPRODUCT(B89:J89,Optimization!$C$9:$K$9)</f>
        <v>0.00548954129917575</v>
      </c>
      <c r="N89" s="26" t="n">
        <f aca="false">SUMPRODUCT(B89:J89,Optimization!$C$10:$K$10)</f>
        <v>0.00722291659985104</v>
      </c>
      <c r="O89" s="27" t="n">
        <f aca="false">IF(AND(A89&gt;=Inputs!$C$6,A89&lt;=Inputs!$C$7),1,0)</f>
        <v>0</v>
      </c>
      <c r="P89" s="28" t="n">
        <f aca="false">P88*(1+K89)</f>
        <v>122.782802003383</v>
      </c>
      <c r="Q89" s="28" t="n">
        <f aca="false">MAX(Q88,P89)</f>
        <v>122.993077341616</v>
      </c>
      <c r="R89" s="29" t="n">
        <f aca="false">P89/Q89-1</f>
        <v>-0.00170965181763028</v>
      </c>
      <c r="S89" s="26" t="n">
        <f aca="false">IF(A89=Inputs!$C$12,"",F89)</f>
        <v>-0.0199698937464244</v>
      </c>
      <c r="T89" s="27" t="n">
        <f aca="false">IF(AND(A89&gt;Risk_Metrics!$C$28,P89&gt;=Risk_Metrics!$C$30),1,0)</f>
        <v>0</v>
      </c>
      <c r="U89" s="26" t="n">
        <f aca="false">IF(A89=Inputs!$C$12,"",K89)</f>
        <v>0.00180605114176128</v>
      </c>
    </row>
    <row r="90" customFormat="false" ht="15" hidden="false" customHeight="false" outlineLevel="0" collapsed="false">
      <c r="A90" s="25" t="n">
        <f aca="false">Prices!A91</f>
        <v>43838</v>
      </c>
      <c r="B90" s="26" t="n">
        <f aca="false">Prices!B91/Prices!B90-1</f>
        <v>-0.0143084574146755</v>
      </c>
      <c r="C90" s="26" t="n">
        <f aca="false">Prices!C91/Prices!C90-1</f>
        <v>-0.00267916945746816</v>
      </c>
      <c r="D90" s="26" t="n">
        <f aca="false">Prices!D91/Prices!D90-1</f>
        <v>0.0109545644235785</v>
      </c>
      <c r="E90" s="26" t="n">
        <f aca="false">Prices!E91/Prices!E90-1</f>
        <v>-0.00491799190405717</v>
      </c>
      <c r="F90" s="26" t="n">
        <f aca="false">Prices!F91/Prices!F90-1</f>
        <v>-0.0073048827374087</v>
      </c>
      <c r="G90" s="26" t="n">
        <f aca="false">Prices!G91/Prices!G90-1</f>
        <v>0.00387126242577351</v>
      </c>
      <c r="H90" s="26" t="n">
        <f aca="false">Prices!H91/Prices!H90-1</f>
        <v>-0.0061909740569901</v>
      </c>
      <c r="I90" s="26" t="n">
        <f aca="false">Prices!I91/Prices!I90-1</f>
        <v>-0.00714170612276499</v>
      </c>
      <c r="J90" s="26" t="n">
        <f aca="false">Prices!J91/Prices!J90-1</f>
        <v>0.000185148148148295</v>
      </c>
      <c r="K90" s="26" t="n">
        <f aca="false">SUMPRODUCT(B90:J90,Optimization!$C$7:$K$7)</f>
        <v>-0.00305913407731826</v>
      </c>
      <c r="L90" s="26" t="n">
        <f aca="false">SUMPRODUCT(B90:J90,Optimization!$C$8:$K$8)</f>
        <v>0.00164441042490409</v>
      </c>
      <c r="M90" s="26" t="n">
        <f aca="false">SUMPRODUCT(B90:J90,Optimization!$C$9:$K$9)</f>
        <v>-0.000693624002423621</v>
      </c>
      <c r="N90" s="26" t="n">
        <f aca="false">SUMPRODUCT(B90:J90,Optimization!$C$10:$K$10)</f>
        <v>0.00235993156963177</v>
      </c>
      <c r="O90" s="27" t="n">
        <f aca="false">IF(AND(A90&gt;=Inputs!$C$6,A90&lt;=Inputs!$C$7),1,0)</f>
        <v>0</v>
      </c>
      <c r="P90" s="28" t="n">
        <f aca="false">P89*(1+K90)</f>
        <v>122.407192949666</v>
      </c>
      <c r="Q90" s="28" t="n">
        <f aca="false">MAX(Q89,P90)</f>
        <v>122.993077341616</v>
      </c>
      <c r="R90" s="29" t="n">
        <f aca="false">P90/Q90-1</f>
        <v>-0.00476355584081289</v>
      </c>
      <c r="S90" s="26" t="n">
        <f aca="false">IF(A90=Inputs!$C$12,"",F90)</f>
        <v>-0.0073048827374087</v>
      </c>
      <c r="T90" s="27" t="n">
        <f aca="false">IF(AND(A90&gt;Risk_Metrics!$C$28,P90&gt;=Risk_Metrics!$C$30),1,0)</f>
        <v>0</v>
      </c>
      <c r="U90" s="26" t="n">
        <f aca="false">IF(A90=Inputs!$C$12,"",K90)</f>
        <v>-0.00305913407731826</v>
      </c>
    </row>
    <row r="91" customFormat="false" ht="15" hidden="false" customHeight="false" outlineLevel="0" collapsed="false">
      <c r="A91" s="25" t="n">
        <f aca="false">Prices!A92</f>
        <v>43839</v>
      </c>
      <c r="B91" s="26" t="n">
        <f aca="false">Prices!B92/Prices!B91-1</f>
        <v>-0.0112903387096774</v>
      </c>
      <c r="C91" s="26" t="n">
        <f aca="false">Prices!C92/Prices!C91-1</f>
        <v>-0.000447750167897887</v>
      </c>
      <c r="D91" s="26" t="n">
        <f aca="false">Prices!D92/Prices!D91-1</f>
        <v>-0.00619189918430851</v>
      </c>
      <c r="E91" s="26" t="n">
        <f aca="false">Prices!E92/Prices!E91-1</f>
        <v>0.00535418028512802</v>
      </c>
      <c r="F91" s="26" t="n">
        <f aca="false">Prices!F92/Prices!F91-1</f>
        <v>0.0271107668474051</v>
      </c>
      <c r="G91" s="26" t="n">
        <f aca="false">Prices!G92/Prices!G91-1</f>
        <v>-0.00622957597833218</v>
      </c>
      <c r="H91" s="26" t="n">
        <f aca="false">Prices!H92/Prices!H91-1</f>
        <v>-0.00327868852459023</v>
      </c>
      <c r="I91" s="26" t="n">
        <f aca="false">Prices!I92/Prices!I91-1</f>
        <v>0.0337275766497094</v>
      </c>
      <c r="J91" s="26" t="n">
        <f aca="false">Prices!J92/Prices!J91-1</f>
        <v>-0.0131456957284095</v>
      </c>
      <c r="K91" s="26" t="n">
        <f aca="false">SUMPRODUCT(B91:J91,Optimization!$C$7:$K$7)</f>
        <v>0.00284539727655853</v>
      </c>
      <c r="L91" s="26" t="n">
        <f aca="false">SUMPRODUCT(B91:J91,Optimization!$C$8:$K$8)</f>
        <v>-0.00344195424816531</v>
      </c>
      <c r="M91" s="26" t="n">
        <f aca="false">SUMPRODUCT(B91:J91,Optimization!$C$9:$K$9)</f>
        <v>-0.00235775234602758</v>
      </c>
      <c r="N91" s="26" t="n">
        <f aca="false">SUMPRODUCT(B91:J91,Optimization!$C$10:$K$10)</f>
        <v>-0.00591757350905088</v>
      </c>
      <c r="O91" s="27" t="n">
        <f aca="false">IF(AND(A91&gt;=Inputs!$C$6,A91&lt;=Inputs!$C$7),1,0)</f>
        <v>0</v>
      </c>
      <c r="P91" s="28" t="n">
        <f aca="false">P90*(1+K91)</f>
        <v>122.755490043116</v>
      </c>
      <c r="Q91" s="28" t="n">
        <f aca="false">MAX(Q90,P91)</f>
        <v>122.993077341616</v>
      </c>
      <c r="R91" s="29" t="n">
        <f aca="false">P91/Q91-1</f>
        <v>-0.00193171277307047</v>
      </c>
      <c r="S91" s="26" t="n">
        <f aca="false">IF(A91=Inputs!$C$12,"",F91)</f>
        <v>0.0271107668474051</v>
      </c>
      <c r="T91" s="27" t="n">
        <f aca="false">IF(AND(A91&gt;Risk_Metrics!$C$28,P91&gt;=Risk_Metrics!$C$30),1,0)</f>
        <v>0</v>
      </c>
      <c r="U91" s="26" t="n">
        <f aca="false">IF(A91=Inputs!$C$12,"",K91)</f>
        <v>0.00284539727655853</v>
      </c>
    </row>
    <row r="92" customFormat="false" ht="15" hidden="false" customHeight="false" outlineLevel="0" collapsed="false">
      <c r="A92" s="25" t="n">
        <f aca="false">Prices!A93</f>
        <v>43840</v>
      </c>
      <c r="B92" s="26" t="n">
        <f aca="false">Prices!B93/Prices!B92-1</f>
        <v>-0.00717778152002913</v>
      </c>
      <c r="C92" s="26" t="n">
        <f aca="false">Prices!C93/Prices!C92-1</f>
        <v>-0.00783876837264874</v>
      </c>
      <c r="D92" s="26" t="n">
        <f aca="false">Prices!D93/Prices!D92-1</f>
        <v>0.0259605399792315</v>
      </c>
      <c r="E92" s="26" t="n">
        <f aca="false">Prices!E93/Prices!E92-1</f>
        <v>-0.0198689471528063</v>
      </c>
      <c r="F92" s="26" t="n">
        <f aca="false">Prices!F93/Prices!F92-1</f>
        <v>-0.00188540723981889</v>
      </c>
      <c r="G92" s="26" t="n">
        <f aca="false">Prices!G93/Prices!G92-1</f>
        <v>-0.0104477014925373</v>
      </c>
      <c r="H92" s="26" t="n">
        <f aca="false">Prices!H93/Prices!H92-1</f>
        <v>-0.00427631578947363</v>
      </c>
      <c r="I92" s="26" t="n">
        <f aca="false">Prices!I93/Prices!I92-1</f>
        <v>-0.000618503278533522</v>
      </c>
      <c r="J92" s="26" t="n">
        <f aca="false">Prices!J93/Prices!J92-1</f>
        <v>0.00112574110930086</v>
      </c>
      <c r="K92" s="26" t="n">
        <f aca="false">SUMPRODUCT(B92:J92,Optimization!$C$7:$K$7)</f>
        <v>-0.00278079375081279</v>
      </c>
      <c r="L92" s="26" t="n">
        <f aca="false">SUMPRODUCT(B92:J92,Optimization!$C$8:$K$8)</f>
        <v>0.00962480799269526</v>
      </c>
      <c r="M92" s="26" t="n">
        <f aca="false">SUMPRODUCT(B92:J92,Optimization!$C$9:$K$9)</f>
        <v>0.0054839303037354</v>
      </c>
      <c r="N92" s="26" t="n">
        <f aca="false">SUMPRODUCT(B92:J92,Optimization!$C$10:$K$10)</f>
        <v>0.0108174283193575</v>
      </c>
      <c r="O92" s="27" t="n">
        <f aca="false">IF(AND(A92&gt;=Inputs!$C$6,A92&lt;=Inputs!$C$7),1,0)</f>
        <v>0</v>
      </c>
      <c r="P92" s="28" t="n">
        <f aca="false">P91*(1+K92)</f>
        <v>122.414132343526</v>
      </c>
      <c r="Q92" s="28" t="n">
        <f aca="false">MAX(Q91,P92)</f>
        <v>122.993077341616</v>
      </c>
      <c r="R92" s="29" t="n">
        <f aca="false">P92/Q92-1</f>
        <v>-0.00470713482907548</v>
      </c>
      <c r="S92" s="26" t="n">
        <f aca="false">IF(A92=Inputs!$C$12,"",F92)</f>
        <v>-0.00188540723981889</v>
      </c>
      <c r="T92" s="27" t="n">
        <f aca="false">IF(AND(A92&gt;Risk_Metrics!$C$28,P92&gt;=Risk_Metrics!$C$30),1,0)</f>
        <v>0</v>
      </c>
      <c r="U92" s="26" t="n">
        <f aca="false">IF(A92=Inputs!$C$12,"",K92)</f>
        <v>-0.00278079375081279</v>
      </c>
    </row>
    <row r="93" customFormat="false" ht="15" hidden="false" customHeight="false" outlineLevel="0" collapsed="false">
      <c r="A93" s="25" t="n">
        <f aca="false">Prices!A94</f>
        <v>43843</v>
      </c>
      <c r="B93" s="26" t="n">
        <f aca="false">Prices!B94/Prices!B93-1</f>
        <v>0.0318764043398554</v>
      </c>
      <c r="C93" s="26" t="n">
        <f aca="false">Prices!C94/Prices!C93-1</f>
        <v>0.00112869079587763</v>
      </c>
      <c r="D93" s="26" t="n">
        <f aca="false">Prices!D94/Prices!D93-1</f>
        <v>0.0242914979757083</v>
      </c>
      <c r="E93" s="26" t="n">
        <f aca="false">Prices!E94/Prices!E93-1</f>
        <v>0.00313483816655546</v>
      </c>
      <c r="F93" s="26" t="n">
        <f aca="false">Prices!F94/Prices!F93-1</f>
        <v>0.0196449195181305</v>
      </c>
      <c r="G93" s="26" t="n">
        <f aca="false">Prices!G94/Prices!G93-1</f>
        <v>0.0105580084127899</v>
      </c>
      <c r="H93" s="26" t="n">
        <f aca="false">Prices!H94/Prices!H93-1</f>
        <v>0.001982160555005</v>
      </c>
      <c r="I93" s="26" t="n">
        <f aca="false">Prices!I94/Prices!I93-1</f>
        <v>-0.027696112467087</v>
      </c>
      <c r="J93" s="26" t="n">
        <f aca="false">Prices!J94/Prices!J93-1</f>
        <v>0.036356783426597</v>
      </c>
      <c r="K93" s="26" t="n">
        <f aca="false">SUMPRODUCT(B93:J93,Optimization!$C$7:$K$7)</f>
        <v>0.0112530211914925</v>
      </c>
      <c r="L93" s="26" t="n">
        <f aca="false">SUMPRODUCT(B93:J93,Optimization!$C$8:$K$8)</f>
        <v>0.0193136204603617</v>
      </c>
      <c r="M93" s="26" t="n">
        <f aca="false">SUMPRODUCT(B93:J93,Optimization!$C$9:$K$9)</f>
        <v>0.0179223471369891</v>
      </c>
      <c r="N93" s="26" t="n">
        <f aca="false">SUMPRODUCT(B93:J93,Optimization!$C$10:$K$10)</f>
        <v>0.0223836136623077</v>
      </c>
      <c r="O93" s="27" t="n">
        <f aca="false">IF(AND(A93&gt;=Inputs!$C$6,A93&lt;=Inputs!$C$7),1,0)</f>
        <v>0</v>
      </c>
      <c r="P93" s="28" t="n">
        <f aca="false">P92*(1+K93)</f>
        <v>123.791661168926</v>
      </c>
      <c r="Q93" s="28" t="n">
        <f aca="false">MAX(Q92,P93)</f>
        <v>123.791661168926</v>
      </c>
      <c r="R93" s="29" t="n">
        <f aca="false">P93/Q93-1</f>
        <v>0</v>
      </c>
      <c r="S93" s="26" t="n">
        <f aca="false">IF(A93=Inputs!$C$12,"",F93)</f>
        <v>0.0196449195181305</v>
      </c>
      <c r="T93" s="27" t="n">
        <f aca="false">IF(AND(A93&gt;Risk_Metrics!$C$28,P93&gt;=Risk_Metrics!$C$30),1,0)</f>
        <v>0</v>
      </c>
      <c r="U93" s="26" t="n">
        <f aca="false">IF(A93=Inputs!$C$12,"",K93)</f>
        <v>0.0112530211914925</v>
      </c>
    </row>
    <row r="94" customFormat="false" ht="15" hidden="false" customHeight="false" outlineLevel="0" collapsed="false">
      <c r="A94" s="25" t="n">
        <f aca="false">Prices!A95</f>
        <v>43844</v>
      </c>
      <c r="B94" s="26" t="n">
        <f aca="false">Prices!B95/Prices!B94-1</f>
        <v>0.0031847293500753</v>
      </c>
      <c r="C94" s="26" t="n">
        <f aca="false">Prices!C95/Prices!C94-1</f>
        <v>0.00676437444790023</v>
      </c>
      <c r="D94" s="26" t="n">
        <f aca="false">Prices!D95/Prices!D94-1</f>
        <v>0.0335968379446643</v>
      </c>
      <c r="E94" s="26" t="n">
        <f aca="false">Prices!E95/Prices!E94-1</f>
        <v>0.00416668749999993</v>
      </c>
      <c r="F94" s="26" t="n">
        <f aca="false">Prices!F95/Prices!F94-1</f>
        <v>0.0326047054464615</v>
      </c>
      <c r="G94" s="26" t="n">
        <f aca="false">Prices!G95/Prices!G94-1</f>
        <v>0.0149253731343284</v>
      </c>
      <c r="H94" s="26" t="n">
        <f aca="false">Prices!H95/Prices!H94-1</f>
        <v>-0.0108803165182987</v>
      </c>
      <c r="I94" s="26" t="n">
        <f aca="false">Prices!I95/Prices!I94-1</f>
        <v>0.00891152022960617</v>
      </c>
      <c r="J94" s="26" t="n">
        <f aca="false">Prices!J95/Prices!J94-1</f>
        <v>0.00614828220882968</v>
      </c>
      <c r="K94" s="26" t="n">
        <f aca="false">SUMPRODUCT(B94:J94,Optimization!$C$7:$K$7)</f>
        <v>0.0110469104159519</v>
      </c>
      <c r="L94" s="26" t="n">
        <f aca="false">SUMPRODUCT(B94:J94,Optimization!$C$8:$K$8)</f>
        <v>0.0183516351447366</v>
      </c>
      <c r="M94" s="26" t="n">
        <f aca="false">SUMPRODUCT(B94:J94,Optimization!$C$9:$K$9)</f>
        <v>0.0143489800556893</v>
      </c>
      <c r="N94" s="26" t="n">
        <f aca="false">SUMPRODUCT(B94:J94,Optimization!$C$10:$K$10)</f>
        <v>0.0195810600372979</v>
      </c>
      <c r="O94" s="27" t="n">
        <f aca="false">IF(AND(A94&gt;=Inputs!$C$6,A94&lt;=Inputs!$C$7),1,0)</f>
        <v>0</v>
      </c>
      <c r="P94" s="28" t="n">
        <f aca="false">P93*(1+K94)</f>
        <v>125.159176560101</v>
      </c>
      <c r="Q94" s="28" t="n">
        <f aca="false">MAX(Q93,P94)</f>
        <v>125.159176560101</v>
      </c>
      <c r="R94" s="29" t="n">
        <f aca="false">P94/Q94-1</f>
        <v>0</v>
      </c>
      <c r="S94" s="26" t="n">
        <f aca="false">IF(A94=Inputs!$C$12,"",F94)</f>
        <v>0.0326047054464615</v>
      </c>
      <c r="T94" s="27" t="n">
        <f aca="false">IF(AND(A94&gt;Risk_Metrics!$C$28,P94&gt;=Risk_Metrics!$C$30),1,0)</f>
        <v>0</v>
      </c>
      <c r="U94" s="26" t="n">
        <f aca="false">IF(A94=Inputs!$C$12,"",K94)</f>
        <v>0.0110469104159519</v>
      </c>
    </row>
    <row r="95" customFormat="false" ht="15" hidden="false" customHeight="false" outlineLevel="0" collapsed="false">
      <c r="A95" s="25" t="n">
        <f aca="false">Prices!A96</f>
        <v>43845</v>
      </c>
      <c r="B95" s="26" t="n">
        <f aca="false">Prices!B96/Prices!B95-1</f>
        <v>-0.00507936507936513</v>
      </c>
      <c r="C95" s="26" t="n">
        <f aca="false">Prices!C96/Prices!C95-1</f>
        <v>-0.0268757004899374</v>
      </c>
      <c r="D95" s="26" t="n">
        <f aca="false">Prices!D96/Prices!D95-1</f>
        <v>-0.0119502868068834</v>
      </c>
      <c r="E95" s="26" t="n">
        <f aca="false">Prices!E96/Prices!E95-1</f>
        <v>0.000207427381588632</v>
      </c>
      <c r="F95" s="26" t="n">
        <f aca="false">Prices!F96/Prices!F95-1</f>
        <v>-0.0132759593370664</v>
      </c>
      <c r="G95" s="26" t="n">
        <f aca="false">Prices!G96/Prices!G95-1</f>
        <v>-0.000882323529411644</v>
      </c>
      <c r="H95" s="26" t="n">
        <f aca="false">Prices!H96/Prices!H95-1</f>
        <v>-0.0150000333333333</v>
      </c>
      <c r="I95" s="26" t="n">
        <f aca="false">Prices!I96/Prices!I95-1</f>
        <v>0.00946369933564717</v>
      </c>
      <c r="J95" s="26" t="n">
        <f aca="false">Prices!J96/Prices!J95-1</f>
        <v>-0.00323508273247808</v>
      </c>
      <c r="K95" s="26" t="n">
        <f aca="false">SUMPRODUCT(B95:J95,Optimization!$C$7:$K$7)</f>
        <v>-0.00740306939902661</v>
      </c>
      <c r="L95" s="26" t="n">
        <f aca="false">SUMPRODUCT(B95:J95,Optimization!$C$8:$K$8)</f>
        <v>-0.00925618451058757</v>
      </c>
      <c r="M95" s="26" t="n">
        <f aca="false">SUMPRODUCT(B95:J95,Optimization!$C$9:$K$9)</f>
        <v>-0.00793890061052224</v>
      </c>
      <c r="N95" s="26" t="n">
        <f aca="false">SUMPRODUCT(B95:J95,Optimization!$C$10:$K$10)</f>
        <v>-0.0107463150012635</v>
      </c>
      <c r="O95" s="27" t="n">
        <f aca="false">IF(AND(A95&gt;=Inputs!$C$6,A95&lt;=Inputs!$C$7),1,0)</f>
        <v>0</v>
      </c>
      <c r="P95" s="28" t="n">
        <f aca="false">P94*(1+K95)</f>
        <v>124.232614490102</v>
      </c>
      <c r="Q95" s="28" t="n">
        <f aca="false">MAX(Q94,P95)</f>
        <v>125.159176560101</v>
      </c>
      <c r="R95" s="29" t="n">
        <f aca="false">P95/Q95-1</f>
        <v>-0.00740306939902657</v>
      </c>
      <c r="S95" s="26" t="n">
        <f aca="false">IF(A95=Inputs!$C$12,"",F95)</f>
        <v>-0.0132759593370664</v>
      </c>
      <c r="T95" s="27" t="n">
        <f aca="false">IF(AND(A95&gt;Risk_Metrics!$C$28,P95&gt;=Risk_Metrics!$C$30),1,0)</f>
        <v>0</v>
      </c>
      <c r="U95" s="26" t="n">
        <f aca="false">IF(A95=Inputs!$C$12,"",K95)</f>
        <v>-0.00740306939902661</v>
      </c>
    </row>
    <row r="96" customFormat="false" ht="15" hidden="false" customHeight="false" outlineLevel="0" collapsed="false">
      <c r="A96" s="25" t="n">
        <f aca="false">Prices!A97</f>
        <v>43846</v>
      </c>
      <c r="B96" s="26" t="n">
        <f aca="false">Prices!B97/Prices!B96-1</f>
        <v>-0.0028717294192725</v>
      </c>
      <c r="C96" s="26" t="n">
        <f aca="false">Prices!C97/Prices!C96-1</f>
        <v>0.0115075031417147</v>
      </c>
      <c r="D96" s="26" t="n">
        <f aca="false">Prices!D97/Prices!D96-1</f>
        <v>-0.00145142718916313</v>
      </c>
      <c r="E96" s="26" t="n">
        <f aca="false">Prices!E97/Prices!E96-1</f>
        <v>0.0194980920866643</v>
      </c>
      <c r="F96" s="26" t="n">
        <f aca="false">Prices!F97/Prices!F96-1</f>
        <v>0.0127272727272727</v>
      </c>
      <c r="G96" s="26" t="n">
        <f aca="false">Prices!G97/Prices!G96-1</f>
        <v>0.00529882233444723</v>
      </c>
      <c r="H96" s="26" t="n">
        <f aca="false">Prices!H97/Prices!H96-1</f>
        <v>-0.00101519461980359</v>
      </c>
      <c r="I96" s="26" t="n">
        <f aca="false">Prices!I97/Prices!I96-1</f>
        <v>-0.00984371948447382</v>
      </c>
      <c r="J96" s="26" t="n">
        <f aca="false">Prices!J97/Prices!J96-1</f>
        <v>-0.00522901199475323</v>
      </c>
      <c r="K96" s="26" t="n">
        <f aca="false">SUMPRODUCT(B96:J96,Optimization!$C$7:$K$7)</f>
        <v>0.0031800675091814</v>
      </c>
      <c r="L96" s="26" t="n">
        <f aca="false">SUMPRODUCT(B96:J96,Optimization!$C$8:$K$8)</f>
        <v>-0.00144160202605064</v>
      </c>
      <c r="M96" s="26" t="n">
        <f aca="false">SUMPRODUCT(B96:J96,Optimization!$C$9:$K$9)</f>
        <v>-0.00180513619483512</v>
      </c>
      <c r="N96" s="26" t="n">
        <f aca="false">SUMPRODUCT(B96:J96,Optimization!$C$10:$K$10)</f>
        <v>-0.000770460271388152</v>
      </c>
      <c r="O96" s="27" t="n">
        <f aca="false">IF(AND(A96&gt;=Inputs!$C$6,A96&lt;=Inputs!$C$7),1,0)</f>
        <v>0</v>
      </c>
      <c r="P96" s="28" t="n">
        <f aca="false">P95*(1+K96)</f>
        <v>124.627682591022</v>
      </c>
      <c r="Q96" s="28" t="n">
        <f aca="false">MAX(Q95,P96)</f>
        <v>125.159176560101</v>
      </c>
      <c r="R96" s="29" t="n">
        <f aca="false">P96/Q96-1</f>
        <v>-0.00424654415030923</v>
      </c>
      <c r="S96" s="26" t="n">
        <f aca="false">IF(A96=Inputs!$C$12,"",F96)</f>
        <v>0.0127272727272727</v>
      </c>
      <c r="T96" s="27" t="n">
        <f aca="false">IF(AND(A96&gt;Risk_Metrics!$C$28,P96&gt;=Risk_Metrics!$C$30),1,0)</f>
        <v>0</v>
      </c>
      <c r="U96" s="26" t="n">
        <f aca="false">IF(A96=Inputs!$C$12,"",K96)</f>
        <v>0.0031800675091814</v>
      </c>
    </row>
    <row r="97" customFormat="false" ht="15" hidden="false" customHeight="false" outlineLevel="0" collapsed="false">
      <c r="A97" s="25" t="n">
        <f aca="false">Prices!A98</f>
        <v>43847</v>
      </c>
      <c r="B97" s="26" t="n">
        <f aca="false">Prices!B98/Prices!B97-1</f>
        <v>0.00512000000000001</v>
      </c>
      <c r="C97" s="26" t="n">
        <f aca="false">Prices!C98/Prices!C97-1</f>
        <v>0.0316268259385666</v>
      </c>
      <c r="D97" s="26" t="n">
        <f aca="false">Prices!D98/Prices!D97-1</f>
        <v>0.0048450099246613</v>
      </c>
      <c r="E97" s="26" t="n">
        <f aca="false">Prices!E98/Prices!E97-1</f>
        <v>0.00691759890467547</v>
      </c>
      <c r="F97" s="26" t="n">
        <f aca="false">Prices!F98/Prices!F97-1</f>
        <v>0.0172351885098743</v>
      </c>
      <c r="G97" s="26" t="n">
        <f aca="false">Prices!G98/Prices!G97-1</f>
        <v>0.0120058265296734</v>
      </c>
      <c r="H97" s="26" t="n">
        <f aca="false">Prices!H98/Prices!H97-1</f>
        <v>0.0111788617886179</v>
      </c>
      <c r="I97" s="26" t="n">
        <f aca="false">Prices!I98/Prices!I97-1</f>
        <v>0.0190941823926929</v>
      </c>
      <c r="J97" s="26" t="n">
        <f aca="false">Prices!J98/Prices!J97-1</f>
        <v>0.0331702386503621</v>
      </c>
      <c r="K97" s="26" t="n">
        <f aca="false">SUMPRODUCT(B97:J97,Optimization!$C$7:$K$7)</f>
        <v>0.0156881925154582</v>
      </c>
      <c r="L97" s="26" t="n">
        <f aca="false">SUMPRODUCT(B97:J97,Optimization!$C$8:$K$8)</f>
        <v>0.0144667254683164</v>
      </c>
      <c r="M97" s="26" t="n">
        <f aca="false">SUMPRODUCT(B97:J97,Optimization!$C$9:$K$9)</f>
        <v>0.0173189770128038</v>
      </c>
      <c r="N97" s="26" t="n">
        <f aca="false">SUMPRODUCT(B97:J97,Optimization!$C$10:$K$10)</f>
        <v>0.0132558394811669</v>
      </c>
      <c r="O97" s="27" t="n">
        <f aca="false">IF(AND(A97&gt;=Inputs!$C$6,A97&lt;=Inputs!$C$7),1,0)</f>
        <v>0</v>
      </c>
      <c r="P97" s="28" t="n">
        <f aca="false">P96*(1+K97)</f>
        <v>126.582865668266</v>
      </c>
      <c r="Q97" s="28" t="n">
        <f aca="false">MAX(Q96,P97)</f>
        <v>126.582865668266</v>
      </c>
      <c r="R97" s="29" t="n">
        <f aca="false">P97/Q97-1</f>
        <v>0</v>
      </c>
      <c r="S97" s="26" t="n">
        <f aca="false">IF(A97=Inputs!$C$12,"",F97)</f>
        <v>0.0172351885098743</v>
      </c>
      <c r="T97" s="27" t="n">
        <f aca="false">IF(AND(A97&gt;Risk_Metrics!$C$28,P97&gt;=Risk_Metrics!$C$30),1,0)</f>
        <v>0</v>
      </c>
      <c r="U97" s="26" t="n">
        <f aca="false">IF(A97=Inputs!$C$12,"",K97)</f>
        <v>0.0156881925154582</v>
      </c>
    </row>
    <row r="98" customFormat="false" ht="15" hidden="false" customHeight="false" outlineLevel="0" collapsed="false">
      <c r="A98" s="25" t="n">
        <f aca="false">Prices!A99</f>
        <v>43850</v>
      </c>
      <c r="B98" s="26" t="n">
        <f aca="false">Prices!B99/Prices!B98-1</f>
        <v>0.00588982808022931</v>
      </c>
      <c r="C98" s="26" t="n">
        <f aca="false">Prices!C99/Prices!C98-1</f>
        <v>0.00352887083213194</v>
      </c>
      <c r="D98" s="26" t="n">
        <f aca="false">Prices!D99/Prices!D98-1</f>
        <v>0.00626812921890063</v>
      </c>
      <c r="E98" s="26" t="n">
        <f aca="false">Prices!E99/Prices!E98-1</f>
        <v>0.00222259033248773</v>
      </c>
      <c r="F98" s="26" t="n">
        <f aca="false">Prices!F99/Prices!F98-1</f>
        <v>0.024002823861631</v>
      </c>
      <c r="G98" s="26" t="n">
        <f aca="false">Prices!G99/Prices!G98-1</f>
        <v>-0.00231484368301971</v>
      </c>
      <c r="H98" s="26" t="n">
        <f aca="false">Prices!H99/Prices!H98-1</f>
        <v>0.00502512562814061</v>
      </c>
      <c r="I98" s="26" t="n">
        <f aca="false">Prices!I99/Prices!I98-1</f>
        <v>0.0232270327244235</v>
      </c>
      <c r="J98" s="26" t="n">
        <f aca="false">Prices!J99/Prices!J98-1</f>
        <v>0.00631580701754375</v>
      </c>
      <c r="K98" s="26" t="n">
        <f aca="false">SUMPRODUCT(B98:J98,Optimization!$C$7:$K$7)</f>
        <v>0.00824059600138542</v>
      </c>
      <c r="L98" s="26" t="n">
        <f aca="false">SUMPRODUCT(B98:J98,Optimization!$C$8:$K$8)</f>
        <v>0.00753843870724476</v>
      </c>
      <c r="M98" s="26" t="n">
        <f aca="false">SUMPRODUCT(B98:J98,Optimization!$C$9:$K$9)</f>
        <v>0.00816128824534723</v>
      </c>
      <c r="N98" s="26" t="n">
        <f aca="false">SUMPRODUCT(B98:J98,Optimization!$C$10:$K$10)</f>
        <v>0.00643021872997506</v>
      </c>
      <c r="O98" s="27" t="n">
        <f aca="false">IF(AND(A98&gt;=Inputs!$C$6,A98&lt;=Inputs!$C$7),1,0)</f>
        <v>0</v>
      </c>
      <c r="P98" s="28" t="n">
        <f aca="false">P97*(1+K98)</f>
        <v>127.625983924935</v>
      </c>
      <c r="Q98" s="28" t="n">
        <f aca="false">MAX(Q97,P98)</f>
        <v>127.625983924935</v>
      </c>
      <c r="R98" s="29" t="n">
        <f aca="false">P98/Q98-1</f>
        <v>0</v>
      </c>
      <c r="S98" s="26" t="n">
        <f aca="false">IF(A98=Inputs!$C$12,"",F98)</f>
        <v>0.024002823861631</v>
      </c>
      <c r="T98" s="27" t="n">
        <f aca="false">IF(AND(A98&gt;Risk_Metrics!$C$28,P98&gt;=Risk_Metrics!$C$30),1,0)</f>
        <v>0</v>
      </c>
      <c r="U98" s="26" t="n">
        <f aca="false">IF(A98=Inputs!$C$12,"",K98)</f>
        <v>0.00824059600138542</v>
      </c>
    </row>
    <row r="99" customFormat="false" ht="15" hidden="false" customHeight="false" outlineLevel="0" collapsed="false">
      <c r="A99" s="25" t="n">
        <f aca="false">Prices!A100</f>
        <v>43851</v>
      </c>
      <c r="B99" s="26" t="n">
        <f aca="false">Prices!B100/Prices!B99-1</f>
        <v>0.0449438209359681</v>
      </c>
      <c r="C99" s="26" t="n">
        <f aca="false">Prices!C100/Prices!C99-1</f>
        <v>-0.0175823743992252</v>
      </c>
      <c r="D99" s="26" t="n">
        <f aca="false">Prices!D100/Prices!D99-1</f>
        <v>-0.000479156661276514</v>
      </c>
      <c r="E99" s="26" t="n">
        <f aca="false">Prices!E100/Prices!E99-1</f>
        <v>-0.008064455970341</v>
      </c>
      <c r="F99" s="26" t="n">
        <f aca="false">Prices!F100/Prices!F99-1</f>
        <v>0</v>
      </c>
      <c r="G99" s="26" t="n">
        <f aca="false">Prices!G100/Prices!G99-1</f>
        <v>-0.00667053364269132</v>
      </c>
      <c r="H99" s="26" t="n">
        <f aca="false">Prices!H100/Prices!H99-1</f>
        <v>-0.0126666333333334</v>
      </c>
      <c r="I99" s="26" t="n">
        <f aca="false">Prices!I100/Prices!I99-1</f>
        <v>0.00105927693313146</v>
      </c>
      <c r="J99" s="26" t="n">
        <f aca="false">Prices!J100/Prices!J99-1</f>
        <v>-0.0231869242819573</v>
      </c>
      <c r="K99" s="26" t="n">
        <f aca="false">SUMPRODUCT(B99:J99,Optimization!$C$7:$K$7)</f>
        <v>-0.00251633115774725</v>
      </c>
      <c r="L99" s="26" t="n">
        <f aca="false">SUMPRODUCT(B99:J99,Optimization!$C$8:$K$8)</f>
        <v>0.00082085579670015</v>
      </c>
      <c r="M99" s="26" t="n">
        <f aca="false">SUMPRODUCT(B99:J99,Optimization!$C$9:$K$9)</f>
        <v>0.000370667624942828</v>
      </c>
      <c r="N99" s="26" t="n">
        <f aca="false">SUMPRODUCT(B99:J99,Optimization!$C$10:$K$10)</f>
        <v>0.00195293291781148</v>
      </c>
      <c r="O99" s="27" t="n">
        <f aca="false">IF(AND(A99&gt;=Inputs!$C$6,A99&lt;=Inputs!$C$7),1,0)</f>
        <v>0</v>
      </c>
      <c r="P99" s="28" t="n">
        <f aca="false">P98*(1+K99)</f>
        <v>127.304834685047</v>
      </c>
      <c r="Q99" s="28" t="n">
        <f aca="false">MAX(Q98,P99)</f>
        <v>127.625983924935</v>
      </c>
      <c r="R99" s="29" t="n">
        <f aca="false">P99/Q99-1</f>
        <v>-0.0025163311577473</v>
      </c>
      <c r="S99" s="26" t="n">
        <f aca="false">IF(A99=Inputs!$C$12,"",F99)</f>
        <v>0</v>
      </c>
      <c r="T99" s="27" t="n">
        <f aca="false">IF(AND(A99&gt;Risk_Metrics!$C$28,P99&gt;=Risk_Metrics!$C$30),1,0)</f>
        <v>0</v>
      </c>
      <c r="U99" s="26" t="n">
        <f aca="false">IF(A99=Inputs!$C$12,"",K99)</f>
        <v>-0.00251633115774725</v>
      </c>
    </row>
    <row r="100" customFormat="false" ht="15" hidden="false" customHeight="false" outlineLevel="0" collapsed="false">
      <c r="A100" s="25" t="n">
        <f aca="false">Prices!A101</f>
        <v>43852</v>
      </c>
      <c r="B100" s="26" t="n">
        <f aca="false">Prices!B101/Prices!B100-1</f>
        <v>-0.0199909135240182</v>
      </c>
      <c r="C100" s="26" t="n">
        <f aca="false">Prices!C101/Prices!C100-1</f>
        <v>0.0626397986577181</v>
      </c>
      <c r="D100" s="26" t="n">
        <f aca="false">Prices!D101/Prices!D100-1</f>
        <v>0.0273249747207587</v>
      </c>
      <c r="E100" s="26" t="n">
        <f aca="false">Prices!E101/Prices!E100-1</f>
        <v>0.0128048981137217</v>
      </c>
      <c r="F100" s="26" t="n">
        <f aca="false">Prices!F101/Prices!F100-1</f>
        <v>-0.0168907273354016</v>
      </c>
      <c r="G100" s="26" t="n">
        <f aca="false">Prices!G101/Prices!G100-1</f>
        <v>0.0140145985401459</v>
      </c>
      <c r="H100" s="26" t="n">
        <f aca="false">Prices!H101/Prices!H100-1</f>
        <v>-0.0111411204881458</v>
      </c>
      <c r="I100" s="26" t="n">
        <f aca="false">Prices!I101/Prices!I100-1</f>
        <v>0.0110355249582932</v>
      </c>
      <c r="J100" s="26" t="n">
        <f aca="false">Prices!J101/Prices!J100-1</f>
        <v>0.00481884713223013</v>
      </c>
      <c r="K100" s="26" t="n">
        <f aca="false">SUMPRODUCT(B100:J100,Optimization!$C$7:$K$7)</f>
        <v>0.00940176453058911</v>
      </c>
      <c r="L100" s="26" t="n">
        <f aca="false">SUMPRODUCT(B100:J100,Optimization!$C$8:$K$8)</f>
        <v>0.0191680679659976</v>
      </c>
      <c r="M100" s="26" t="n">
        <f aca="false">SUMPRODUCT(B100:J100,Optimization!$C$9:$K$9)</f>
        <v>0.0163128801677192</v>
      </c>
      <c r="N100" s="26" t="n">
        <f aca="false">SUMPRODUCT(B100:J100,Optimization!$C$10:$K$10)</f>
        <v>0.0198933130716397</v>
      </c>
      <c r="O100" s="27" t="n">
        <f aca="false">IF(AND(A100&gt;=Inputs!$C$6,A100&lt;=Inputs!$C$7),1,0)</f>
        <v>0</v>
      </c>
      <c r="P100" s="28" t="n">
        <f aca="false">P99*(1+K100)</f>
        <v>128.501724764361</v>
      </c>
      <c r="Q100" s="28" t="n">
        <f aca="false">MAX(Q99,P100)</f>
        <v>128.501724764361</v>
      </c>
      <c r="R100" s="29" t="n">
        <f aca="false">P100/Q100-1</f>
        <v>0</v>
      </c>
      <c r="S100" s="26" t="n">
        <f aca="false">IF(A100=Inputs!$C$12,"",F100)</f>
        <v>-0.0168907273354016</v>
      </c>
      <c r="T100" s="27" t="n">
        <f aca="false">IF(AND(A100&gt;Risk_Metrics!$C$28,P100&gt;=Risk_Metrics!$C$30),1,0)</f>
        <v>0</v>
      </c>
      <c r="U100" s="26" t="n">
        <f aca="false">IF(A100=Inputs!$C$12,"",K100)</f>
        <v>0.00940176453058911</v>
      </c>
    </row>
    <row r="101" customFormat="false" ht="15" hidden="false" customHeight="false" outlineLevel="0" collapsed="false">
      <c r="A101" s="25" t="n">
        <f aca="false">Prices!A102</f>
        <v>43853</v>
      </c>
      <c r="B101" s="26" t="n">
        <f aca="false">Prices!B102/Prices!B101-1</f>
        <v>-0.0156080670005883</v>
      </c>
      <c r="C101" s="26" t="n">
        <f aca="false">Prices!C102/Prices!C101-1</f>
        <v>0.0252632215844888</v>
      </c>
      <c r="D101" s="26" t="n">
        <f aca="false">Prices!D102/Prices!D101-1</f>
        <v>0.0186654223051796</v>
      </c>
      <c r="E101" s="26" t="n">
        <f aca="false">Prices!E102/Prices!E101-1</f>
        <v>0.0383303215600914</v>
      </c>
      <c r="F101" s="26" t="n">
        <f aca="false">Prices!F102/Prices!F101-1</f>
        <v>0.0189340462833101</v>
      </c>
      <c r="G101" s="26" t="n">
        <f aca="false">Prices!G102/Prices!G101-1</f>
        <v>0.0227469046933488</v>
      </c>
      <c r="H101" s="26" t="n">
        <f aca="false">Prices!H102/Prices!H101-1</f>
        <v>0.0122908496998686</v>
      </c>
      <c r="I101" s="26" t="n">
        <f aca="false">Prices!I102/Prices!I101-1</f>
        <v>0.0020932931795048</v>
      </c>
      <c r="J101" s="26" t="n">
        <f aca="false">Prices!J102/Prices!J101-1</f>
        <v>-0.0142095739646461</v>
      </c>
      <c r="K101" s="26" t="n">
        <f aca="false">SUMPRODUCT(B101:J101,Optimization!$C$7:$K$7)</f>
        <v>0.0120562687045064</v>
      </c>
      <c r="L101" s="26" t="n">
        <f aca="false">SUMPRODUCT(B101:J101,Optimization!$C$8:$K$8)</f>
        <v>0.00707400162949549</v>
      </c>
      <c r="M101" s="26" t="n">
        <f aca="false">SUMPRODUCT(B101:J101,Optimization!$C$9:$K$9)</f>
        <v>0.00348612023738692</v>
      </c>
      <c r="N101" s="26" t="n">
        <f aca="false">SUMPRODUCT(B101:J101,Optimization!$C$10:$K$10)</f>
        <v>0.00805929329777513</v>
      </c>
      <c r="O101" s="27" t="n">
        <f aca="false">IF(AND(A101&gt;=Inputs!$C$6,A101&lt;=Inputs!$C$7),1,0)</f>
        <v>0</v>
      </c>
      <c r="P101" s="28" t="n">
        <f aca="false">P100*(1+K101)</f>
        <v>130.050976087113</v>
      </c>
      <c r="Q101" s="28" t="n">
        <f aca="false">MAX(Q100,P101)</f>
        <v>130.050976087113</v>
      </c>
      <c r="R101" s="29" t="n">
        <f aca="false">P101/Q101-1</f>
        <v>0</v>
      </c>
      <c r="S101" s="26" t="n">
        <f aca="false">IF(A101=Inputs!$C$12,"",F101)</f>
        <v>0.0189340462833101</v>
      </c>
      <c r="T101" s="27" t="n">
        <f aca="false">IF(AND(A101&gt;Risk_Metrics!$C$28,P101&gt;=Risk_Metrics!$C$30),1,0)</f>
        <v>0</v>
      </c>
      <c r="U101" s="26" t="n">
        <f aca="false">IF(A101=Inputs!$C$12,"",K101)</f>
        <v>0.0120562687045064</v>
      </c>
    </row>
    <row r="102" customFormat="false" ht="15" hidden="false" customHeight="false" outlineLevel="0" collapsed="false">
      <c r="A102" s="25" t="n">
        <f aca="false">Prices!A103</f>
        <v>43854</v>
      </c>
      <c r="B102" s="26" t="n">
        <f aca="false">Prices!B103/Prices!B102-1</f>
        <v>0.00141287281926417</v>
      </c>
      <c r="C102" s="26" t="n">
        <f aca="false">Prices!C103/Prices!C102-1</f>
        <v>0.00595478414970074</v>
      </c>
      <c r="D102" s="26" t="n">
        <f aca="false">Prices!D103/Prices!D102-1</f>
        <v>-0.00732936326156652</v>
      </c>
      <c r="E102" s="26" t="n">
        <f aca="false">Prices!E103/Prices!E102-1</f>
        <v>-0.00637808247475524</v>
      </c>
      <c r="F102" s="26" t="n">
        <f aca="false">Prices!F103/Prices!F102-1</f>
        <v>-0.00378520315847231</v>
      </c>
      <c r="G102" s="26" t="n">
        <f aca="false">Prices!G103/Prices!G102-1</f>
        <v>-0.0109797015765767</v>
      </c>
      <c r="H102" s="26" t="n">
        <f aca="false">Prices!H103/Prices!H102-1</f>
        <v>-0.0118044182124789</v>
      </c>
      <c r="I102" s="26" t="n">
        <f aca="false">Prices!I103/Prices!I102-1</f>
        <v>-0.0094001339942339</v>
      </c>
      <c r="J102" s="26" t="n">
        <f aca="false">Prices!J103/Prices!J102-1</f>
        <v>-0.0306306486486486</v>
      </c>
      <c r="K102" s="26" t="n">
        <f aca="false">SUMPRODUCT(B102:J102,Optimization!$C$7:$K$7)</f>
        <v>-0.00810443270641859</v>
      </c>
      <c r="L102" s="26" t="n">
        <f aca="false">SUMPRODUCT(B102:J102,Optimization!$C$8:$K$8)</f>
        <v>-0.00828313552946148</v>
      </c>
      <c r="M102" s="26" t="n">
        <f aca="false">SUMPRODUCT(B102:J102,Optimization!$C$9:$K$9)</f>
        <v>-0.0094013773542097</v>
      </c>
      <c r="N102" s="26" t="n">
        <f aca="false">SUMPRODUCT(B102:J102,Optimization!$C$10:$K$10)</f>
        <v>-0.00744532821944689</v>
      </c>
      <c r="O102" s="27" t="n">
        <f aca="false">IF(AND(A102&gt;=Inputs!$C$6,A102&lt;=Inputs!$C$7),1,0)</f>
        <v>0</v>
      </c>
      <c r="P102" s="28" t="n">
        <f aca="false">P101*(1+K102)</f>
        <v>128.996986703011</v>
      </c>
      <c r="Q102" s="28" t="n">
        <f aca="false">MAX(Q101,P102)</f>
        <v>130.050976087113</v>
      </c>
      <c r="R102" s="29" t="n">
        <f aca="false">P102/Q102-1</f>
        <v>-0.0081044327064187</v>
      </c>
      <c r="S102" s="26" t="n">
        <f aca="false">IF(A102=Inputs!$C$12,"",F102)</f>
        <v>-0.00378520315847231</v>
      </c>
      <c r="T102" s="27" t="n">
        <f aca="false">IF(AND(A102&gt;Risk_Metrics!$C$28,P102&gt;=Risk_Metrics!$C$30),1,0)</f>
        <v>0</v>
      </c>
      <c r="U102" s="26" t="n">
        <f aca="false">IF(A102=Inputs!$C$12,"",K102)</f>
        <v>-0.00810443270641859</v>
      </c>
    </row>
    <row r="103" customFormat="false" ht="15" hidden="false" customHeight="false" outlineLevel="0" collapsed="false">
      <c r="A103" s="25" t="n">
        <f aca="false">Prices!A104</f>
        <v>43857</v>
      </c>
      <c r="B103" s="26" t="n">
        <f aca="false">Prices!B104/Prices!B103-1</f>
        <v>-0.0172441132270871</v>
      </c>
      <c r="C103" s="26" t="n">
        <f aca="false">Prices!C104/Prices!C103-1</f>
        <v>-0.0273525413349662</v>
      </c>
      <c r="D103" s="26" t="n">
        <f aca="false">Prices!D104/Prices!D103-1</f>
        <v>-0.031841255191509</v>
      </c>
      <c r="E103" s="26" t="n">
        <f aca="false">Prices!E104/Prices!E103-1</f>
        <v>0.000583524606107888</v>
      </c>
      <c r="F103" s="26" t="n">
        <f aca="false">Prices!F104/Prices!F103-1</f>
        <v>-0.0252159576782052</v>
      </c>
      <c r="G103" s="26" t="n">
        <f aca="false">Prices!G104/Prices!G103-1</f>
        <v>-0.0298889544580429</v>
      </c>
      <c r="H103" s="26" t="n">
        <f aca="false">Prices!H104/Prices!H103-1</f>
        <v>-0.0433446431175647</v>
      </c>
      <c r="I103" s="26" t="n">
        <f aca="false">Prices!I104/Prices!I103-1</f>
        <v>-0.0363006275439018</v>
      </c>
      <c r="J103" s="26" t="n">
        <f aca="false">Prices!J104/Prices!J103-1</f>
        <v>-0.0611524360809003</v>
      </c>
      <c r="K103" s="26" t="n">
        <f aca="false">SUMPRODUCT(B103:J103,Optimization!$C$7:$K$7)</f>
        <v>-0.0301952226695633</v>
      </c>
      <c r="L103" s="26" t="n">
        <f aca="false">SUMPRODUCT(B103:J103,Optimization!$C$8:$K$8)</f>
        <v>-0.0342512216602894</v>
      </c>
      <c r="M103" s="26" t="n">
        <f aca="false">SUMPRODUCT(B103:J103,Optimization!$C$9:$K$9)</f>
        <v>-0.0358311399409149</v>
      </c>
      <c r="N103" s="26" t="n">
        <f aca="false">SUMPRODUCT(B103:J103,Optimization!$C$10:$K$10)</f>
        <v>-0.0330971140554862</v>
      </c>
      <c r="O103" s="27" t="n">
        <f aca="false">IF(AND(A103&gt;=Inputs!$C$6,A103&lt;=Inputs!$C$7),1,0)</f>
        <v>0</v>
      </c>
      <c r="P103" s="28" t="n">
        <f aca="false">P102*(1+K103)</f>
        <v>125.101893965811</v>
      </c>
      <c r="Q103" s="28" t="n">
        <f aca="false">MAX(Q102,P103)</f>
        <v>130.050976087113</v>
      </c>
      <c r="R103" s="29" t="n">
        <f aca="false">P103/Q103-1</f>
        <v>-0.0380549402258011</v>
      </c>
      <c r="S103" s="26" t="n">
        <f aca="false">IF(A103=Inputs!$C$12,"",F103)</f>
        <v>-0.0252159576782052</v>
      </c>
      <c r="T103" s="27" t="n">
        <f aca="false">IF(AND(A103&gt;Risk_Metrics!$C$28,P103&gt;=Risk_Metrics!$C$30),1,0)</f>
        <v>0</v>
      </c>
      <c r="U103" s="26" t="n">
        <f aca="false">IF(A103=Inputs!$C$12,"",K103)</f>
        <v>-0.0301952226695633</v>
      </c>
    </row>
    <row r="104" customFormat="false" ht="15" hidden="false" customHeight="false" outlineLevel="0" collapsed="false">
      <c r="A104" s="25" t="n">
        <f aca="false">Prices!A105</f>
        <v>43858</v>
      </c>
      <c r="B104" s="26" t="n">
        <f aca="false">Prices!B105/Prices!B104-1</f>
        <v>0.0151539322883065</v>
      </c>
      <c r="C104" s="26" t="n">
        <f aca="false">Prices!C105/Prices!C104-1</f>
        <v>0.0300105777546815</v>
      </c>
      <c r="D104" s="26" t="n">
        <f aca="false">Prices!D105/Prices!D104-1</f>
        <v>-0.0057196854146806</v>
      </c>
      <c r="E104" s="26" t="n">
        <f aca="false">Prices!E105/Prices!E104-1</f>
        <v>0.028382640520658</v>
      </c>
      <c r="F104" s="26" t="n">
        <f aca="false">Prices!F105/Prices!F104-1</f>
        <v>0.00885896558678123</v>
      </c>
      <c r="G104" s="26" t="n">
        <f aca="false">Prices!G105/Prices!G104-1</f>
        <v>0.0167253511311414</v>
      </c>
      <c r="H104" s="26" t="n">
        <f aca="false">Prices!H105/Prices!H104-1</f>
        <v>0.027470494917214</v>
      </c>
      <c r="I104" s="26" t="n">
        <f aca="false">Prices!I105/Prices!I104-1</f>
        <v>0.00828377780457856</v>
      </c>
      <c r="J104" s="26" t="n">
        <f aca="false">Prices!J105/Prices!J104-1</f>
        <v>0.0136607211902879</v>
      </c>
      <c r="K104" s="26" t="n">
        <f aca="false">SUMPRODUCT(B104:J104,Optimization!$C$7:$K$7)</f>
        <v>0.0158696417532187</v>
      </c>
      <c r="L104" s="26" t="n">
        <f aca="false">SUMPRODUCT(B104:J104,Optimization!$C$8:$K$8)</f>
        <v>0.00679704683964626</v>
      </c>
      <c r="M104" s="26" t="n">
        <f aca="false">SUMPRODUCT(B104:J104,Optimization!$C$9:$K$9)</f>
        <v>0.00977964737140628</v>
      </c>
      <c r="N104" s="26" t="n">
        <f aca="false">SUMPRODUCT(B104:J104,Optimization!$C$10:$K$10)</f>
        <v>0.0062619389595705</v>
      </c>
      <c r="O104" s="27" t="n">
        <f aca="false">IF(AND(A104&gt;=Inputs!$C$6,A104&lt;=Inputs!$C$7),1,0)</f>
        <v>0</v>
      </c>
      <c r="P104" s="28" t="n">
        <f aca="false">P103*(1+K104)</f>
        <v>127.087216205697</v>
      </c>
      <c r="Q104" s="28" t="n">
        <f aca="false">MAX(Q103,P104)</f>
        <v>130.050976087113</v>
      </c>
      <c r="R104" s="29" t="n">
        <f aca="false">P104/Q104-1</f>
        <v>-0.022789216740906</v>
      </c>
      <c r="S104" s="26" t="n">
        <f aca="false">IF(A104=Inputs!$C$12,"",F104)</f>
        <v>0.00885896558678123</v>
      </c>
      <c r="T104" s="27" t="n">
        <f aca="false">IF(AND(A104&gt;Risk_Metrics!$C$28,P104&gt;=Risk_Metrics!$C$30),1,0)</f>
        <v>0</v>
      </c>
      <c r="U104" s="26" t="n">
        <f aca="false">IF(A104=Inputs!$C$12,"",K104)</f>
        <v>0.0158696417532187</v>
      </c>
    </row>
    <row r="105" customFormat="false" ht="15" hidden="false" customHeight="false" outlineLevel="0" collapsed="false">
      <c r="A105" s="25" t="n">
        <f aca="false">Prices!A106</f>
        <v>43859</v>
      </c>
      <c r="B105" s="26" t="n">
        <f aca="false">Prices!B106/Prices!B105-1</f>
        <v>0.00942801711860497</v>
      </c>
      <c r="C105" s="26" t="n">
        <f aca="false">Prices!C106/Prices!C105-1</f>
        <v>-0.00977995050244807</v>
      </c>
      <c r="D105" s="26" t="n">
        <f aca="false">Prices!D106/Prices!D105-1</f>
        <v>0.0095876313716381</v>
      </c>
      <c r="E105" s="26" t="n">
        <f aca="false">Prices!E106/Prices!E105-1</f>
        <v>0.0255198099992511</v>
      </c>
      <c r="F105" s="26" t="n">
        <f aca="false">Prices!F106/Prices!F105-1</f>
        <v>-0.00245869344779404</v>
      </c>
      <c r="G105" s="26" t="n">
        <f aca="false">Prices!G106/Prices!G105-1</f>
        <v>0.0109667237537243</v>
      </c>
      <c r="H105" s="26" t="n">
        <f aca="false">Prices!H106/Prices!H105-1</f>
        <v>0.00173614589361626</v>
      </c>
      <c r="I105" s="26" t="n">
        <f aca="false">Prices!I106/Prices!I105-1</f>
        <v>-0.00790573543565876</v>
      </c>
      <c r="J105" s="26" t="n">
        <f aca="false">Prices!J106/Prices!J105-1</f>
        <v>-0.00878908185958827</v>
      </c>
      <c r="K105" s="26" t="n">
        <f aca="false">SUMPRODUCT(B105:J105,Optimization!$C$7:$K$7)</f>
        <v>0.00314498521014951</v>
      </c>
      <c r="L105" s="26" t="n">
        <f aca="false">SUMPRODUCT(B105:J105,Optimization!$C$8:$K$8)</f>
        <v>0.00227238955178912</v>
      </c>
      <c r="M105" s="26" t="n">
        <f aca="false">SUMPRODUCT(B105:J105,Optimization!$C$9:$K$9)</f>
        <v>6.7735472440805E-005</v>
      </c>
      <c r="N105" s="26" t="n">
        <f aca="false">SUMPRODUCT(B105:J105,Optimization!$C$10:$K$10)</f>
        <v>0.00356789139294841</v>
      </c>
      <c r="O105" s="27" t="n">
        <f aca="false">IF(AND(A105&gt;=Inputs!$C$6,A105&lt;=Inputs!$C$7),1,0)</f>
        <v>0</v>
      </c>
      <c r="P105" s="28" t="n">
        <f aca="false">P104*(1+K105)</f>
        <v>127.486903621063</v>
      </c>
      <c r="Q105" s="28" t="n">
        <f aca="false">MAX(Q104,P105)</f>
        <v>130.050976087113</v>
      </c>
      <c r="R105" s="29" t="n">
        <f aca="false">P105/Q105-1</f>
        <v>-0.0197159032803576</v>
      </c>
      <c r="S105" s="26" t="n">
        <f aca="false">IF(A105=Inputs!$C$12,"",F105)</f>
        <v>-0.00245869344779404</v>
      </c>
      <c r="T105" s="27" t="n">
        <f aca="false">IF(AND(A105&gt;Risk_Metrics!$C$28,P105&gt;=Risk_Metrics!$C$30),1,0)</f>
        <v>0</v>
      </c>
      <c r="U105" s="26" t="n">
        <f aca="false">IF(A105=Inputs!$C$12,"",K105)</f>
        <v>0.00314498521014951</v>
      </c>
    </row>
    <row r="106" customFormat="false" ht="15" hidden="false" customHeight="false" outlineLevel="0" collapsed="false">
      <c r="A106" s="25" t="n">
        <f aca="false">Prices!A107</f>
        <v>43860</v>
      </c>
      <c r="B106" s="26" t="n">
        <f aca="false">Prices!B107/Prices!B106-1</f>
        <v>-0.0217932447631769</v>
      </c>
      <c r="C106" s="26" t="n">
        <f aca="false">Prices!C107/Prices!C106-1</f>
        <v>0.0041151232027703</v>
      </c>
      <c r="D106" s="26" t="n">
        <f aca="false">Prices!D107/Prices!D106-1</f>
        <v>-0.0194681395758852</v>
      </c>
      <c r="E106" s="26" t="n">
        <f aca="false">Prices!E107/Prices!E106-1</f>
        <v>-0.00774189861751151</v>
      </c>
      <c r="F106" s="26" t="n">
        <f aca="false">Prices!F107/Prices!F106-1</f>
        <v>-0.0242958098591549</v>
      </c>
      <c r="G106" s="26" t="n">
        <f aca="false">Prices!G107/Prices!G106-1</f>
        <v>-0.000570967758234731</v>
      </c>
      <c r="H106" s="26" t="n">
        <f aca="false">Prices!H107/Prices!H106-1</f>
        <v>0.00311961871750421</v>
      </c>
      <c r="I106" s="26" t="n">
        <f aca="false">Prices!I107/Prices!I106-1</f>
        <v>-0.0310937390878441</v>
      </c>
      <c r="J106" s="26" t="n">
        <f aca="false">Prices!J107/Prices!J106-1</f>
        <v>0.0147783251231528</v>
      </c>
      <c r="K106" s="26" t="n">
        <f aca="false">SUMPRODUCT(B106:J106,Optimization!$C$7:$K$7)</f>
        <v>-0.00921674806870889</v>
      </c>
      <c r="L106" s="26" t="n">
        <f aca="false">SUMPRODUCT(B106:J106,Optimization!$C$8:$K$8)</f>
        <v>-0.0122534151532631</v>
      </c>
      <c r="M106" s="26" t="n">
        <f aca="false">SUMPRODUCT(B106:J106,Optimization!$C$9:$K$9)</f>
        <v>-0.010158506713152</v>
      </c>
      <c r="N106" s="26" t="n">
        <f aca="false">SUMPRODUCT(B106:J106,Optimization!$C$10:$K$10)</f>
        <v>-0.012004562205874</v>
      </c>
      <c r="O106" s="27" t="n">
        <f aca="false">IF(AND(A106&gt;=Inputs!$C$6,A106&lt;=Inputs!$C$7),1,0)</f>
        <v>0</v>
      </c>
      <c r="P106" s="28" t="n">
        <f aca="false">P105*(1+K106)</f>
        <v>126.311888948328</v>
      </c>
      <c r="Q106" s="28" t="n">
        <f aca="false">MAX(Q105,P106)</f>
        <v>130.050976087113</v>
      </c>
      <c r="R106" s="29" t="n">
        <f aca="false">P106/Q106-1</f>
        <v>-0.0287509348355842</v>
      </c>
      <c r="S106" s="26" t="n">
        <f aca="false">IF(A106=Inputs!$C$12,"",F106)</f>
        <v>-0.0242958098591549</v>
      </c>
      <c r="T106" s="27" t="n">
        <f aca="false">IF(AND(A106&gt;Risk_Metrics!$C$28,P106&gt;=Risk_Metrics!$C$30),1,0)</f>
        <v>0</v>
      </c>
      <c r="U106" s="26" t="n">
        <f aca="false">IF(A106=Inputs!$C$12,"",K106)</f>
        <v>-0.00921674806870889</v>
      </c>
    </row>
    <row r="107" customFormat="false" ht="15" hidden="false" customHeight="false" outlineLevel="0" collapsed="false">
      <c r="A107" s="25" t="n">
        <f aca="false">Prices!A108</f>
        <v>43861</v>
      </c>
      <c r="B107" s="26" t="n">
        <f aca="false">Prices!B108/Prices!B107-1</f>
        <v>-0.0404201304901337</v>
      </c>
      <c r="C107" s="26" t="n">
        <f aca="false">Prices!C108/Prices!C107-1</f>
        <v>-0.0122950824711099</v>
      </c>
      <c r="D107" s="26" t="n">
        <f aca="false">Prices!D108/Prices!D107-1</f>
        <v>0.0130750605326877</v>
      </c>
      <c r="E107" s="26" t="n">
        <f aca="false">Prices!E108/Prices!E107-1</f>
        <v>-0.00371541877334503</v>
      </c>
      <c r="F107" s="26" t="n">
        <f aca="false">Prices!F108/Prices!F107-1</f>
        <v>-0.00577408898499054</v>
      </c>
      <c r="G107" s="26" t="n">
        <f aca="false">Prices!G108/Prices!G107-1</f>
        <v>-0.00942582173240925</v>
      </c>
      <c r="H107" s="26" t="n">
        <f aca="false">Prices!H108/Prices!H107-1</f>
        <v>-0.0169315819995998</v>
      </c>
      <c r="I107" s="26" t="n">
        <f aca="false">Prices!I108/Prices!I107-1</f>
        <v>0.0209643968575506</v>
      </c>
      <c r="J107" s="26" t="n">
        <f aca="false">Prices!J108/Prices!J107-1</f>
        <v>-0.023883495145631</v>
      </c>
      <c r="K107" s="26" t="n">
        <f aca="false">SUMPRODUCT(B107:J107,Optimization!$C$7:$K$7)</f>
        <v>-0.00871179580077566</v>
      </c>
      <c r="L107" s="26" t="n">
        <f aca="false">SUMPRODUCT(B107:J107,Optimization!$C$8:$K$8)</f>
        <v>-0.00394913299165754</v>
      </c>
      <c r="M107" s="26" t="n">
        <f aca="false">SUMPRODUCT(B107:J107,Optimization!$C$9:$K$9)</f>
        <v>-0.00796114210787928</v>
      </c>
      <c r="N107" s="26" t="n">
        <f aca="false">SUMPRODUCT(B107:J107,Optimization!$C$10:$K$10)</f>
        <v>-0.00508966838127793</v>
      </c>
      <c r="O107" s="27" t="n">
        <f aca="false">IF(AND(A107&gt;=Inputs!$C$6,A107&lt;=Inputs!$C$7),1,0)</f>
        <v>0</v>
      </c>
      <c r="P107" s="28" t="n">
        <f aca="false">P106*(1+K107)</f>
        <v>125.2114855646</v>
      </c>
      <c r="Q107" s="28" t="n">
        <f aca="false">MAX(Q106,P107)</f>
        <v>130.050976087113</v>
      </c>
      <c r="R107" s="29" t="n">
        <f aca="false">P107/Q107-1</f>
        <v>-0.0372122583629908</v>
      </c>
      <c r="S107" s="26" t="n">
        <f aca="false">IF(A107=Inputs!$C$12,"",F107)</f>
        <v>-0.00577408898499054</v>
      </c>
      <c r="T107" s="27" t="n">
        <f aca="false">IF(AND(A107&gt;Risk_Metrics!$C$28,P107&gt;=Risk_Metrics!$C$30),1,0)</f>
        <v>0</v>
      </c>
      <c r="U107" s="26" t="n">
        <f aca="false">IF(A107=Inputs!$C$12,"",K107)</f>
        <v>-0.00871179580077566</v>
      </c>
    </row>
    <row r="108" customFormat="false" ht="15" hidden="false" customHeight="false" outlineLevel="0" collapsed="false">
      <c r="A108" s="25" t="n">
        <f aca="false">Prices!A109</f>
        <v>43864</v>
      </c>
      <c r="B108" s="26" t="n">
        <f aca="false">Prices!B109/Prices!B108-1</f>
        <v>0.018076285540237</v>
      </c>
      <c r="C108" s="26" t="n">
        <f aca="false">Prices!C109/Prices!C108-1</f>
        <v>0.039211682124966</v>
      </c>
      <c r="D108" s="26" t="n">
        <f aca="false">Prices!D109/Prices!D108-1</f>
        <v>-0.0176864722753347</v>
      </c>
      <c r="E108" s="26" t="n">
        <f aca="false">Prices!E109/Prices!E108-1</f>
        <v>0.0154763748745781</v>
      </c>
      <c r="F108" s="26" t="n">
        <f aca="false">Prices!F109/Prices!F108-1</f>
        <v>-0.00907441049271907</v>
      </c>
      <c r="G108" s="26" t="n">
        <f aca="false">Prices!G109/Prices!G108-1</f>
        <v>0.0155709630911189</v>
      </c>
      <c r="H108" s="26" t="n">
        <f aca="false">Prices!H109/Prices!H108-1</f>
        <v>-0.00949036873496068</v>
      </c>
      <c r="I108" s="26" t="n">
        <f aca="false">Prices!I109/Prices!I108-1</f>
        <v>-0.00189548851786836</v>
      </c>
      <c r="J108" s="26" t="n">
        <f aca="false">Prices!J109/Prices!J108-1</f>
        <v>0.0127312512432862</v>
      </c>
      <c r="K108" s="26" t="n">
        <f aca="false">SUMPRODUCT(B108:J108,Optimization!$C$7:$K$7)</f>
        <v>0.00699109076147815</v>
      </c>
      <c r="L108" s="26" t="n">
        <f aca="false">SUMPRODUCT(B108:J108,Optimization!$C$8:$K$8)</f>
        <v>0.0019238707667789</v>
      </c>
      <c r="M108" s="26" t="n">
        <f aca="false">SUMPRODUCT(B108:J108,Optimization!$C$9:$K$9)</f>
        <v>0.00644181697685711</v>
      </c>
      <c r="N108" s="26" t="n">
        <f aca="false">SUMPRODUCT(B108:J108,Optimization!$C$10:$K$10)</f>
        <v>0.00154642861719016</v>
      </c>
      <c r="O108" s="27" t="n">
        <f aca="false">IF(AND(A108&gt;=Inputs!$C$6,A108&lt;=Inputs!$C$7),1,0)</f>
        <v>0</v>
      </c>
      <c r="P108" s="28" t="n">
        <f aca="false">P107*(1+K108)</f>
        <v>126.086850424562</v>
      </c>
      <c r="Q108" s="28" t="n">
        <f aca="false">MAX(Q107,P108)</f>
        <v>130.050976087113</v>
      </c>
      <c r="R108" s="29" t="n">
        <f aca="false">P108/Q108-1</f>
        <v>-0.030481321877168</v>
      </c>
      <c r="S108" s="26" t="n">
        <f aca="false">IF(A108=Inputs!$C$12,"",F108)</f>
        <v>-0.00907441049271907</v>
      </c>
      <c r="T108" s="27" t="n">
        <f aca="false">IF(AND(A108&gt;Risk_Metrics!$C$28,P108&gt;=Risk_Metrics!$C$30),1,0)</f>
        <v>0</v>
      </c>
      <c r="U108" s="26" t="n">
        <f aca="false">IF(A108=Inputs!$C$12,"",K108)</f>
        <v>0.00699109076147815</v>
      </c>
    </row>
    <row r="109" customFormat="false" ht="15" hidden="false" customHeight="false" outlineLevel="0" collapsed="false">
      <c r="A109" s="25" t="n">
        <f aca="false">Prices!A110</f>
        <v>43865</v>
      </c>
      <c r="B109" s="26" t="n">
        <f aca="false">Prices!B110/Prices!B109-1</f>
        <v>0.00993648818922432</v>
      </c>
      <c r="C109" s="26" t="n">
        <f aca="false">Prices!C110/Prices!C109-1</f>
        <v>-0.0025953083929865</v>
      </c>
      <c r="D109" s="26" t="n">
        <f aca="false">Prices!D110/Prices!D109-1</f>
        <v>0.0199513391703814</v>
      </c>
      <c r="E109" s="26" t="n">
        <f aca="false">Prices!E110/Prices!E109-1</f>
        <v>0.00991555288129908</v>
      </c>
      <c r="F109" s="26" t="n">
        <f aca="false">Prices!F110/Prices!F109-1</f>
        <v>0.018315018985898</v>
      </c>
      <c r="G109" s="26" t="n">
        <f aca="false">Prices!G110/Prices!G109-1</f>
        <v>-0.00113574670256267</v>
      </c>
      <c r="H109" s="26" t="n">
        <f aca="false">Prices!H110/Prices!H109-1</f>
        <v>0.0159687366926899</v>
      </c>
      <c r="I109" s="26" t="n">
        <f aca="false">Prices!I110/Prices!I109-1</f>
        <v>-0.0231049036580286</v>
      </c>
      <c r="J109" s="26" t="n">
        <f aca="false">Prices!J110/Prices!J109-1</f>
        <v>0.026713808681988</v>
      </c>
      <c r="K109" s="26" t="n">
        <f aca="false">SUMPRODUCT(B109:J109,Optimization!$C$7:$K$7)</f>
        <v>0.00821833176087811</v>
      </c>
      <c r="L109" s="26" t="n">
        <f aca="false">SUMPRODUCT(B109:J109,Optimization!$C$8:$K$8)</f>
        <v>0.0122998106340786</v>
      </c>
      <c r="M109" s="26" t="n">
        <f aca="false">SUMPRODUCT(B109:J109,Optimization!$C$9:$K$9)</f>
        <v>0.0104389816470937</v>
      </c>
      <c r="N109" s="26" t="n">
        <f aca="false">SUMPRODUCT(B109:J109,Optimization!$C$10:$K$10)</f>
        <v>0.0145353198263054</v>
      </c>
      <c r="O109" s="27" t="n">
        <f aca="false">IF(AND(A109&gt;=Inputs!$C$6,A109&lt;=Inputs!$C$7),1,0)</f>
        <v>0</v>
      </c>
      <c r="P109" s="28" t="n">
        <f aca="false">P108*(1+K109)</f>
        <v>127.123073992035</v>
      </c>
      <c r="Q109" s="28" t="n">
        <f aca="false">MAX(Q108,P109)</f>
        <v>130.050976087113</v>
      </c>
      <c r="R109" s="29" t="n">
        <f aca="false">P109/Q109-1</f>
        <v>-0.0225134957319865</v>
      </c>
      <c r="S109" s="26" t="n">
        <f aca="false">IF(A109=Inputs!$C$12,"",F109)</f>
        <v>0.018315018985898</v>
      </c>
      <c r="T109" s="27" t="n">
        <f aca="false">IF(AND(A109&gt;Risk_Metrics!$C$28,P109&gt;=Risk_Metrics!$C$30),1,0)</f>
        <v>0</v>
      </c>
      <c r="U109" s="26" t="n">
        <f aca="false">IF(A109=Inputs!$C$12,"",K109)</f>
        <v>0.00821833176087811</v>
      </c>
    </row>
    <row r="110" customFormat="false" ht="15" hidden="false" customHeight="false" outlineLevel="0" collapsed="false">
      <c r="A110" s="25" t="n">
        <f aca="false">Prices!A111</f>
        <v>43866</v>
      </c>
      <c r="B110" s="26" t="n">
        <f aca="false">Prices!B111/Prices!B110-1</f>
        <v>0.0119355161290322</v>
      </c>
      <c r="C110" s="26" t="n">
        <f aca="false">Prices!C111/Prices!C110-1</f>
        <v>-0.0122097473094577</v>
      </c>
      <c r="D110" s="26" t="n">
        <f aca="false">Prices!D111/Prices!D110-1</f>
        <v>0.00477099259403602</v>
      </c>
      <c r="E110" s="26" t="n">
        <f aca="false">Prices!E111/Prices!E110-1</f>
        <v>0.0094545454545456</v>
      </c>
      <c r="F110" s="26" t="n">
        <f aca="false">Prices!F111/Prices!F110-1</f>
        <v>-0.0125898565679804</v>
      </c>
      <c r="G110" s="26" t="n">
        <f aca="false">Prices!G111/Prices!G110-1</f>
        <v>-0.0116543490619669</v>
      </c>
      <c r="H110" s="26" t="n">
        <f aca="false">Prices!H111/Prices!H110-1</f>
        <v>-0.00838281552157938</v>
      </c>
      <c r="I110" s="26" t="n">
        <f aca="false">Prices!I111/Prices!I110-1</f>
        <v>0.0108537159774316</v>
      </c>
      <c r="J110" s="26" t="n">
        <f aca="false">Prices!J111/Prices!J110-1</f>
        <v>0.0137746699827817</v>
      </c>
      <c r="K110" s="26" t="n">
        <f aca="false">SUMPRODUCT(B110:J110,Optimization!$C$7:$K$7)</f>
        <v>0.000661407964093628</v>
      </c>
      <c r="L110" s="26" t="n">
        <f aca="false">SUMPRODUCT(B110:J110,Optimization!$C$8:$K$8)</f>
        <v>0.00577377506669633</v>
      </c>
      <c r="M110" s="26" t="n">
        <f aca="false">SUMPRODUCT(B110:J110,Optimization!$C$9:$K$9)</f>
        <v>0.00647219672464959</v>
      </c>
      <c r="N110" s="26" t="n">
        <f aca="false">SUMPRODUCT(B110:J110,Optimization!$C$10:$K$10)</f>
        <v>0.00524404105089075</v>
      </c>
      <c r="O110" s="27" t="n">
        <f aca="false">IF(AND(A110&gt;=Inputs!$C$6,A110&lt;=Inputs!$C$7),1,0)</f>
        <v>0</v>
      </c>
      <c r="P110" s="28" t="n">
        <f aca="false">P109*(1+K110)</f>
        <v>127.207154205593</v>
      </c>
      <c r="Q110" s="28" t="n">
        <f aca="false">MAX(Q109,P110)</f>
        <v>130.050976087113</v>
      </c>
      <c r="R110" s="29" t="n">
        <f aca="false">P110/Q110-1</f>
        <v>-0.0218669783732697</v>
      </c>
      <c r="S110" s="26" t="n">
        <f aca="false">IF(A110=Inputs!$C$12,"",F110)</f>
        <v>-0.0125898565679804</v>
      </c>
      <c r="T110" s="27" t="n">
        <f aca="false">IF(AND(A110&gt;Risk_Metrics!$C$28,P110&gt;=Risk_Metrics!$C$30),1,0)</f>
        <v>0</v>
      </c>
      <c r="U110" s="26" t="n">
        <f aca="false">IF(A110=Inputs!$C$12,"",K110)</f>
        <v>0.000661407964093628</v>
      </c>
    </row>
    <row r="111" customFormat="false" ht="15" hidden="false" customHeight="false" outlineLevel="0" collapsed="false">
      <c r="A111" s="25" t="n">
        <f aca="false">Prices!A112</f>
        <v>43867</v>
      </c>
      <c r="B111" s="26" t="n">
        <f aca="false">Prices!B112/Prices!B111-1</f>
        <v>-0.0277335343406587</v>
      </c>
      <c r="C111" s="26" t="n">
        <f aca="false">Prices!C112/Prices!C111-1</f>
        <v>-0.0133739201596401</v>
      </c>
      <c r="D111" s="26" t="n">
        <f aca="false">Prices!D112/Prices!D111-1</f>
        <v>0.00949672409766023</v>
      </c>
      <c r="E111" s="26" t="n">
        <f aca="false">Prices!E112/Prices!E111-1</f>
        <v>-0.0302593659942363</v>
      </c>
      <c r="F111" s="26" t="n">
        <f aca="false">Prices!F112/Prices!F111-1</f>
        <v>-0.0276867020879162</v>
      </c>
      <c r="G111" s="26" t="n">
        <f aca="false">Prices!G112/Prices!G111-1</f>
        <v>-0.0284728501581826</v>
      </c>
      <c r="H111" s="26" t="n">
        <f aca="false">Prices!H112/Prices!H111-1</f>
        <v>0.0278267357459223</v>
      </c>
      <c r="I111" s="26" t="n">
        <f aca="false">Prices!I112/Prices!I111-1</f>
        <v>-0.00993588027716175</v>
      </c>
      <c r="J111" s="26" t="n">
        <f aca="false">Prices!J112/Prices!J111-1</f>
        <v>0.00547267388289585</v>
      </c>
      <c r="K111" s="26" t="n">
        <f aca="false">SUMPRODUCT(B111:J111,Optimization!$C$7:$K$7)</f>
        <v>-0.0105184576990353</v>
      </c>
      <c r="L111" s="26" t="n">
        <f aca="false">SUMPRODUCT(B111:J111,Optimization!$C$8:$K$8)</f>
        <v>-0.00191168712383306</v>
      </c>
      <c r="M111" s="26" t="n">
        <f aca="false">SUMPRODUCT(B111:J111,Optimization!$C$9:$K$9)</f>
        <v>-0.0043780000089773</v>
      </c>
      <c r="N111" s="26" t="n">
        <f aca="false">SUMPRODUCT(B111:J111,Optimization!$C$10:$K$10)</f>
        <v>-0.00155347969533342</v>
      </c>
      <c r="O111" s="27" t="n">
        <f aca="false">IF(AND(A111&gt;=Inputs!$C$6,A111&lt;=Inputs!$C$7),1,0)</f>
        <v>0</v>
      </c>
      <c r="P111" s="28" t="n">
        <f aca="false">P110*(1+K111)</f>
        <v>125.869131135067</v>
      </c>
      <c r="Q111" s="28" t="n">
        <f aca="false">MAX(Q110,P111)</f>
        <v>130.050976087113</v>
      </c>
      <c r="R111" s="29" t="n">
        <f aca="false">P111/Q111-1</f>
        <v>-0.0321554291852799</v>
      </c>
      <c r="S111" s="26" t="n">
        <f aca="false">IF(A111=Inputs!$C$12,"",F111)</f>
        <v>-0.0276867020879162</v>
      </c>
      <c r="T111" s="27" t="n">
        <f aca="false">IF(AND(A111&gt;Risk_Metrics!$C$28,P111&gt;=Risk_Metrics!$C$30),1,0)</f>
        <v>0</v>
      </c>
      <c r="U111" s="26" t="n">
        <f aca="false">IF(A111=Inputs!$C$12,"",K111)</f>
        <v>-0.0105184576990353</v>
      </c>
    </row>
    <row r="112" customFormat="false" ht="15" hidden="false" customHeight="false" outlineLevel="0" collapsed="false">
      <c r="A112" s="25" t="n">
        <f aca="false">Prices!A113</f>
        <v>43868</v>
      </c>
      <c r="B112" s="26" t="n">
        <f aca="false">Prices!B113/Prices!B112-1</f>
        <v>-0.00524590163934424</v>
      </c>
      <c r="C112" s="26" t="n">
        <f aca="false">Prices!C113/Prices!C112-1</f>
        <v>-0.00800985828712253</v>
      </c>
      <c r="D112" s="26" t="n">
        <f aca="false">Prices!D113/Prices!D112-1</f>
        <v>-0.0310442144873001</v>
      </c>
      <c r="E112" s="26" t="n">
        <f aca="false">Prices!E113/Prices!E112-1</f>
        <v>-0.0169019316493314</v>
      </c>
      <c r="F112" s="26" t="n">
        <f aca="false">Prices!F113/Prices!F112-1</f>
        <v>-0.0183589352432021</v>
      </c>
      <c r="G112" s="26" t="n">
        <f aca="false">Prices!G113/Prices!G112-1</f>
        <v>-0.0159857020718088</v>
      </c>
      <c r="H112" s="26" t="n">
        <f aca="false">Prices!H113/Prices!H112-1</f>
        <v>-0.00856751199451677</v>
      </c>
      <c r="I112" s="26" t="n">
        <f aca="false">Prices!I113/Prices!I112-1</f>
        <v>-0.029459411968059</v>
      </c>
      <c r="J112" s="26" t="n">
        <f aca="false">Prices!J113/Prices!J112-1</f>
        <v>-0.0221471663315909</v>
      </c>
      <c r="K112" s="26" t="n">
        <f aca="false">SUMPRODUCT(B112:J112,Optimization!$C$7:$K$7)</f>
        <v>-0.0173022926302529</v>
      </c>
      <c r="L112" s="26" t="n">
        <f aca="false">SUMPRODUCT(B112:J112,Optimization!$C$8:$K$8)</f>
        <v>-0.0223695159427286</v>
      </c>
      <c r="M112" s="26" t="n">
        <f aca="false">SUMPRODUCT(B112:J112,Optimization!$C$9:$K$9)</f>
        <v>-0.0206196721722858</v>
      </c>
      <c r="N112" s="26" t="n">
        <f aca="false">SUMPRODUCT(B112:J112,Optimization!$C$10:$K$10)</f>
        <v>-0.0219182777262512</v>
      </c>
      <c r="O112" s="27" t="n">
        <f aca="false">IF(AND(A112&gt;=Inputs!$C$6,A112&lt;=Inputs!$C$7),1,0)</f>
        <v>0</v>
      </c>
      <c r="P112" s="28" t="n">
        <f aca="false">P111*(1+K112)</f>
        <v>123.691306595053</v>
      </c>
      <c r="Q112" s="28" t="n">
        <f aca="false">MAX(Q111,P112)</f>
        <v>130.050976087113</v>
      </c>
      <c r="R112" s="29" t="n">
        <f aca="false">P112/Q112-1</f>
        <v>-0.0489013591701176</v>
      </c>
      <c r="S112" s="26" t="n">
        <f aca="false">IF(A112=Inputs!$C$12,"",F112)</f>
        <v>-0.0183589352432021</v>
      </c>
      <c r="T112" s="27" t="n">
        <f aca="false">IF(AND(A112&gt;Risk_Metrics!$C$28,P112&gt;=Risk_Metrics!$C$30),1,0)</f>
        <v>0</v>
      </c>
      <c r="U112" s="26" t="n">
        <f aca="false">IF(A112=Inputs!$C$12,"",K112)</f>
        <v>-0.0173022926302529</v>
      </c>
    </row>
    <row r="113" customFormat="false" ht="15" hidden="false" customHeight="false" outlineLevel="0" collapsed="false">
      <c r="A113" s="25" t="n">
        <f aca="false">Prices!A114</f>
        <v>43871</v>
      </c>
      <c r="B113" s="26" t="n">
        <f aca="false">Prices!B114/Prices!B113-1</f>
        <v>-0.0362557679630851</v>
      </c>
      <c r="C113" s="26" t="n">
        <f aca="false">Prices!C114/Prices!C113-1</f>
        <v>0.00683223602484473</v>
      </c>
      <c r="D113" s="26" t="n">
        <f aca="false">Prices!D114/Prices!D113-1</f>
        <v>-0.00339800970873805</v>
      </c>
      <c r="E113" s="26" t="n">
        <f aca="false">Prices!E114/Prices!E113-1</f>
        <v>-0.0115246552049877</v>
      </c>
      <c r="F113" s="26" t="n">
        <f aca="false">Prices!F114/Prices!F113-1</f>
        <v>-0.00801530503758385</v>
      </c>
      <c r="G113" s="26" t="n">
        <f aca="false">Prices!G114/Prices!G113-1</f>
        <v>-0.0162455164713888</v>
      </c>
      <c r="H113" s="26" t="n">
        <f aca="false">Prices!H114/Prices!H113-1</f>
        <v>0.00691320428620812</v>
      </c>
      <c r="I113" s="26" t="n">
        <f aca="false">Prices!I114/Prices!I113-1</f>
        <v>-0.0320212959370901</v>
      </c>
      <c r="J113" s="26" t="n">
        <f aca="false">Prices!J114/Prices!J113-1</f>
        <v>-0.0366602509274568</v>
      </c>
      <c r="K113" s="26" t="n">
        <f aca="false">SUMPRODUCT(B113:J113,Optimization!$C$7:$K$7)</f>
        <v>-0.0144861512154753</v>
      </c>
      <c r="L113" s="26" t="n">
        <f aca="false">SUMPRODUCT(B113:J113,Optimization!$C$8:$K$8)</f>
        <v>-0.0155510117298843</v>
      </c>
      <c r="M113" s="26" t="n">
        <f aca="false">SUMPRODUCT(B113:J113,Optimization!$C$9:$K$9)</f>
        <v>-0.0195321461513553</v>
      </c>
      <c r="N113" s="26" t="n">
        <f aca="false">SUMPRODUCT(B113:J113,Optimization!$C$10:$K$10)</f>
        <v>-0.0137350514753801</v>
      </c>
      <c r="O113" s="27" t="n">
        <f aca="false">IF(AND(A113&gt;=Inputs!$C$6,A113&lt;=Inputs!$C$7),1,0)</f>
        <v>0</v>
      </c>
      <c r="P113" s="28" t="n">
        <f aca="false">P112*(1+K113)</f>
        <v>121.899495623677</v>
      </c>
      <c r="Q113" s="28" t="n">
        <f aca="false">MAX(Q112,P113)</f>
        <v>130.050976087113</v>
      </c>
      <c r="R113" s="29" t="n">
        <f aca="false">P113/Q113-1</f>
        <v>-0.0626791179020123</v>
      </c>
      <c r="S113" s="26" t="n">
        <f aca="false">IF(A113=Inputs!$C$12,"",F113)</f>
        <v>-0.00801530503758385</v>
      </c>
      <c r="T113" s="27" t="n">
        <f aca="false">IF(AND(A113&gt;Risk_Metrics!$C$28,P113&gt;=Risk_Metrics!$C$30),1,0)</f>
        <v>0</v>
      </c>
      <c r="U113" s="26" t="n">
        <f aca="false">IF(A113=Inputs!$C$12,"",K113)</f>
        <v>-0.0144861512154753</v>
      </c>
    </row>
    <row r="114" customFormat="false" ht="15" hidden="false" customHeight="false" outlineLevel="0" collapsed="false">
      <c r="A114" s="25" t="n">
        <f aca="false">Prices!A115</f>
        <v>43872</v>
      </c>
      <c r="B114" s="26" t="n">
        <f aca="false">Prices!B115/Prices!B114-1</f>
        <v>0.020690817373461</v>
      </c>
      <c r="C114" s="26" t="n">
        <f aca="false">Prices!C115/Prices!C114-1</f>
        <v>0.00555212865836707</v>
      </c>
      <c r="D114" s="26" t="n">
        <f aca="false">Prices!D115/Prices!D114-1</f>
        <v>0.0141256203543294</v>
      </c>
      <c r="E114" s="26" t="n">
        <f aca="false">Prices!E115/Prices!E114-1</f>
        <v>0.0340213685015289</v>
      </c>
      <c r="F114" s="26" t="n">
        <f aca="false">Prices!F115/Prices!F114-1</f>
        <v>0.0430935359753752</v>
      </c>
      <c r="G114" s="26" t="n">
        <f aca="false">Prices!G115/Prices!G114-1</f>
        <v>0.0293577666863067</v>
      </c>
      <c r="H114" s="26" t="n">
        <f aca="false">Prices!H115/Prices!H114-1</f>
        <v>0.0120151394443919</v>
      </c>
      <c r="I114" s="26" t="n">
        <f aca="false">Prices!I115/Prices!I114-1</f>
        <v>0.0460027071453428</v>
      </c>
      <c r="J114" s="26" t="n">
        <f aca="false">Prices!J115/Prices!J114-1</f>
        <v>0.0370591758728667</v>
      </c>
      <c r="K114" s="26" t="n">
        <f aca="false">SUMPRODUCT(B114:J114,Optimization!$C$7:$K$7)</f>
        <v>0.0268798066679966</v>
      </c>
      <c r="L114" s="26" t="n">
        <f aca="false">SUMPRODUCT(B114:J114,Optimization!$C$8:$K$8)</f>
        <v>0.0209840382225817</v>
      </c>
      <c r="M114" s="26" t="n">
        <f aca="false">SUMPRODUCT(B114:J114,Optimization!$C$9:$K$9)</f>
        <v>0.0237674988555003</v>
      </c>
      <c r="N114" s="26" t="n">
        <f aca="false">SUMPRODUCT(B114:J114,Optimization!$C$10:$K$10)</f>
        <v>0.0186123733170243</v>
      </c>
      <c r="O114" s="27" t="n">
        <f aca="false">IF(AND(A114&gt;=Inputs!$C$6,A114&lt;=Inputs!$C$7),1,0)</f>
        <v>0</v>
      </c>
      <c r="P114" s="28" t="n">
        <f aca="false">P113*(1+K114)</f>
        <v>125.176130498968</v>
      </c>
      <c r="Q114" s="28" t="n">
        <f aca="false">MAX(Q113,P114)</f>
        <v>130.050976087113</v>
      </c>
      <c r="R114" s="29" t="n">
        <f aca="false">P114/Q114-1</f>
        <v>-0.0374841138053422</v>
      </c>
      <c r="S114" s="26" t="n">
        <f aca="false">IF(A114=Inputs!$C$12,"",F114)</f>
        <v>0.0430935359753752</v>
      </c>
      <c r="T114" s="27" t="n">
        <f aca="false">IF(AND(A114&gt;Risk_Metrics!$C$28,P114&gt;=Risk_Metrics!$C$30),1,0)</f>
        <v>0</v>
      </c>
      <c r="U114" s="26" t="n">
        <f aca="false">IF(A114=Inputs!$C$12,"",K114)</f>
        <v>0.0268798066679966</v>
      </c>
    </row>
    <row r="115" customFormat="false" ht="15" hidden="false" customHeight="false" outlineLevel="0" collapsed="false">
      <c r="A115" s="25" t="n">
        <f aca="false">Prices!A116</f>
        <v>43873</v>
      </c>
      <c r="B115" s="26" t="n">
        <f aca="false">Prices!B116/Prices!B115-1</f>
        <v>0.0353493053333775</v>
      </c>
      <c r="C115" s="26" t="n">
        <f aca="false">Prices!C116/Prices!C115-1</f>
        <v>0.020040860125206</v>
      </c>
      <c r="D115" s="26" t="n">
        <f aca="false">Prices!D116/Prices!D115-1</f>
        <v>0.0537944764649374</v>
      </c>
      <c r="E115" s="26" t="n">
        <f aca="false">Prices!E116/Prices!E115-1</f>
        <v>0.025508355841344</v>
      </c>
      <c r="F115" s="26" t="n">
        <f aca="false">Prices!F116/Prices!F115-1</f>
        <v>0.00663961613280639</v>
      </c>
      <c r="G115" s="26" t="n">
        <f aca="false">Prices!G116/Prices!G115-1</f>
        <v>0.0101010101010102</v>
      </c>
      <c r="H115" s="26" t="n">
        <f aca="false">Prices!H116/Prices!H115-1</f>
        <v>0.0220488127544098</v>
      </c>
      <c r="I115" s="26" t="n">
        <f aca="false">Prices!I116/Prices!I115-1</f>
        <v>0.0182836565077826</v>
      </c>
      <c r="J115" s="26" t="n">
        <f aca="false">Prices!J116/Prices!J115-1</f>
        <v>0.0195965613755342</v>
      </c>
      <c r="K115" s="26" t="n">
        <f aca="false">SUMPRODUCT(B115:J115,Optimization!$C$7:$K$7)</f>
        <v>0.0234847394040454</v>
      </c>
      <c r="L115" s="26" t="n">
        <f aca="false">SUMPRODUCT(B115:J115,Optimization!$C$8:$K$8)</f>
        <v>0.0373389633105159</v>
      </c>
      <c r="M115" s="26" t="n">
        <f aca="false">SUMPRODUCT(B115:J115,Optimization!$C$9:$K$9)</f>
        <v>0.0326239271612877</v>
      </c>
      <c r="N115" s="26" t="n">
        <f aca="false">SUMPRODUCT(B115:J115,Optimization!$C$10:$K$10)</f>
        <v>0.0395765167126604</v>
      </c>
      <c r="O115" s="27" t="n">
        <f aca="false">IF(AND(A115&gt;=Inputs!$C$6,A115&lt;=Inputs!$C$7),1,0)</f>
        <v>0</v>
      </c>
      <c r="P115" s="28" t="n">
        <f aca="false">P114*(1+K115)</f>
        <v>128.115859303343</v>
      </c>
      <c r="Q115" s="28" t="n">
        <f aca="false">MAX(Q114,P115)</f>
        <v>130.050976087113</v>
      </c>
      <c r="R115" s="29" t="n">
        <f aca="false">P115/Q115-1</f>
        <v>-0.014879679045807</v>
      </c>
      <c r="S115" s="26" t="n">
        <f aca="false">IF(A115=Inputs!$C$12,"",F115)</f>
        <v>0.00663961613280639</v>
      </c>
      <c r="T115" s="27" t="n">
        <f aca="false">IF(AND(A115&gt;Risk_Metrics!$C$28,P115&gt;=Risk_Metrics!$C$30),1,0)</f>
        <v>0</v>
      </c>
      <c r="U115" s="26" t="n">
        <f aca="false">IF(A115=Inputs!$C$12,"",K115)</f>
        <v>0.0234847394040454</v>
      </c>
    </row>
    <row r="116" customFormat="false" ht="15" hidden="false" customHeight="false" outlineLevel="0" collapsed="false">
      <c r="A116" s="25" t="n">
        <f aca="false">Prices!A117</f>
        <v>43874</v>
      </c>
      <c r="B116" s="26" t="n">
        <f aca="false">Prices!B117/Prices!B116-1</f>
        <v>0.0296116833270499</v>
      </c>
      <c r="C116" s="26" t="n">
        <f aca="false">Prices!C117/Prices!C116-1</f>
        <v>-0.00601431495732907</v>
      </c>
      <c r="D116" s="26" t="n">
        <f aca="false">Prices!D117/Prices!D116-1</f>
        <v>-0.00866002695259671</v>
      </c>
      <c r="E116" s="26" t="n">
        <f aca="false">Prices!E117/Prices!E116-1</f>
        <v>-0.00829127613554426</v>
      </c>
      <c r="F116" s="26" t="n">
        <f aca="false">Prices!F117/Prices!F116-1</f>
        <v>0.0109930006964822</v>
      </c>
      <c r="G116" s="26" t="n">
        <f aca="false">Prices!G117/Prices!G116-1</f>
        <v>-0.0164706176470588</v>
      </c>
      <c r="H116" s="26" t="n">
        <f aca="false">Prices!H117/Prices!H116-1</f>
        <v>-0.0136077004184434</v>
      </c>
      <c r="I116" s="26" t="n">
        <f aca="false">Prices!I117/Prices!I116-1</f>
        <v>-0.00614690860425993</v>
      </c>
      <c r="J116" s="26" t="n">
        <f aca="false">Prices!J117/Prices!J116-1</f>
        <v>-0.0175240437158469</v>
      </c>
      <c r="K116" s="26" t="n">
        <f aca="false">SUMPRODUCT(B116:J116,Optimization!$C$7:$K$7)</f>
        <v>-0.00401224493417189</v>
      </c>
      <c r="L116" s="26" t="n">
        <f aca="false">SUMPRODUCT(B116:J116,Optimization!$C$8:$K$8)</f>
        <v>-0.00352626149483762</v>
      </c>
      <c r="M116" s="26" t="n">
        <f aca="false">SUMPRODUCT(B116:J116,Optimization!$C$9:$K$9)</f>
        <v>-0.00287799500278126</v>
      </c>
      <c r="N116" s="26" t="n">
        <f aca="false">SUMPRODUCT(B116:J116,Optimization!$C$10:$K$10)</f>
        <v>-0.002706486178058</v>
      </c>
      <c r="O116" s="27" t="n">
        <f aca="false">IF(AND(A116&gt;=Inputs!$C$6,A116&lt;=Inputs!$C$7),1,0)</f>
        <v>0</v>
      </c>
      <c r="P116" s="28" t="n">
        <f aca="false">P115*(1+K116)</f>
        <v>127.601827095866</v>
      </c>
      <c r="Q116" s="28" t="n">
        <f aca="false">MAX(Q115,P116)</f>
        <v>130.050976087113</v>
      </c>
      <c r="R116" s="29" t="n">
        <f aca="false">P116/Q116-1</f>
        <v>-0.0188322230631052</v>
      </c>
      <c r="S116" s="26" t="n">
        <f aca="false">IF(A116=Inputs!$C$12,"",F116)</f>
        <v>0.0109930006964822</v>
      </c>
      <c r="T116" s="27" t="n">
        <f aca="false">IF(AND(A116&gt;Risk_Metrics!$C$28,P116&gt;=Risk_Metrics!$C$30),1,0)</f>
        <v>0</v>
      </c>
      <c r="U116" s="26" t="n">
        <f aca="false">IF(A116=Inputs!$C$12,"",K116)</f>
        <v>-0.00401224493417189</v>
      </c>
    </row>
    <row r="117" customFormat="false" ht="15" hidden="false" customHeight="false" outlineLevel="0" collapsed="false">
      <c r="A117" s="25" t="n">
        <f aca="false">Prices!A118</f>
        <v>43875</v>
      </c>
      <c r="B117" s="26" t="n">
        <f aca="false">Prices!B118/Prices!B117-1</f>
        <v>-0.0177589341857782</v>
      </c>
      <c r="C117" s="26" t="n">
        <f aca="false">Prices!C118/Prices!C117-1</f>
        <v>0.0125050622729919</v>
      </c>
      <c r="D117" s="26" t="n">
        <f aca="false">Prices!D118/Prices!D117-1</f>
        <v>-0.0225287356321838</v>
      </c>
      <c r="E117" s="26" t="n">
        <f aca="false">Prices!E118/Prices!E117-1</f>
        <v>-0.00036350418029818</v>
      </c>
      <c r="F117" s="26" t="n">
        <f aca="false">Prices!F118/Prices!F117-1</f>
        <v>-0.0170351214208047</v>
      </c>
      <c r="G117" s="26" t="n">
        <f aca="false">Prices!G118/Prices!G117-1</f>
        <v>0.0029904905200504</v>
      </c>
      <c r="H117" s="26" t="n">
        <f aca="false">Prices!H118/Prices!H117-1</f>
        <v>-0.0100941793436803</v>
      </c>
      <c r="I117" s="26" t="n">
        <f aca="false">Prices!I118/Prices!I117-1</f>
        <v>-0.00341792893553006</v>
      </c>
      <c r="J117" s="26" t="n">
        <f aca="false">Prices!J118/Prices!J117-1</f>
        <v>-0.0218641929778327</v>
      </c>
      <c r="K117" s="26" t="n">
        <f aca="false">SUMPRODUCT(B117:J117,Optimization!$C$7:$K$7)</f>
        <v>-0.00861856043145174</v>
      </c>
      <c r="L117" s="26" t="n">
        <f aca="false">SUMPRODUCT(B117:J117,Optimization!$C$8:$K$8)</f>
        <v>-0.015216806245864</v>
      </c>
      <c r="M117" s="26" t="n">
        <f aca="false">SUMPRODUCT(B117:J117,Optimization!$C$9:$K$9)</f>
        <v>-0.0137178938121223</v>
      </c>
      <c r="N117" s="26" t="n">
        <f aca="false">SUMPRODUCT(B117:J117,Optimization!$C$10:$K$10)</f>
        <v>-0.0160786075649483</v>
      </c>
      <c r="O117" s="27" t="n">
        <f aca="false">IF(AND(A117&gt;=Inputs!$C$6,A117&lt;=Inputs!$C$7),1,0)</f>
        <v>0</v>
      </c>
      <c r="P117" s="28" t="n">
        <f aca="false">P116*(1+K117)</f>
        <v>126.502083037876</v>
      </c>
      <c r="Q117" s="28" t="n">
        <f aca="false">MAX(Q116,P117)</f>
        <v>130.050976087113</v>
      </c>
      <c r="R117" s="29" t="n">
        <f aca="false">P117/Q117-1</f>
        <v>-0.027288476842029</v>
      </c>
      <c r="S117" s="26" t="n">
        <f aca="false">IF(A117=Inputs!$C$12,"",F117)</f>
        <v>-0.0170351214208047</v>
      </c>
      <c r="T117" s="27" t="n">
        <f aca="false">IF(AND(A117&gt;Risk_Metrics!$C$28,P117&gt;=Risk_Metrics!$C$30),1,0)</f>
        <v>0</v>
      </c>
      <c r="U117" s="26" t="n">
        <f aca="false">IF(A117=Inputs!$C$12,"",K117)</f>
        <v>-0.00861856043145174</v>
      </c>
    </row>
    <row r="118" customFormat="false" ht="15" hidden="false" customHeight="false" outlineLevel="0" collapsed="false">
      <c r="A118" s="25" t="n">
        <f aca="false">Prices!A119</f>
        <v>43878</v>
      </c>
      <c r="B118" s="26" t="n">
        <f aca="false">Prices!B119/Prices!B118-1</f>
        <v>0.02112</v>
      </c>
      <c r="C118" s="26" t="n">
        <f aca="false">Prices!C119/Prices!C118-1</f>
        <v>0.0296812338772416</v>
      </c>
      <c r="D118" s="26" t="n">
        <f aca="false">Prices!D119/Prices!D118-1</f>
        <v>-0.00846660395108201</v>
      </c>
      <c r="E118" s="26" t="n">
        <f aca="false">Prices!E119/Prices!E118-1</f>
        <v>0.00418181818181806</v>
      </c>
      <c r="F118" s="26" t="n">
        <f aca="false">Prices!F119/Prices!F118-1</f>
        <v>0.0114306411714367</v>
      </c>
      <c r="G118" s="26" t="n">
        <f aca="false">Prices!G119/Prices!G118-1</f>
        <v>-0.0101371493697927</v>
      </c>
      <c r="H118" s="26" t="n">
        <f aca="false">Prices!H119/Prices!H118-1</f>
        <v>-0.00203939496940864</v>
      </c>
      <c r="I118" s="26" t="n">
        <f aca="false">Prices!I119/Prices!I118-1</f>
        <v>-0.00751262483788462</v>
      </c>
      <c r="J118" s="26" t="n">
        <f aca="false">Prices!J119/Prices!J118-1</f>
        <v>0.0472549019607842</v>
      </c>
      <c r="K118" s="26" t="n">
        <f aca="false">SUMPRODUCT(B118:J118,Optimization!$C$7:$K$7)</f>
        <v>0.00950142467367918</v>
      </c>
      <c r="L118" s="26" t="n">
        <f aca="false">SUMPRODUCT(B118:J118,Optimization!$C$8:$K$8)</f>
        <v>0.010445801917917</v>
      </c>
      <c r="M118" s="26" t="n">
        <f aca="false">SUMPRODUCT(B118:J118,Optimization!$C$9:$K$9)</f>
        <v>0.0155690725330127</v>
      </c>
      <c r="N118" s="26" t="n">
        <f aca="false">SUMPRODUCT(B118:J118,Optimization!$C$10:$K$10)</f>
        <v>0.0102816330436099</v>
      </c>
      <c r="O118" s="27" t="n">
        <f aca="false">IF(AND(A118&gt;=Inputs!$C$6,A118&lt;=Inputs!$C$7),1,0)</f>
        <v>0</v>
      </c>
      <c r="P118" s="28" t="n">
        <f aca="false">P117*(1+K118)</f>
        <v>127.704033050924</v>
      </c>
      <c r="Q118" s="28" t="n">
        <f aca="false">MAX(Q117,P118)</f>
        <v>130.050976087113</v>
      </c>
      <c r="R118" s="29" t="n">
        <f aca="false">P118/Q118-1</f>
        <v>-0.0180463315755238</v>
      </c>
      <c r="S118" s="26" t="n">
        <f aca="false">IF(A118=Inputs!$C$12,"",F118)</f>
        <v>0.0114306411714367</v>
      </c>
      <c r="T118" s="27" t="n">
        <f aca="false">IF(AND(A118&gt;Risk_Metrics!$C$28,P118&gt;=Risk_Metrics!$C$30),1,0)</f>
        <v>0</v>
      </c>
      <c r="U118" s="26" t="n">
        <f aca="false">IF(A118=Inputs!$C$12,"",K118)</f>
        <v>0.00950142467367918</v>
      </c>
    </row>
    <row r="119" customFormat="false" ht="15" hidden="false" customHeight="false" outlineLevel="0" collapsed="false">
      <c r="A119" s="25" t="n">
        <f aca="false">Prices!A120</f>
        <v>43879</v>
      </c>
      <c r="B119" s="26" t="n">
        <f aca="false">Prices!B120/Prices!B119-1</f>
        <v>0.0166091664055155</v>
      </c>
      <c r="C119" s="26" t="n">
        <f aca="false">Prices!C120/Prices!C119-1</f>
        <v>-0.0108338363319791</v>
      </c>
      <c r="D119" s="26" t="n">
        <f aca="false">Prices!D120/Prices!D119-1</f>
        <v>-0.00426944971537002</v>
      </c>
      <c r="E119" s="26" t="n">
        <f aca="false">Prices!E120/Prices!E119-1</f>
        <v>0.00126740901683875</v>
      </c>
      <c r="F119" s="26" t="n">
        <f aca="false">Prices!F120/Prices!F119-1</f>
        <v>-0.00696970470287994</v>
      </c>
      <c r="G119" s="26" t="n">
        <f aca="false">Prices!G120/Prices!G119-1</f>
        <v>0.0186746681122087</v>
      </c>
      <c r="H119" s="26" t="n">
        <f aca="false">Prices!H120/Prices!H119-1</f>
        <v>0.0132833442342184</v>
      </c>
      <c r="I119" s="26" t="n">
        <f aca="false">Prices!I120/Prices!I119-1</f>
        <v>0.00115185287345865</v>
      </c>
      <c r="J119" s="26" t="n">
        <f aca="false">Prices!J120/Prices!J119-1</f>
        <v>-0.0114211009174311</v>
      </c>
      <c r="K119" s="26" t="n">
        <f aca="false">SUMPRODUCT(B119:J119,Optimization!$C$7:$K$7)</f>
        <v>0.00194359433050887</v>
      </c>
      <c r="L119" s="26" t="n">
        <f aca="false">SUMPRODUCT(B119:J119,Optimization!$C$8:$K$8)</f>
        <v>-0.00249341442749326</v>
      </c>
      <c r="M119" s="26" t="n">
        <f aca="false">SUMPRODUCT(B119:J119,Optimization!$C$9:$K$9)</f>
        <v>-0.002290884939546</v>
      </c>
      <c r="N119" s="26" t="n">
        <f aca="false">SUMPRODUCT(B119:J119,Optimization!$C$10:$K$10)</f>
        <v>-0.0023226468891644</v>
      </c>
      <c r="O119" s="27" t="n">
        <f aca="false">IF(AND(A119&gt;=Inputs!$C$6,A119&lt;=Inputs!$C$7),1,0)</f>
        <v>0</v>
      </c>
      <c r="P119" s="28" t="n">
        <f aca="false">P118*(1+K119)</f>
        <v>127.952237885545</v>
      </c>
      <c r="Q119" s="28" t="n">
        <f aca="false">MAX(Q118,P119)</f>
        <v>130.050976087113</v>
      </c>
      <c r="R119" s="29" t="n">
        <f aca="false">P119/Q119-1</f>
        <v>-0.0161378119927517</v>
      </c>
      <c r="S119" s="26" t="n">
        <f aca="false">IF(A119=Inputs!$C$12,"",F119)</f>
        <v>-0.00696970470287994</v>
      </c>
      <c r="T119" s="27" t="n">
        <f aca="false">IF(AND(A119&gt;Risk_Metrics!$C$28,P119&gt;=Risk_Metrics!$C$30),1,0)</f>
        <v>0</v>
      </c>
      <c r="U119" s="26" t="n">
        <f aca="false">IF(A119=Inputs!$C$12,"",K119)</f>
        <v>0.00194359433050887</v>
      </c>
    </row>
    <row r="120" customFormat="false" ht="15" hidden="false" customHeight="false" outlineLevel="0" collapsed="false">
      <c r="A120" s="25" t="n">
        <f aca="false">Prices!A121</f>
        <v>43880</v>
      </c>
      <c r="B120" s="26" t="n">
        <f aca="false">Prices!B121/Prices!B120-1</f>
        <v>0.0123305030362439</v>
      </c>
      <c r="C120" s="26" t="n">
        <f aca="false">Prices!C121/Prices!C120-1</f>
        <v>0.0391159405264216</v>
      </c>
      <c r="D120" s="26" t="n">
        <f aca="false">Prices!D121/Prices!D120-1</f>
        <v>0.0109575512148643</v>
      </c>
      <c r="E120" s="26" t="n">
        <f aca="false">Prices!E121/Prices!E120-1</f>
        <v>-0.00452079574178654</v>
      </c>
      <c r="F120" s="26" t="n">
        <f aca="false">Prices!F121/Prices!F120-1</f>
        <v>-0.00293041317757481</v>
      </c>
      <c r="G120" s="26" t="n">
        <f aca="false">Prices!G121/Prices!G120-1</f>
        <v>0.00739207569485512</v>
      </c>
      <c r="H120" s="26" t="n">
        <f aca="false">Prices!H121/Prices!H120-1</f>
        <v>0.0268907226890756</v>
      </c>
      <c r="I120" s="26" t="n">
        <f aca="false">Prices!I121/Prices!I120-1</f>
        <v>0.0170939897739084</v>
      </c>
      <c r="J120" s="26" t="n">
        <f aca="false">Prices!J121/Prices!J120-1</f>
        <v>0.000189431821769448</v>
      </c>
      <c r="K120" s="26" t="n">
        <f aca="false">SUMPRODUCT(B120:J120,Optimization!$C$7:$K$7)</f>
        <v>0.0118354450930863</v>
      </c>
      <c r="L120" s="26" t="n">
        <f aca="false">SUMPRODUCT(B120:J120,Optimization!$C$8:$K$8)</f>
        <v>0.0136677953830598</v>
      </c>
      <c r="M120" s="26" t="n">
        <f aca="false">SUMPRODUCT(B120:J120,Optimization!$C$9:$K$9)</f>
        <v>0.0136922690071282</v>
      </c>
      <c r="N120" s="26" t="n">
        <f aca="false">SUMPRODUCT(B120:J120,Optimization!$C$10:$K$10)</f>
        <v>0.0137154698569827</v>
      </c>
      <c r="O120" s="27" t="n">
        <f aca="false">IF(AND(A120&gt;=Inputs!$C$6,A120&lt;=Inputs!$C$7),1,0)</f>
        <v>0</v>
      </c>
      <c r="P120" s="28" t="n">
        <f aca="false">P119*(1+K120)</f>
        <v>129.466609571577</v>
      </c>
      <c r="Q120" s="28" t="n">
        <f aca="false">MAX(Q119,P120)</f>
        <v>130.050976087113</v>
      </c>
      <c r="R120" s="29" t="n">
        <f aca="false">P120/Q120-1</f>
        <v>-0.00449336508742804</v>
      </c>
      <c r="S120" s="26" t="n">
        <f aca="false">IF(A120=Inputs!$C$12,"",F120)</f>
        <v>-0.00293041317757481</v>
      </c>
      <c r="T120" s="27" t="n">
        <f aca="false">IF(AND(A120&gt;Risk_Metrics!$C$28,P120&gt;=Risk_Metrics!$C$30),1,0)</f>
        <v>0</v>
      </c>
      <c r="U120" s="26" t="n">
        <f aca="false">IF(A120=Inputs!$C$12,"",K120)</f>
        <v>0.0118354450930863</v>
      </c>
    </row>
    <row r="121" customFormat="false" ht="15" hidden="false" customHeight="false" outlineLevel="0" collapsed="false">
      <c r="A121" s="25" t="n">
        <f aca="false">Prices!A122</f>
        <v>43881</v>
      </c>
      <c r="B121" s="26" t="n">
        <f aca="false">Prices!B122/Prices!B121-1</f>
        <v>-0.00182707064555443</v>
      </c>
      <c r="C121" s="26" t="n">
        <f aca="false">Prices!C122/Prices!C121-1</f>
        <v>-0.0154338235705153</v>
      </c>
      <c r="D121" s="26" t="n">
        <f aca="false">Prices!D122/Prices!D121-1</f>
        <v>-0.00659750266717751</v>
      </c>
      <c r="E121" s="26" t="n">
        <f aca="false">Prices!E122/Prices!E121-1</f>
        <v>-0.00599451418700292</v>
      </c>
      <c r="F121" s="26" t="n">
        <f aca="false">Prices!F122/Prices!F121-1</f>
        <v>-0.0139603078169298</v>
      </c>
      <c r="G121" s="26" t="n">
        <f aca="false">Prices!G122/Prices!G121-1</f>
        <v>-0.0137951863809803</v>
      </c>
      <c r="H121" s="26" t="n">
        <f aca="false">Prices!H122/Prices!H121-1</f>
        <v>-0.0206218992020261</v>
      </c>
      <c r="I121" s="26" t="n">
        <f aca="false">Prices!I122/Prices!I121-1</f>
        <v>-0.0244020657659042</v>
      </c>
      <c r="J121" s="26" t="n">
        <f aca="false">Prices!J122/Prices!J121-1</f>
        <v>-0.0115508424247142</v>
      </c>
      <c r="K121" s="26" t="n">
        <f aca="false">SUMPRODUCT(B121:J121,Optimization!$C$7:$K$7)</f>
        <v>-0.0126870236289783</v>
      </c>
      <c r="L121" s="26" t="n">
        <f aca="false">SUMPRODUCT(B121:J121,Optimization!$C$8:$K$8)</f>
        <v>-0.00958038604462679</v>
      </c>
      <c r="M121" s="26" t="n">
        <f aca="false">SUMPRODUCT(B121:J121,Optimization!$C$9:$K$9)</f>
        <v>-0.0106094544022255</v>
      </c>
      <c r="N121" s="26" t="n">
        <f aca="false">SUMPRODUCT(B121:J121,Optimization!$C$10:$K$10)</f>
        <v>-0.00832568781367555</v>
      </c>
      <c r="O121" s="27" t="n">
        <f aca="false">IF(AND(A121&gt;=Inputs!$C$6,A121&lt;=Inputs!$C$7),1,0)</f>
        <v>1</v>
      </c>
      <c r="P121" s="28" t="n">
        <f aca="false">P120*(1+K121)</f>
        <v>127.824063636779</v>
      </c>
      <c r="Q121" s="28" t="n">
        <f aca="false">MAX(Q120,P121)</f>
        <v>130.050976087113</v>
      </c>
      <c r="R121" s="29" t="n">
        <f aca="false">P121/Q121-1</f>
        <v>-0.0171233812873686</v>
      </c>
      <c r="S121" s="26" t="n">
        <f aca="false">IF(A121=Inputs!$C$12,"",F121)</f>
        <v>-0.0139603078169298</v>
      </c>
      <c r="T121" s="27" t="n">
        <f aca="false">IF(AND(A121&gt;Risk_Metrics!$C$28,P121&gt;=Risk_Metrics!$C$30),1,0)</f>
        <v>0</v>
      </c>
      <c r="U121" s="26" t="n">
        <f aca="false">IF(A121=Inputs!$C$12,"",K121)</f>
        <v>-0.0126870236289783</v>
      </c>
    </row>
    <row r="122" customFormat="false" ht="15" hidden="false" customHeight="false" outlineLevel="0" collapsed="false">
      <c r="A122" s="25" t="n">
        <f aca="false">Prices!A123</f>
        <v>43882</v>
      </c>
      <c r="B122" s="26" t="n">
        <f aca="false">Prices!B123/Prices!B122-1</f>
        <v>-0.0205918096580784</v>
      </c>
      <c r="C122" s="26" t="n">
        <f aca="false">Prices!C123/Prices!C122-1</f>
        <v>-0.00497033091073706</v>
      </c>
      <c r="D122" s="26" t="n">
        <f aca="false">Prices!D123/Prices!D122-1</f>
        <v>0.0445920303605314</v>
      </c>
      <c r="E122" s="26" t="n">
        <f aca="false">Prices!E123/Prices!E122-1</f>
        <v>-0.0058479348346504</v>
      </c>
      <c r="F122" s="26" t="n">
        <f aca="false">Prices!F123/Prices!F122-1</f>
        <v>0.0767511336507758</v>
      </c>
      <c r="G122" s="26" t="n">
        <f aca="false">Prices!G123/Prices!G122-1</f>
        <v>0.00595241106859601</v>
      </c>
      <c r="H122" s="26" t="n">
        <f aca="false">Prices!H123/Prices!H122-1</f>
        <v>-0.0260695521390375</v>
      </c>
      <c r="I122" s="26" t="n">
        <f aca="false">Prices!I123/Prices!I122-1</f>
        <v>-0.00960742643013857</v>
      </c>
      <c r="J122" s="26" t="n">
        <f aca="false">Prices!J123/Prices!J122-1</f>
        <v>-0.0396551716541155</v>
      </c>
      <c r="K122" s="26" t="n">
        <f aca="false">SUMPRODUCT(B122:J122,Optimization!$C$7:$K$7)</f>
        <v>0.00228370549479398</v>
      </c>
      <c r="L122" s="26" t="n">
        <f aca="false">SUMPRODUCT(B122:J122,Optimization!$C$8:$K$8)</f>
        <v>0.00862385312075231</v>
      </c>
      <c r="M122" s="26" t="n">
        <f aca="false">SUMPRODUCT(B122:J122,Optimization!$C$9:$K$9)</f>
        <v>-0.00145967236785144</v>
      </c>
      <c r="N122" s="26" t="n">
        <f aca="false">SUMPRODUCT(B122:J122,Optimization!$C$10:$K$10)</f>
        <v>0.0118624616640339</v>
      </c>
      <c r="O122" s="27" t="n">
        <f aca="false">IF(AND(A122&gt;=Inputs!$C$6,A122&lt;=Inputs!$C$7),1,0)</f>
        <v>1</v>
      </c>
      <c r="P122" s="28" t="n">
        <f aca="false">P121*(1+K122)</f>
        <v>128.115976153273</v>
      </c>
      <c r="Q122" s="28" t="n">
        <f aca="false">MAX(Q121,P122)</f>
        <v>130.050976087113</v>
      </c>
      <c r="R122" s="29" t="n">
        <f aca="false">P122/Q122-1</f>
        <v>-0.0148787805525101</v>
      </c>
      <c r="S122" s="26" t="n">
        <f aca="false">IF(A122=Inputs!$C$12,"",F122)</f>
        <v>0.0767511336507758</v>
      </c>
      <c r="T122" s="27" t="n">
        <f aca="false">IF(AND(A122&gt;Risk_Metrics!$C$28,P122&gt;=Risk_Metrics!$C$30),1,0)</f>
        <v>0</v>
      </c>
      <c r="U122" s="26" t="n">
        <f aca="false">IF(A122=Inputs!$C$12,"",K122)</f>
        <v>0.00228370549479398</v>
      </c>
    </row>
    <row r="123" customFormat="false" ht="15" hidden="false" customHeight="false" outlineLevel="0" collapsed="false">
      <c r="A123" s="25" t="n">
        <f aca="false">Prices!A124</f>
        <v>43888</v>
      </c>
      <c r="B123" s="26" t="n">
        <f aca="false">Prices!B124/Prices!B123-1</f>
        <v>-0.0674349488776662</v>
      </c>
      <c r="C123" s="26" t="n">
        <f aca="false">Prices!C124/Prices!C123-1</f>
        <v>-0.115465936599424</v>
      </c>
      <c r="D123" s="26" t="n">
        <f aca="false">Prices!D124/Prices!D123-1</f>
        <v>-0.0962761126248866</v>
      </c>
      <c r="E123" s="26" t="n">
        <f aca="false">Prices!E124/Prices!E123-1</f>
        <v>-0.0928309524694503</v>
      </c>
      <c r="F123" s="26" t="n">
        <f aca="false">Prices!F124/Prices!F123-1</f>
        <v>-0.0993080132931806</v>
      </c>
      <c r="G123" s="26" t="n">
        <f aca="false">Prices!G124/Prices!G123-1</f>
        <v>-0.092011777870171</v>
      </c>
      <c r="H123" s="26" t="n">
        <f aca="false">Prices!H124/Prices!H123-1</f>
        <v>-0.131777629779603</v>
      </c>
      <c r="I123" s="26" t="n">
        <f aca="false">Prices!I124/Prices!I123-1</f>
        <v>-0.0806154458752234</v>
      </c>
      <c r="J123" s="26" t="n">
        <f aca="false">Prices!J124/Prices!J123-1</f>
        <v>-0.112906440995283</v>
      </c>
      <c r="K123" s="26" t="n">
        <f aca="false">SUMPRODUCT(B123:J123,Optimization!$C$7:$K$7)</f>
        <v>-0.0987363620427653</v>
      </c>
      <c r="L123" s="26" t="n">
        <f aca="false">SUMPRODUCT(B123:J123,Optimization!$C$8:$K$8)</f>
        <v>-0.0954476681444541</v>
      </c>
      <c r="M123" s="26" t="n">
        <f aca="false">SUMPRODUCT(B123:J123,Optimization!$C$9:$K$9)</f>
        <v>-0.0954611173754318</v>
      </c>
      <c r="N123" s="26" t="n">
        <f aca="false">SUMPRODUCT(B123:J123,Optimization!$C$10:$K$10)</f>
        <v>-0.0956859742919157</v>
      </c>
      <c r="O123" s="27" t="n">
        <f aca="false">IF(AND(A123&gt;=Inputs!$C$6,A123&lt;=Inputs!$C$7),1,0)</f>
        <v>1</v>
      </c>
      <c r="P123" s="28" t="n">
        <f aca="false">P122*(1+K123)</f>
        <v>115.466270748341</v>
      </c>
      <c r="Q123" s="28" t="n">
        <f aca="false">MAX(Q122,P123)</f>
        <v>130.050976087113</v>
      </c>
      <c r="R123" s="29" t="n">
        <f aca="false">P123/Q123-1</f>
        <v>-0.112146065931888</v>
      </c>
      <c r="S123" s="26" t="n">
        <f aca="false">IF(A123=Inputs!$C$12,"",F123)</f>
        <v>-0.0993080132931806</v>
      </c>
      <c r="T123" s="27" t="n">
        <f aca="false">IF(AND(A123&gt;Risk_Metrics!$C$28,P123&gt;=Risk_Metrics!$C$30),1,0)</f>
        <v>0</v>
      </c>
      <c r="U123" s="26" t="n">
        <f aca="false">IF(A123=Inputs!$C$12,"",K123)</f>
        <v>-0.0987363620427653</v>
      </c>
    </row>
    <row r="124" customFormat="false" ht="15" hidden="false" customHeight="false" outlineLevel="0" collapsed="false">
      <c r="A124" s="25" t="n">
        <f aca="false">Prices!A125</f>
        <v>43889</v>
      </c>
      <c r="B124" s="26" t="n">
        <f aca="false">Prices!B125/Prices!B124-1</f>
        <v>0.00367396453450297</v>
      </c>
      <c r="C124" s="26" t="n">
        <f aca="false">Prices!C125/Prices!C124-1</f>
        <v>0.042571722092603</v>
      </c>
      <c r="D124" s="26" t="n">
        <f aca="false">Prices!D125/Prices!D124-1</f>
        <v>-0.028643216080402</v>
      </c>
      <c r="E124" s="26" t="n">
        <f aca="false">Prices!E125/Prices!E124-1</f>
        <v>0.0038501116048677</v>
      </c>
      <c r="F124" s="26" t="n">
        <f aca="false">Prices!F125/Prices!F124-1</f>
        <v>0.0218978636179905</v>
      </c>
      <c r="G124" s="26" t="n">
        <f aca="false">Prices!G125/Prices!G124-1</f>
        <v>-0.00553929600719139</v>
      </c>
      <c r="H124" s="26" t="n">
        <f aca="false">Prices!H125/Prices!H124-1</f>
        <v>0.00158106725616869</v>
      </c>
      <c r="I124" s="26" t="n">
        <f aca="false">Prices!I125/Prices!I124-1</f>
        <v>-0.0398399489206378</v>
      </c>
      <c r="J124" s="26" t="n">
        <f aca="false">Prices!J125/Prices!J124-1</f>
        <v>-0.00359793110865914</v>
      </c>
      <c r="K124" s="26" t="n">
        <f aca="false">SUMPRODUCT(B124:J124,Optimization!$C$7:$K$7)</f>
        <v>-0.000449518112306387</v>
      </c>
      <c r="L124" s="26" t="n">
        <f aca="false">SUMPRODUCT(B124:J124,Optimization!$C$8:$K$8)</f>
        <v>-0.0112680354684666</v>
      </c>
      <c r="M124" s="26" t="n">
        <f aca="false">SUMPRODUCT(B124:J124,Optimization!$C$9:$K$9)</f>
        <v>-0.00791428613077016</v>
      </c>
      <c r="N124" s="26" t="n">
        <f aca="false">SUMPRODUCT(B124:J124,Optimization!$C$10:$K$10)</f>
        <v>-0.00979461924088266</v>
      </c>
      <c r="O124" s="27" t="n">
        <f aca="false">IF(AND(A124&gt;=Inputs!$C$6,A124&lt;=Inputs!$C$7),1,0)</f>
        <v>1</v>
      </c>
      <c r="P124" s="28" t="n">
        <f aca="false">P123*(1+K124)</f>
        <v>115.414366568279</v>
      </c>
      <c r="Q124" s="28" t="n">
        <f aca="false">MAX(Q123,P124)</f>
        <v>130.050976087113</v>
      </c>
      <c r="R124" s="29" t="n">
        <f aca="false">P124/Q124-1</f>
        <v>-0.112545172356334</v>
      </c>
      <c r="S124" s="26" t="n">
        <f aca="false">IF(A124=Inputs!$C$12,"",F124)</f>
        <v>0.0218978636179905</v>
      </c>
      <c r="T124" s="27" t="n">
        <f aca="false">IF(AND(A124&gt;Risk_Metrics!$C$28,P124&gt;=Risk_Metrics!$C$30),1,0)</f>
        <v>0</v>
      </c>
      <c r="U124" s="26" t="n">
        <f aca="false">IF(A124=Inputs!$C$12,"",K124)</f>
        <v>-0.000449518112306387</v>
      </c>
    </row>
    <row r="125" customFormat="false" ht="15" hidden="false" customHeight="false" outlineLevel="0" collapsed="false">
      <c r="A125" s="25" t="n">
        <f aca="false">Prices!A126</f>
        <v>43892</v>
      </c>
      <c r="B125" s="26" t="n">
        <f aca="false">Prices!B126/Prices!B125-1</f>
        <v>-0.00415973391546531</v>
      </c>
      <c r="C125" s="26" t="n">
        <f aca="false">Prices!C126/Prices!C125-1</f>
        <v>0.041666625</v>
      </c>
      <c r="D125" s="26" t="n">
        <f aca="false">Prices!D126/Prices!D125-1</f>
        <v>0.0569063631660631</v>
      </c>
      <c r="E125" s="26" t="n">
        <f aca="false">Prices!E126/Prices!E125-1</f>
        <v>0.00625750895725674</v>
      </c>
      <c r="F125" s="26" t="n">
        <f aca="false">Prices!F126/Prices!F125-1</f>
        <v>0.00187973876796832</v>
      </c>
      <c r="G125" s="26" t="n">
        <f aca="false">Prices!G126/Prices!G125-1</f>
        <v>0.0380078636959371</v>
      </c>
      <c r="H125" s="26" t="n">
        <f aca="false">Prices!H126/Prices!H125-1</f>
        <v>0.04696136543015</v>
      </c>
      <c r="I125" s="26" t="n">
        <f aca="false">Prices!I126/Prices!I125-1</f>
        <v>-0.010231119439174</v>
      </c>
      <c r="J125" s="26" t="n">
        <f aca="false">Prices!J126/Prices!J125-1</f>
        <v>0.0462649504341017</v>
      </c>
      <c r="K125" s="26" t="n">
        <f aca="false">SUMPRODUCT(B125:J125,Optimization!$C$7:$K$7)</f>
        <v>0.0248392846774264</v>
      </c>
      <c r="L125" s="26" t="n">
        <f aca="false">SUMPRODUCT(B125:J125,Optimization!$C$8:$K$8)</f>
        <v>0.0369364847890263</v>
      </c>
      <c r="M125" s="26" t="n">
        <f aca="false">SUMPRODUCT(B125:J125,Optimization!$C$9:$K$9)</f>
        <v>0.0316666584207584</v>
      </c>
      <c r="N125" s="26" t="n">
        <f aca="false">SUMPRODUCT(B125:J125,Optimization!$C$10:$K$10)</f>
        <v>0.0400094758330761</v>
      </c>
      <c r="O125" s="27" t="n">
        <f aca="false">IF(AND(A125&gt;=Inputs!$C$6,A125&lt;=Inputs!$C$7),1,0)</f>
        <v>1</v>
      </c>
      <c r="P125" s="28" t="n">
        <f aca="false">P124*(1+K125)</f>
        <v>118.281176875334</v>
      </c>
      <c r="Q125" s="28" t="n">
        <f aca="false">MAX(Q124,P125)</f>
        <v>130.050976087113</v>
      </c>
      <c r="R125" s="29" t="n">
        <f aca="false">P125/Q125-1</f>
        <v>-0.0905014292541368</v>
      </c>
      <c r="S125" s="26" t="n">
        <f aca="false">IF(A125=Inputs!$C$12,"",F125)</f>
        <v>0.00187973876796832</v>
      </c>
      <c r="T125" s="27" t="n">
        <f aca="false">IF(AND(A125&gt;Risk_Metrics!$C$28,P125&gt;=Risk_Metrics!$C$30),1,0)</f>
        <v>0</v>
      </c>
      <c r="U125" s="26" t="n">
        <f aca="false">IF(A125=Inputs!$C$12,"",K125)</f>
        <v>0.0248392846774264</v>
      </c>
    </row>
    <row r="126" customFormat="false" ht="15" hidden="false" customHeight="false" outlineLevel="0" collapsed="false">
      <c r="A126" s="25" t="n">
        <f aca="false">Prices!A127</f>
        <v>43893</v>
      </c>
      <c r="B126" s="26" t="n">
        <f aca="false">Prices!B127/Prices!B126-1</f>
        <v>-0.0215538353067279</v>
      </c>
      <c r="C126" s="26" t="n">
        <f aca="false">Prices!C127/Prices!C126-1</f>
        <v>-0.00779994031199749</v>
      </c>
      <c r="D126" s="26" t="n">
        <f aca="false">Prices!D127/Prices!D126-1</f>
        <v>0.0156632403328438</v>
      </c>
      <c r="E126" s="26" t="n">
        <f aca="false">Prices!E127/Prices!E126-1</f>
        <v>-0.00381139433546218</v>
      </c>
      <c r="F126" s="26" t="n">
        <f aca="false">Prices!F127/Prices!F126-1</f>
        <v>0.0165102442136844</v>
      </c>
      <c r="G126" s="26" t="n">
        <f aca="false">Prices!G127/Prices!G126-1</f>
        <v>-0.0145202335858585</v>
      </c>
      <c r="H126" s="26" t="n">
        <f aca="false">Prices!H127/Prices!H126-1</f>
        <v>-0.0180927999211157</v>
      </c>
      <c r="I126" s="26" t="n">
        <f aca="false">Prices!I127/Prices!I126-1</f>
        <v>0.00899694424789566</v>
      </c>
      <c r="J126" s="26" t="n">
        <f aca="false">Prices!J127/Prices!J126-1</f>
        <v>-0.000215767898710695</v>
      </c>
      <c r="K126" s="26" t="n">
        <f aca="false">SUMPRODUCT(B126:J126,Optimization!$C$7:$K$7)</f>
        <v>-0.00275817139616096</v>
      </c>
      <c r="L126" s="26" t="n">
        <f aca="false">SUMPRODUCT(B126:J126,Optimization!$C$8:$K$8)</f>
        <v>0.00348428243196306</v>
      </c>
      <c r="M126" s="26" t="n">
        <f aca="false">SUMPRODUCT(B126:J126,Optimization!$C$9:$K$9)</f>
        <v>0.000790513228791583</v>
      </c>
      <c r="N126" s="26" t="n">
        <f aca="false">SUMPRODUCT(B126:J126,Optimization!$C$10:$K$10)</f>
        <v>0.00324134085191857</v>
      </c>
      <c r="O126" s="27" t="n">
        <f aca="false">IF(AND(A126&gt;=Inputs!$C$6,A126&lt;=Inputs!$C$7),1,0)</f>
        <v>1</v>
      </c>
      <c r="P126" s="28" t="n">
        <f aca="false">P125*(1+K126)</f>
        <v>117.954937116572</v>
      </c>
      <c r="Q126" s="28" t="n">
        <f aca="false">MAX(Q125,P126)</f>
        <v>130.050976087113</v>
      </c>
      <c r="R126" s="29" t="n">
        <f aca="false">P126/Q126-1</f>
        <v>-0.0930099821968173</v>
      </c>
      <c r="S126" s="26" t="n">
        <f aca="false">IF(A126=Inputs!$C$12,"",F126)</f>
        <v>0.0165102442136844</v>
      </c>
      <c r="T126" s="27" t="n">
        <f aca="false">IF(AND(A126&gt;Risk_Metrics!$C$28,P126&gt;=Risk_Metrics!$C$30),1,0)</f>
        <v>0</v>
      </c>
      <c r="U126" s="26" t="n">
        <f aca="false">IF(A126=Inputs!$C$12,"",K126)</f>
        <v>-0.00275817139616096</v>
      </c>
    </row>
    <row r="127" customFormat="false" ht="15" hidden="false" customHeight="false" outlineLevel="0" collapsed="false">
      <c r="A127" s="25" t="n">
        <f aca="false">Prices!A128</f>
        <v>43894</v>
      </c>
      <c r="B127" s="26" t="n">
        <f aca="false">Prices!B128/Prices!B127-1</f>
        <v>-0.00956285844325722</v>
      </c>
      <c r="C127" s="26" t="n">
        <f aca="false">Prices!C128/Prices!C127-1</f>
        <v>0.00362824020100283</v>
      </c>
      <c r="D127" s="26" t="n">
        <f aca="false">Prices!D128/Prices!D127-1</f>
        <v>0.064578313253012</v>
      </c>
      <c r="E127" s="26" t="n">
        <f aca="false">Prices!E128/Prices!E127-1</f>
        <v>0.0229560813532019</v>
      </c>
      <c r="F127" s="26" t="n">
        <f aca="false">Prices!F128/Prices!F127-1</f>
        <v>0.0225175347736646</v>
      </c>
      <c r="G127" s="26" t="n">
        <f aca="false">Prices!G128/Prices!G127-1</f>
        <v>0.0326714616486694</v>
      </c>
      <c r="H127" s="26" t="n">
        <f aca="false">Prices!H128/Prices!H127-1</f>
        <v>0.0322456826197959</v>
      </c>
      <c r="I127" s="26" t="n">
        <f aca="false">Prices!I128/Prices!I127-1</f>
        <v>-0.00531208431284602</v>
      </c>
      <c r="J127" s="26" t="n">
        <f aca="false">Prices!J128/Prices!J127-1</f>
        <v>0.0478964853461268</v>
      </c>
      <c r="K127" s="26" t="n">
        <f aca="false">SUMPRODUCT(B127:J127,Optimization!$C$7:$K$7)</f>
        <v>0.0235132062710411</v>
      </c>
      <c r="L127" s="26" t="n">
        <f aca="false">SUMPRODUCT(B127:J127,Optimization!$C$8:$K$8)</f>
        <v>0.0353336624408968</v>
      </c>
      <c r="M127" s="26" t="n">
        <f aca="false">SUMPRODUCT(B127:J127,Optimization!$C$9:$K$9)</f>
        <v>0.0284648659819416</v>
      </c>
      <c r="N127" s="26" t="n">
        <f aca="false">SUMPRODUCT(B127:J127,Optimization!$C$10:$K$10)</f>
        <v>0.0380711014501555</v>
      </c>
      <c r="O127" s="27" t="n">
        <f aca="false">IF(AND(A127&gt;=Inputs!$C$6,A127&lt;=Inputs!$C$7),1,0)</f>
        <v>1</v>
      </c>
      <c r="P127" s="28" t="n">
        <f aca="false">P126*(1+K127)</f>
        <v>120.728435883681</v>
      </c>
      <c r="Q127" s="28" t="n">
        <f aca="false">MAX(Q126,P127)</f>
        <v>130.050976087113</v>
      </c>
      <c r="R127" s="29" t="n">
        <f aca="false">P127/Q127-1</f>
        <v>-0.0716837388224358</v>
      </c>
      <c r="S127" s="26" t="n">
        <f aca="false">IF(A127=Inputs!$C$12,"",F127)</f>
        <v>0.0225175347736646</v>
      </c>
      <c r="T127" s="27" t="n">
        <f aca="false">IF(AND(A127&gt;Risk_Metrics!$C$28,P127&gt;=Risk_Metrics!$C$30),1,0)</f>
        <v>0</v>
      </c>
      <c r="U127" s="26" t="n">
        <f aca="false">IF(A127=Inputs!$C$12,"",K127)</f>
        <v>0.0235132062710411</v>
      </c>
    </row>
    <row r="128" customFormat="false" ht="15" hidden="false" customHeight="false" outlineLevel="0" collapsed="false">
      <c r="A128" s="25" t="n">
        <f aca="false">Prices!A129</f>
        <v>43895</v>
      </c>
      <c r="B128" s="26" t="n">
        <f aca="false">Prices!B129/Prices!B128-1</f>
        <v>-0.0206896724137932</v>
      </c>
      <c r="C128" s="26" t="n">
        <f aca="false">Prices!C129/Prices!C128-1</f>
        <v>-0.0538260515696344</v>
      </c>
      <c r="D128" s="26" t="n">
        <f aca="false">Prices!D129/Prices!D128-1</f>
        <v>-0.0167497057492078</v>
      </c>
      <c r="E128" s="26" t="n">
        <f aca="false">Prices!E129/Prices!E128-1</f>
        <v>-0.050196831696788</v>
      </c>
      <c r="F128" s="26" t="n">
        <f aca="false">Prices!F129/Prices!F128-1</f>
        <v>-0.0635379126160127</v>
      </c>
      <c r="G128" s="26" t="n">
        <f aca="false">Prices!G129/Prices!G128-1</f>
        <v>-0.0626551760139468</v>
      </c>
      <c r="H128" s="26" t="n">
        <f aca="false">Prices!H129/Prices!H128-1</f>
        <v>-0.059501601320253</v>
      </c>
      <c r="I128" s="26" t="n">
        <f aca="false">Prices!I129/Prices!I128-1</f>
        <v>-0.0413885281484746</v>
      </c>
      <c r="J128" s="26" t="n">
        <f aca="false">Prices!J129/Prices!J128-1</f>
        <v>-0.0354128474366894</v>
      </c>
      <c r="K128" s="26" t="n">
        <f aca="false">SUMPRODUCT(B128:J128,Optimization!$C$7:$K$7)</f>
        <v>-0.0448842585516444</v>
      </c>
      <c r="L128" s="26" t="n">
        <f aca="false">SUMPRODUCT(B128:J128,Optimization!$C$8:$K$8)</f>
        <v>-0.0277187596165742</v>
      </c>
      <c r="M128" s="26" t="n">
        <f aca="false">SUMPRODUCT(B128:J128,Optimization!$C$9:$K$9)</f>
        <v>-0.0306713013519984</v>
      </c>
      <c r="N128" s="26" t="n">
        <f aca="false">SUMPRODUCT(B128:J128,Optimization!$C$10:$K$10)</f>
        <v>-0.0261770500748381</v>
      </c>
      <c r="O128" s="27" t="n">
        <f aca="false">IF(AND(A128&gt;=Inputs!$C$6,A128&lt;=Inputs!$C$7),1,0)</f>
        <v>1</v>
      </c>
      <c r="P128" s="28" t="n">
        <f aca="false">P127*(1+K128)</f>
        <v>115.309629552943</v>
      </c>
      <c r="Q128" s="28" t="n">
        <f aca="false">MAX(Q127,P128)</f>
        <v>130.050976087113</v>
      </c>
      <c r="R128" s="29" t="n">
        <f aca="false">P128/Q128-1</f>
        <v>-0.113350525906826</v>
      </c>
      <c r="S128" s="26" t="n">
        <f aca="false">IF(A128=Inputs!$C$12,"",F128)</f>
        <v>-0.0635379126160127</v>
      </c>
      <c r="T128" s="27" t="n">
        <f aca="false">IF(AND(A128&gt;Risk_Metrics!$C$28,P128&gt;=Risk_Metrics!$C$30),1,0)</f>
        <v>0</v>
      </c>
      <c r="U128" s="26" t="n">
        <f aca="false">IF(A128=Inputs!$C$12,"",K128)</f>
        <v>-0.0448842585516444</v>
      </c>
    </row>
    <row r="129" customFormat="false" ht="15" hidden="false" customHeight="false" outlineLevel="0" collapsed="false">
      <c r="A129" s="25" t="n">
        <f aca="false">Prices!A130</f>
        <v>43896</v>
      </c>
      <c r="B129" s="26" t="n">
        <f aca="false">Prices!B130/Prices!B129-1</f>
        <v>-0.00528167262819845</v>
      </c>
      <c r="C129" s="26" t="n">
        <f aca="false">Prices!C130/Prices!C129-1</f>
        <v>-0.0133729571932277</v>
      </c>
      <c r="D129" s="26" t="n">
        <f aca="false">Prices!D130/Prices!D129-1</f>
        <v>-0.0202577357393066</v>
      </c>
      <c r="E129" s="26" t="n">
        <f aca="false">Prices!E130/Prices!E129-1</f>
        <v>-0.0663212642487047</v>
      </c>
      <c r="F129" s="26" t="n">
        <f aca="false">Prices!F130/Prices!F129-1</f>
        <v>-0.080570498234517</v>
      </c>
      <c r="G129" s="26" t="n">
        <f aca="false">Prices!G130/Prices!G129-1</f>
        <v>-0.025148908840136</v>
      </c>
      <c r="H129" s="26" t="n">
        <f aca="false">Prices!H130/Prices!H129-1</f>
        <v>-0.0972716845681423</v>
      </c>
      <c r="I129" s="26" t="n">
        <f aca="false">Prices!I130/Prices!I129-1</f>
        <v>-0.0435734583692214</v>
      </c>
      <c r="J129" s="26" t="n">
        <f aca="false">Prices!J130/Prices!J129-1</f>
        <v>-0.0478121044957143</v>
      </c>
      <c r="K129" s="26" t="n">
        <f aca="false">SUMPRODUCT(B129:J129,Optimization!$C$7:$K$7)</f>
        <v>-0.0444011427019076</v>
      </c>
      <c r="L129" s="26" t="n">
        <f aca="false">SUMPRODUCT(B129:J129,Optimization!$C$8:$K$8)</f>
        <v>-0.0238722188479993</v>
      </c>
      <c r="M129" s="26" t="n">
        <f aca="false">SUMPRODUCT(B129:J129,Optimization!$C$9:$K$9)</f>
        <v>-0.0261162220057025</v>
      </c>
      <c r="N129" s="26" t="n">
        <f aca="false">SUMPRODUCT(B129:J129,Optimization!$C$10:$K$10)</f>
        <v>-0.0215245372145276</v>
      </c>
      <c r="O129" s="27" t="n">
        <f aca="false">IF(AND(A129&gt;=Inputs!$C$6,A129&lt;=Inputs!$C$7),1,0)</f>
        <v>1</v>
      </c>
      <c r="P129" s="28" t="n">
        <f aca="false">P128*(1+K129)</f>
        <v>110.189750236258</v>
      </c>
      <c r="Q129" s="28" t="n">
        <f aca="false">MAX(Q128,P129)</f>
        <v>130.050976087113</v>
      </c>
      <c r="R129" s="29" t="n">
        <f aca="false">P129/Q129-1</f>
        <v>-0.152718775732608</v>
      </c>
      <c r="S129" s="26" t="n">
        <f aca="false">IF(A129=Inputs!$C$12,"",F129)</f>
        <v>-0.080570498234517</v>
      </c>
      <c r="T129" s="27" t="n">
        <f aca="false">IF(AND(A129&gt;Risk_Metrics!$C$28,P129&gt;=Risk_Metrics!$C$30),1,0)</f>
        <v>0</v>
      </c>
      <c r="U129" s="26" t="n">
        <f aca="false">IF(A129=Inputs!$C$12,"",K129)</f>
        <v>-0.0444011427019076</v>
      </c>
    </row>
    <row r="130" customFormat="false" ht="15" hidden="false" customHeight="false" outlineLevel="0" collapsed="false">
      <c r="A130" s="25" t="n">
        <f aca="false">Prices!A131</f>
        <v>43899</v>
      </c>
      <c r="B130" s="26" t="n">
        <f aca="false">Prices!B131/Prices!B130-1</f>
        <v>-0.0872566371681416</v>
      </c>
      <c r="C130" s="26" t="n">
        <f aca="false">Prices!C131/Prices!C130-1</f>
        <v>-0.120051637694743</v>
      </c>
      <c r="D130" s="26" t="n">
        <f aca="false">Prices!D131/Prices!D130-1</f>
        <v>-0.0794173364935462</v>
      </c>
      <c r="E130" s="26" t="n">
        <f aca="false">Prices!E131/Prices!E130-1</f>
        <v>-0.116537183496941</v>
      </c>
      <c r="F130" s="26" t="n">
        <f aca="false">Prices!F131/Prices!F130-1</f>
        <v>-0.0813416968415552</v>
      </c>
      <c r="G130" s="26" t="n">
        <f aca="false">Prices!G131/Prices!G130-1</f>
        <v>-0.0872369343936502</v>
      </c>
      <c r="H130" s="26" t="n">
        <f aca="false">Prices!H131/Prices!H130-1</f>
        <v>-0.29697770477442</v>
      </c>
      <c r="I130" s="26" t="n">
        <f aca="false">Prices!I131/Prices!I130-1</f>
        <v>-0.126066148728949</v>
      </c>
      <c r="J130" s="26" t="n">
        <f aca="false">Prices!J131/Prices!J130-1</f>
        <v>-0.151983834297605</v>
      </c>
      <c r="K130" s="26" t="n">
        <f aca="false">SUMPRODUCT(B130:J130,Optimization!$C$7:$K$7)</f>
        <v>-0.127429901543283</v>
      </c>
      <c r="L130" s="26" t="n">
        <f aca="false">SUMPRODUCT(B130:J130,Optimization!$C$8:$K$8)</f>
        <v>-0.102547366898744</v>
      </c>
      <c r="M130" s="26" t="n">
        <f aca="false">SUMPRODUCT(B130:J130,Optimization!$C$9:$K$9)</f>
        <v>-0.109920359411126</v>
      </c>
      <c r="N130" s="26" t="n">
        <f aca="false">SUMPRODUCT(B130:J130,Optimization!$C$10:$K$10)</f>
        <v>-0.0987363059180513</v>
      </c>
      <c r="O130" s="27" t="n">
        <f aca="false">IF(AND(A130&gt;=Inputs!$C$6,A130&lt;=Inputs!$C$7),1,0)</f>
        <v>1</v>
      </c>
      <c r="P130" s="28" t="n">
        <f aca="false">P129*(1+K130)</f>
        <v>96.148281212573</v>
      </c>
      <c r="Q130" s="28" t="n">
        <f aca="false">MAX(Q129,P130)</f>
        <v>130.050976087113</v>
      </c>
      <c r="R130" s="29" t="n">
        <f aca="false">P130/Q130-1</f>
        <v>-0.260687738720474</v>
      </c>
      <c r="S130" s="26" t="n">
        <f aca="false">IF(A130=Inputs!$C$12,"",F130)</f>
        <v>-0.0813416968415552</v>
      </c>
      <c r="T130" s="27" t="n">
        <f aca="false">IF(AND(A130&gt;Risk_Metrics!$C$28,P130&gt;=Risk_Metrics!$C$30),1,0)</f>
        <v>0</v>
      </c>
      <c r="U130" s="26" t="n">
        <f aca="false">IF(A130=Inputs!$C$12,"",K130)</f>
        <v>-0.127429901543283</v>
      </c>
    </row>
    <row r="131" customFormat="false" ht="15" hidden="false" customHeight="false" outlineLevel="0" collapsed="false">
      <c r="A131" s="25" t="n">
        <f aca="false">Prices!A132</f>
        <v>43900</v>
      </c>
      <c r="B131" s="26" t="n">
        <f aca="false">Prices!B132/Prices!B131-1</f>
        <v>0.080279212720574</v>
      </c>
      <c r="C131" s="26" t="n">
        <f aca="false">Prices!C132/Prices!C131-1</f>
        <v>0.12469437957688</v>
      </c>
      <c r="D131" s="26" t="n">
        <f aca="false">Prices!D132/Prices!D131-1</f>
        <v>0.00612552322613569</v>
      </c>
      <c r="E131" s="26" t="n">
        <f aca="false">Prices!E132/Prices!E131-1</f>
        <v>0.054020152111059</v>
      </c>
      <c r="F131" s="26" t="n">
        <f aca="false">Prices!F132/Prices!F131-1</f>
        <v>0.0748516266552783</v>
      </c>
      <c r="G131" s="26" t="n">
        <f aca="false">Prices!G132/Prices!G131-1</f>
        <v>0.0423950183114548</v>
      </c>
      <c r="H131" s="26" t="n">
        <f aca="false">Prices!H132/Prices!H131-1</f>
        <v>0.09408100274648</v>
      </c>
      <c r="I131" s="26" t="n">
        <f aca="false">Prices!I132/Prices!I131-1</f>
        <v>0.0864079864397709</v>
      </c>
      <c r="J131" s="26" t="n">
        <f aca="false">Prices!J132/Prices!J131-1</f>
        <v>0.184509612238456</v>
      </c>
      <c r="K131" s="26" t="n">
        <f aca="false">SUMPRODUCT(B131:J131,Optimization!$C$7:$K$7)</f>
        <v>0.0830405015584542</v>
      </c>
      <c r="L131" s="26" t="n">
        <f aca="false">SUMPRODUCT(B131:J131,Optimization!$C$8:$K$8)</f>
        <v>0.0706247740154985</v>
      </c>
      <c r="M131" s="26" t="n">
        <f aca="false">SUMPRODUCT(B131:J131,Optimization!$C$9:$K$9)</f>
        <v>0.0893583745946596</v>
      </c>
      <c r="N131" s="26" t="n">
        <f aca="false">SUMPRODUCT(B131:J131,Optimization!$C$10:$K$10)</f>
        <v>0.064731049640132</v>
      </c>
      <c r="O131" s="27" t="n">
        <f aca="false">IF(AND(A131&gt;=Inputs!$C$6,A131&lt;=Inputs!$C$7),1,0)</f>
        <v>1</v>
      </c>
      <c r="P131" s="28" t="n">
        <f aca="false">P130*(1+K131)</f>
        <v>104.132482708448</v>
      </c>
      <c r="Q131" s="28" t="n">
        <f aca="false">MAX(Q130,P131)</f>
        <v>130.050976087113</v>
      </c>
      <c r="R131" s="29" t="n">
        <f aca="false">P131/Q131-1</f>
        <v>-0.199294877735508</v>
      </c>
      <c r="S131" s="26" t="n">
        <f aca="false">IF(A131=Inputs!$C$12,"",F131)</f>
        <v>0.0748516266552783</v>
      </c>
      <c r="T131" s="27" t="n">
        <f aca="false">IF(AND(A131&gt;Risk_Metrics!$C$28,P131&gt;=Risk_Metrics!$C$30),1,0)</f>
        <v>0</v>
      </c>
      <c r="U131" s="26" t="n">
        <f aca="false">IF(A131=Inputs!$C$12,"",K131)</f>
        <v>0.0830405015584542</v>
      </c>
    </row>
    <row r="132" customFormat="false" ht="15" hidden="false" customHeight="false" outlineLevel="0" collapsed="false">
      <c r="A132" s="25" t="n">
        <f aca="false">Prices!A133</f>
        <v>43901</v>
      </c>
      <c r="B132" s="26" t="n">
        <f aca="false">Prices!B133/Prices!B132-1</f>
        <v>-0.0524142533192292</v>
      </c>
      <c r="C132" s="26" t="n">
        <f aca="false">Prices!C133/Prices!C132-1</f>
        <v>-0.0750000016304349</v>
      </c>
      <c r="D132" s="26" t="n">
        <f aca="false">Prices!D133/Prices!D132-1</f>
        <v>-0.0766107598483389</v>
      </c>
      <c r="E132" s="26" t="n">
        <f aca="false">Prices!E133/Prices!E132-1</f>
        <v>-0.0712753737479052</v>
      </c>
      <c r="F132" s="26" t="n">
        <f aca="false">Prices!F133/Prices!F132-1</f>
        <v>-0.0806794419341007</v>
      </c>
      <c r="G132" s="26" t="n">
        <f aca="false">Prices!G133/Prices!G132-1</f>
        <v>-0.0734927551376112</v>
      </c>
      <c r="H132" s="26" t="n">
        <f aca="false">Prices!H133/Prices!H132-1</f>
        <v>-0.0973803586207495</v>
      </c>
      <c r="I132" s="26" t="n">
        <f aca="false">Prices!I133/Prices!I132-1</f>
        <v>-0.0972830848679179</v>
      </c>
      <c r="J132" s="26" t="n">
        <f aca="false">Prices!J133/Prices!J132-1</f>
        <v>-0.0908279158485179</v>
      </c>
      <c r="K132" s="26" t="n">
        <f aca="false">SUMPRODUCT(B132:J132,Optimization!$C$7:$K$7)</f>
        <v>-0.0794404383283117</v>
      </c>
      <c r="L132" s="26" t="n">
        <f aca="false">SUMPRODUCT(B132:J132,Optimization!$C$8:$K$8)</f>
        <v>-0.0769996870766396</v>
      </c>
      <c r="M132" s="26" t="n">
        <f aca="false">SUMPRODUCT(B132:J132,Optimization!$C$9:$K$9)</f>
        <v>-0.0780243726482418</v>
      </c>
      <c r="N132" s="26" t="n">
        <f aca="false">SUMPRODUCT(B132:J132,Optimization!$C$10:$K$10)</f>
        <v>-0.0749097348188864</v>
      </c>
      <c r="O132" s="27" t="n">
        <f aca="false">IF(AND(A132&gt;=Inputs!$C$6,A132&lt;=Inputs!$C$7),1,0)</f>
        <v>1</v>
      </c>
      <c r="P132" s="28" t="n">
        <f aca="false">P131*(1+K132)</f>
        <v>95.8601526378739</v>
      </c>
      <c r="Q132" s="28" t="n">
        <f aca="false">MAX(Q131,P132)</f>
        <v>130.050976087113</v>
      </c>
      <c r="R132" s="29" t="n">
        <f aca="false">P132/Q132-1</f>
        <v>-0.262903243619923</v>
      </c>
      <c r="S132" s="26" t="n">
        <f aca="false">IF(A132=Inputs!$C$12,"",F132)</f>
        <v>-0.0806794419341007</v>
      </c>
      <c r="T132" s="27" t="n">
        <f aca="false">IF(AND(A132&gt;Risk_Metrics!$C$28,P132&gt;=Risk_Metrics!$C$30),1,0)</f>
        <v>0</v>
      </c>
      <c r="U132" s="26" t="n">
        <f aca="false">IF(A132=Inputs!$C$12,"",K132)</f>
        <v>-0.0794404383283117</v>
      </c>
    </row>
    <row r="133" customFormat="false" ht="15" hidden="false" customHeight="false" outlineLevel="0" collapsed="false">
      <c r="A133" s="25" t="n">
        <f aca="false">Prices!A134</f>
        <v>43902</v>
      </c>
      <c r="B133" s="26" t="n">
        <f aca="false">Prices!B134/Prices!B133-1</f>
        <v>-0.144913844574468</v>
      </c>
      <c r="C133" s="26" t="n">
        <f aca="false">Prices!C134/Prices!C133-1</f>
        <v>-0.133020003126205</v>
      </c>
      <c r="D133" s="26" t="n">
        <f aca="false">Prices!D134/Prices!D133-1</f>
        <v>-0.131868179567682</v>
      </c>
      <c r="E133" s="26" t="n">
        <f aca="false">Prices!E134/Prices!E133-1</f>
        <v>-0.152977390990179</v>
      </c>
      <c r="F133" s="26" t="n">
        <f aca="false">Prices!F134/Prices!F133-1</f>
        <v>-0.180600432877707</v>
      </c>
      <c r="G133" s="26" t="n">
        <f aca="false">Prices!G134/Prices!G133-1</f>
        <v>-0.135925996762649</v>
      </c>
      <c r="H133" s="26" t="n">
        <f aca="false">Prices!H134/Prices!H133-1</f>
        <v>-0.205047318611987</v>
      </c>
      <c r="I133" s="26" t="n">
        <f aca="false">Prices!I134/Prices!I133-1</f>
        <v>-0.150485418689632</v>
      </c>
      <c r="J133" s="26" t="n">
        <f aca="false">Prices!J134/Prices!J133-1</f>
        <v>-0.132302497186917</v>
      </c>
      <c r="K133" s="26" t="n">
        <f aca="false">SUMPRODUCT(B133:J133,Optimization!$C$7:$K$7)</f>
        <v>-0.151904564709714</v>
      </c>
      <c r="L133" s="26" t="n">
        <f aca="false">SUMPRODUCT(B133:J133,Optimization!$C$8:$K$8)</f>
        <v>-0.1359795878659</v>
      </c>
      <c r="M133" s="26" t="n">
        <f aca="false">SUMPRODUCT(B133:J133,Optimization!$C$9:$K$9)</f>
        <v>-0.137174313510644</v>
      </c>
      <c r="N133" s="26" t="n">
        <f aca="false">SUMPRODUCT(B133:J133,Optimization!$C$10:$K$10)</f>
        <v>-0.135068598295721</v>
      </c>
      <c r="O133" s="27" t="n">
        <f aca="false">IF(AND(A133&gt;=Inputs!$C$6,A133&lt;=Inputs!$C$7),1,0)</f>
        <v>1</v>
      </c>
      <c r="P133" s="28" t="n">
        <f aca="false">P132*(1+K133)</f>
        <v>81.2985578784109</v>
      </c>
      <c r="Q133" s="28" t="n">
        <f aca="false">MAX(Q132,P133)</f>
        <v>130.050976087113</v>
      </c>
      <c r="R133" s="29" t="n">
        <f aca="false">P133/Q133-1</f>
        <v>-0.374871605546781</v>
      </c>
      <c r="S133" s="26" t="n">
        <f aca="false">IF(A133=Inputs!$C$12,"",F133)</f>
        <v>-0.180600432877707</v>
      </c>
      <c r="T133" s="27" t="n">
        <f aca="false">IF(AND(A133&gt;Risk_Metrics!$C$28,P133&gt;=Risk_Metrics!$C$30),1,0)</f>
        <v>0</v>
      </c>
      <c r="U133" s="26" t="n">
        <f aca="false">IF(A133=Inputs!$C$12,"",K133)</f>
        <v>-0.151904564709714</v>
      </c>
    </row>
    <row r="134" customFormat="false" ht="15" hidden="false" customHeight="false" outlineLevel="0" collapsed="false">
      <c r="A134" s="25" t="n">
        <f aca="false">Prices!A135</f>
        <v>43903</v>
      </c>
      <c r="B134" s="26" t="n">
        <f aca="false">Prices!B135/Prices!B134-1</f>
        <v>0.0826318139705762</v>
      </c>
      <c r="C134" s="26" t="n">
        <f aca="false">Prices!C135/Prices!C134-1</f>
        <v>0.108159398653261</v>
      </c>
      <c r="D134" s="26" t="n">
        <f aca="false">Prices!D135/Prices!D134-1</f>
        <v>0.0227848101265822</v>
      </c>
      <c r="E134" s="26" t="n">
        <f aca="false">Prices!E135/Prices!E134-1</f>
        <v>0.0909090909090908</v>
      </c>
      <c r="F134" s="26" t="n">
        <f aca="false">Prices!F135/Prices!F134-1</f>
        <v>0.210259293021085</v>
      </c>
      <c r="G134" s="26" t="n">
        <f aca="false">Prices!G135/Prices!G134-1</f>
        <v>0.0628341772355536</v>
      </c>
      <c r="H134" s="26" t="n">
        <f aca="false">Prices!H135/Prices!H134-1</f>
        <v>0.222222222222222</v>
      </c>
      <c r="I134" s="26" t="n">
        <f aca="false">Prices!I135/Prices!I134-1</f>
        <v>0.0999999444365181</v>
      </c>
      <c r="J134" s="26" t="n">
        <f aca="false">Prices!J135/Prices!J134-1</f>
        <v>0.213578625945043</v>
      </c>
      <c r="K134" s="26" t="n">
        <f aca="false">SUMPRODUCT(B134:J134,Optimization!$C$7:$K$7)</f>
        <v>0.123708819613326</v>
      </c>
      <c r="L134" s="26" t="n">
        <f aca="false">SUMPRODUCT(B134:J134,Optimization!$C$8:$K$8)</f>
        <v>0.082463622006257</v>
      </c>
      <c r="M134" s="26" t="n">
        <f aca="false">SUMPRODUCT(B134:J134,Optimization!$C$9:$K$9)</f>
        <v>0.101127119335145</v>
      </c>
      <c r="N134" s="26" t="n">
        <f aca="false">SUMPRODUCT(B134:J134,Optimization!$C$10:$K$10)</f>
        <v>0.0759890483762802</v>
      </c>
      <c r="O134" s="27" t="n">
        <f aca="false">IF(AND(A134&gt;=Inputs!$C$6,A134&lt;=Inputs!$C$7),1,0)</f>
        <v>1</v>
      </c>
      <c r="P134" s="28" t="n">
        <f aca="false">P133*(1+K134)</f>
        <v>91.3559065098147</v>
      </c>
      <c r="Q134" s="28" t="n">
        <f aca="false">MAX(Q133,P134)</f>
        <v>130.050976087113</v>
      </c>
      <c r="R134" s="29" t="n">
        <f aca="false">P134/Q134-1</f>
        <v>-0.2975377097622</v>
      </c>
      <c r="S134" s="26" t="n">
        <f aca="false">IF(A134=Inputs!$C$12,"",F134)</f>
        <v>0.210259293021085</v>
      </c>
      <c r="T134" s="27" t="n">
        <f aca="false">IF(AND(A134&gt;Risk_Metrics!$C$28,P134&gt;=Risk_Metrics!$C$30),1,0)</f>
        <v>0</v>
      </c>
      <c r="U134" s="26" t="n">
        <f aca="false">IF(A134=Inputs!$C$12,"",K134)</f>
        <v>0.123708819613326</v>
      </c>
    </row>
    <row r="135" customFormat="false" ht="15" hidden="false" customHeight="false" outlineLevel="0" collapsed="false">
      <c r="A135" s="25" t="n">
        <f aca="false">Prices!A136</f>
        <v>43906</v>
      </c>
      <c r="B135" s="26" t="n">
        <f aca="false">Prices!B136/Prices!B135-1</f>
        <v>-0.140577023543626</v>
      </c>
      <c r="C135" s="26" t="n">
        <f aca="false">Prices!C136/Prices!C135-1</f>
        <v>-0.161203481467881</v>
      </c>
      <c r="D135" s="26" t="n">
        <f aca="false">Prices!D136/Prices!D135-1</f>
        <v>-0.152227722772277</v>
      </c>
      <c r="E135" s="26" t="n">
        <f aca="false">Prices!E136/Prices!E135-1</f>
        <v>-0.236111111111111</v>
      </c>
      <c r="F135" s="26" t="n">
        <f aca="false">Prices!F136/Prices!F135-1</f>
        <v>-0.185374901164165</v>
      </c>
      <c r="G135" s="26" t="n">
        <f aca="false">Prices!G136/Prices!G135-1</f>
        <v>-0.223899371069182</v>
      </c>
      <c r="H135" s="26" t="n">
        <f aca="false">Prices!H136/Prices!H135-1</f>
        <v>-0.15</v>
      </c>
      <c r="I135" s="26" t="n">
        <f aca="false">Prices!I136/Prices!I135-1</f>
        <v>-0.175324626853316</v>
      </c>
      <c r="J135" s="26" t="n">
        <f aca="false">Prices!J136/Prices!J135-1</f>
        <v>-0.089976709091995</v>
      </c>
      <c r="K135" s="26" t="n">
        <f aca="false">SUMPRODUCT(B135:J135,Optimization!$C$7:$K$7)</f>
        <v>-0.168299438563728</v>
      </c>
      <c r="L135" s="26" t="n">
        <f aca="false">SUMPRODUCT(B135:J135,Optimization!$C$8:$K$8)</f>
        <v>-0.143567665387126</v>
      </c>
      <c r="M135" s="26" t="n">
        <f aca="false">SUMPRODUCT(B135:J135,Optimization!$C$9:$K$9)</f>
        <v>-0.140307199149005</v>
      </c>
      <c r="N135" s="26" t="n">
        <f aca="false">SUMPRODUCT(B135:J135,Optimization!$C$10:$K$10)</f>
        <v>-0.14305297481101</v>
      </c>
      <c r="O135" s="27" t="n">
        <f aca="false">IF(AND(A135&gt;=Inputs!$C$6,A135&lt;=Inputs!$C$7),1,0)</f>
        <v>1</v>
      </c>
      <c r="P135" s="28" t="n">
        <f aca="false">P134*(1+K135)</f>
        <v>75.9807587347325</v>
      </c>
      <c r="Q135" s="28" t="n">
        <f aca="false">MAX(Q134,P135)</f>
        <v>130.050976087113</v>
      </c>
      <c r="R135" s="29" t="n">
        <f aca="false">P135/Q135-1</f>
        <v>-0.415761718821412</v>
      </c>
      <c r="S135" s="26" t="n">
        <f aca="false">IF(A135=Inputs!$C$12,"",F135)</f>
        <v>-0.185374901164165</v>
      </c>
      <c r="T135" s="27" t="n">
        <f aca="false">IF(AND(A135&gt;Risk_Metrics!$C$28,P135&gt;=Risk_Metrics!$C$30),1,0)</f>
        <v>0</v>
      </c>
      <c r="U135" s="26" t="n">
        <f aca="false">IF(A135=Inputs!$C$12,"",K135)</f>
        <v>-0.168299438563728</v>
      </c>
    </row>
    <row r="136" customFormat="false" ht="15" hidden="false" customHeight="false" outlineLevel="0" collapsed="false">
      <c r="A136" s="25" t="n">
        <f aca="false">Prices!A137</f>
        <v>43907</v>
      </c>
      <c r="B136" s="26" t="n">
        <f aca="false">Prices!B137/Prices!B136-1</f>
        <v>0</v>
      </c>
      <c r="C136" s="26" t="n">
        <f aca="false">Prices!C137/Prices!C136-1</f>
        <v>0.0364537182852145</v>
      </c>
      <c r="D136" s="26" t="n">
        <f aca="false">Prices!D137/Prices!D136-1</f>
        <v>0.0423357664233577</v>
      </c>
      <c r="E136" s="26" t="n">
        <f aca="false">Prices!E137/Prices!E136-1</f>
        <v>0.00727276363636364</v>
      </c>
      <c r="F136" s="26" t="n">
        <f aca="false">Prices!F137/Prices!F136-1</f>
        <v>0.0520297457893921</v>
      </c>
      <c r="G136" s="26" t="n">
        <f aca="false">Prices!G137/Prices!G136-1</f>
        <v>0.0534846029173419</v>
      </c>
      <c r="H136" s="26" t="n">
        <f aca="false">Prices!H137/Prices!H136-1</f>
        <v>-0.00687547746371275</v>
      </c>
      <c r="I136" s="26" t="n">
        <f aca="false">Prices!I137/Prices!I136-1</f>
        <v>-0.0368504203661754</v>
      </c>
      <c r="J136" s="26" t="n">
        <f aca="false">Prices!J137/Prices!J136-1</f>
        <v>0.0632683641580851</v>
      </c>
      <c r="K136" s="26" t="n">
        <f aca="false">SUMPRODUCT(B136:J136,Optimization!$C$7:$K$7)</f>
        <v>0.0234576737088741</v>
      </c>
      <c r="L136" s="26" t="n">
        <f aca="false">SUMPRODUCT(B136:J136,Optimization!$C$8:$K$8)</f>
        <v>0.0305484577312881</v>
      </c>
      <c r="M136" s="26" t="n">
        <f aca="false">SUMPRODUCT(B136:J136,Optimization!$C$9:$K$9)</f>
        <v>0.0276364450539493</v>
      </c>
      <c r="N136" s="26" t="n">
        <f aca="false">SUMPRODUCT(B136:J136,Optimization!$C$10:$K$10)</f>
        <v>0.034277009401542</v>
      </c>
      <c r="O136" s="27" t="n">
        <f aca="false">IF(AND(A136&gt;=Inputs!$C$6,A136&lt;=Inputs!$C$7),1,0)</f>
        <v>1</v>
      </c>
      <c r="P136" s="28" t="n">
        <f aca="false">P135*(1+K136)</f>
        <v>77.7630905812845</v>
      </c>
      <c r="Q136" s="28" t="n">
        <f aca="false">MAX(Q135,P136)</f>
        <v>130.050976087113</v>
      </c>
      <c r="R136" s="29" t="n">
        <f aca="false">P136/Q136-1</f>
        <v>-0.402056847853292</v>
      </c>
      <c r="S136" s="26" t="n">
        <f aca="false">IF(A136=Inputs!$C$12,"",F136)</f>
        <v>0.0520297457893921</v>
      </c>
      <c r="T136" s="27" t="n">
        <f aca="false">IF(AND(A136&gt;Risk_Metrics!$C$28,P136&gt;=Risk_Metrics!$C$30),1,0)</f>
        <v>0</v>
      </c>
      <c r="U136" s="26" t="n">
        <f aca="false">IF(A136=Inputs!$C$12,"",K136)</f>
        <v>0.0234576737088741</v>
      </c>
    </row>
    <row r="137" customFormat="false" ht="15" hidden="false" customHeight="false" outlineLevel="0" collapsed="false">
      <c r="A137" s="25" t="n">
        <f aca="false">Prices!A138</f>
        <v>43908</v>
      </c>
      <c r="B137" s="26" t="n">
        <f aca="false">Prices!B138/Prices!B137-1</f>
        <v>-0.166666666666667</v>
      </c>
      <c r="C137" s="26" t="n">
        <f aca="false">Prices!C138/Prices!C137-1</f>
        <v>-0.0770962058017</v>
      </c>
      <c r="D137" s="26" t="n">
        <f aca="false">Prices!D138/Prices!D137-1</f>
        <v>-0.102941176470588</v>
      </c>
      <c r="E137" s="26" t="n">
        <f aca="false">Prices!E138/Prices!E137-1</f>
        <v>-0.138267143022847</v>
      </c>
      <c r="F137" s="26" t="n">
        <f aca="false">Prices!F138/Prices!F137-1</f>
        <v>-0.121195775293624</v>
      </c>
      <c r="G137" s="26" t="n">
        <f aca="false">Prices!G138/Prices!G137-1</f>
        <v>-0.117948666666667</v>
      </c>
      <c r="H137" s="26" t="n">
        <f aca="false">Prices!H138/Prices!H137-1</f>
        <v>-0.131538461538462</v>
      </c>
      <c r="I137" s="26" t="n">
        <f aca="false">Prices!I138/Prices!I137-1</f>
        <v>-0.133420521486767</v>
      </c>
      <c r="J137" s="26" t="n">
        <f aca="false">Prices!J138/Prices!J137-1</f>
        <v>-0.0688989674246673</v>
      </c>
      <c r="K137" s="26" t="n">
        <f aca="false">SUMPRODUCT(B137:J137,Optimization!$C$7:$K$7)</f>
        <v>-0.117552620485777</v>
      </c>
      <c r="L137" s="26" t="n">
        <f aca="false">SUMPRODUCT(B137:J137,Optimization!$C$8:$K$8)</f>
        <v>-0.106966117783906</v>
      </c>
      <c r="M137" s="26" t="n">
        <f aca="false">SUMPRODUCT(B137:J137,Optimization!$C$9:$K$9)</f>
        <v>-0.1072716534406</v>
      </c>
      <c r="N137" s="26" t="n">
        <f aca="false">SUMPRODUCT(B137:J137,Optimization!$C$10:$K$10)</f>
        <v>-0.106778606364037</v>
      </c>
      <c r="O137" s="27" t="n">
        <f aca="false">IF(AND(A137&gt;=Inputs!$C$6,A137&lt;=Inputs!$C$7),1,0)</f>
        <v>1</v>
      </c>
      <c r="P137" s="28" t="n">
        <f aca="false">P136*(1+K137)</f>
        <v>68.6218355063817</v>
      </c>
      <c r="Q137" s="28" t="n">
        <f aca="false">MAX(Q136,P137)</f>
        <v>130.050976087113</v>
      </c>
      <c r="R137" s="29" t="n">
        <f aca="false">P137/Q137-1</f>
        <v>-0.472346632289662</v>
      </c>
      <c r="S137" s="26" t="n">
        <f aca="false">IF(A137=Inputs!$C$12,"",F137)</f>
        <v>-0.121195775293624</v>
      </c>
      <c r="T137" s="27" t="n">
        <f aca="false">IF(AND(A137&gt;Risk_Metrics!$C$28,P137&gt;=Risk_Metrics!$C$30),1,0)</f>
        <v>0</v>
      </c>
      <c r="U137" s="26" t="n">
        <f aca="false">IF(A137=Inputs!$C$12,"",K137)</f>
        <v>-0.117552620485777</v>
      </c>
    </row>
    <row r="138" customFormat="false" ht="15" hidden="false" customHeight="false" outlineLevel="0" collapsed="false">
      <c r="A138" s="25" t="n">
        <f aca="false">Prices!A139</f>
        <v>43909</v>
      </c>
      <c r="B138" s="26" t="n">
        <f aca="false">Prices!B139/Prices!B138-1</f>
        <v>0.0714285714285714</v>
      </c>
      <c r="C138" s="26" t="n">
        <f aca="false">Prices!C139/Prices!C138-1</f>
        <v>-0.00884149417199676</v>
      </c>
      <c r="D138" s="26" t="n">
        <f aca="false">Prices!D139/Prices!D138-1</f>
        <v>0.0991412958626072</v>
      </c>
      <c r="E138" s="26" t="n">
        <f aca="false">Prices!E139/Prices!E138-1</f>
        <v>0.0925847887480189</v>
      </c>
      <c r="F138" s="26" t="n">
        <f aca="false">Prices!F139/Prices!F138-1</f>
        <v>0.0105134190029579</v>
      </c>
      <c r="G138" s="26" t="n">
        <f aca="false">Prices!G139/Prices!G138-1</f>
        <v>0.161627839440242</v>
      </c>
      <c r="H138" s="26" t="n">
        <f aca="false">Prices!H139/Prices!H138-1</f>
        <v>0.0814880425155007</v>
      </c>
      <c r="I138" s="26" t="n">
        <f aca="false">Prices!I139/Prices!I138-1</f>
        <v>0.0830189128482881</v>
      </c>
      <c r="J138" s="26" t="n">
        <f aca="false">Prices!J139/Prices!J138-1</f>
        <v>-0.0582147447236872</v>
      </c>
      <c r="K138" s="26" t="n">
        <f aca="false">SUMPRODUCT(B138:J138,Optimization!$C$7:$K$7)</f>
        <v>0.0591940701056114</v>
      </c>
      <c r="L138" s="26" t="n">
        <f aca="false">SUMPRODUCT(B138:J138,Optimization!$C$8:$K$8)</f>
        <v>0.0531327391789427</v>
      </c>
      <c r="M138" s="26" t="n">
        <f aca="false">SUMPRODUCT(B138:J138,Optimization!$C$9:$K$9)</f>
        <v>0.0396266301832153</v>
      </c>
      <c r="N138" s="26" t="n">
        <f aca="false">SUMPRODUCT(B138:J138,Optimization!$C$10:$K$10)</f>
        <v>0.0556138397284941</v>
      </c>
      <c r="O138" s="27" t="n">
        <f aca="false">IF(AND(A138&gt;=Inputs!$C$6,A138&lt;=Inputs!$C$7),1,0)</f>
        <v>1</v>
      </c>
      <c r="P138" s="28" t="n">
        <f aca="false">P137*(1+K138)</f>
        <v>72.6838412481222</v>
      </c>
      <c r="Q138" s="28" t="n">
        <f aca="false">MAX(Q137,P138)</f>
        <v>130.050976087113</v>
      </c>
      <c r="R138" s="29" t="n">
        <f aca="false">P138/Q138-1</f>
        <v>-0.441112681849955</v>
      </c>
      <c r="S138" s="26" t="n">
        <f aca="false">IF(A138=Inputs!$C$12,"",F138)</f>
        <v>0.0105134190029579</v>
      </c>
      <c r="T138" s="27" t="n">
        <f aca="false">IF(AND(A138&gt;Risk_Metrics!$C$28,P138&gt;=Risk_Metrics!$C$30),1,0)</f>
        <v>0</v>
      </c>
      <c r="U138" s="26" t="n">
        <f aca="false">IF(A138=Inputs!$C$12,"",K138)</f>
        <v>0.0591940701056114</v>
      </c>
    </row>
    <row r="139" customFormat="false" ht="15" hidden="false" customHeight="false" outlineLevel="0" collapsed="false">
      <c r="A139" s="25" t="n">
        <f aca="false">Prices!A140</f>
        <v>43910</v>
      </c>
      <c r="B139" s="26" t="n">
        <f aca="false">Prices!B140/Prices!B139-1</f>
        <v>-0.0602666133333334</v>
      </c>
      <c r="C139" s="26" t="n">
        <f aca="false">Prices!C140/Prices!C139-1</f>
        <v>-0.00215315300849905</v>
      </c>
      <c r="D139" s="26" t="n">
        <f aca="false">Prices!D140/Prices!D139-1</f>
        <v>-0.0731534090909091</v>
      </c>
      <c r="E139" s="26" t="n">
        <f aca="false">Prices!E140/Prices!E139-1</f>
        <v>0.0563649923312883</v>
      </c>
      <c r="F139" s="26" t="n">
        <f aca="false">Prices!F140/Prices!F139-1</f>
        <v>0.0777233166883218</v>
      </c>
      <c r="G139" s="26" t="n">
        <f aca="false">Prices!G140/Prices!G139-1</f>
        <v>-0.0475474974974975</v>
      </c>
      <c r="H139" s="26" t="n">
        <f aca="false">Prices!H140/Prices!H139-1</f>
        <v>-0.0171990171990173</v>
      </c>
      <c r="I139" s="26" t="n">
        <f aca="false">Prices!I140/Prices!I139-1</f>
        <v>0.0543553505127632</v>
      </c>
      <c r="J139" s="26" t="n">
        <f aca="false">Prices!J140/Prices!J139-1</f>
        <v>-0.033241838832866</v>
      </c>
      <c r="K139" s="26" t="n">
        <f aca="false">SUMPRODUCT(B139:J139,Optimization!$C$7:$K$7)</f>
        <v>-0.00501309660330545</v>
      </c>
      <c r="L139" s="26" t="n">
        <f aca="false">SUMPRODUCT(B139:J139,Optimization!$C$8:$K$8)</f>
        <v>-0.0426700691742273</v>
      </c>
      <c r="M139" s="26" t="n">
        <f aca="false">SUMPRODUCT(B139:J139,Optimization!$C$9:$K$9)</f>
        <v>-0.0334345345047839</v>
      </c>
      <c r="N139" s="26" t="n">
        <f aca="false">SUMPRODUCT(B139:J139,Optimization!$C$10:$K$10)</f>
        <v>-0.0506956192146718</v>
      </c>
      <c r="O139" s="27" t="n">
        <f aca="false">IF(AND(A139&gt;=Inputs!$C$6,A139&lt;=Inputs!$C$7),1,0)</f>
        <v>1</v>
      </c>
      <c r="P139" s="28" t="n">
        <f aca="false">P138*(1+K139)</f>
        <v>72.319470130446</v>
      </c>
      <c r="Q139" s="28" t="n">
        <f aca="false">MAX(Q138,P139)</f>
        <v>130.050976087113</v>
      </c>
      <c r="R139" s="29" t="n">
        <f aca="false">P139/Q139-1</f>
        <v>-0.443914437966203</v>
      </c>
      <c r="S139" s="26" t="n">
        <f aca="false">IF(A139=Inputs!$C$12,"",F139)</f>
        <v>0.0777233166883218</v>
      </c>
      <c r="T139" s="27" t="n">
        <f aca="false">IF(AND(A139&gt;Risk_Metrics!$C$28,P139&gt;=Risk_Metrics!$C$30),1,0)</f>
        <v>0</v>
      </c>
      <c r="U139" s="26" t="n">
        <f aca="false">IF(A139=Inputs!$C$12,"",K139)</f>
        <v>-0.00501309660330545</v>
      </c>
    </row>
    <row r="140" customFormat="false" ht="15" hidden="false" customHeight="false" outlineLevel="0" collapsed="false">
      <c r="A140" s="25" t="n">
        <f aca="false">Prices!A141</f>
        <v>43913</v>
      </c>
      <c r="B140" s="26" t="n">
        <f aca="false">Prices!B141/Prices!B140-1</f>
        <v>-0.0482406612803257</v>
      </c>
      <c r="C140" s="26" t="n">
        <f aca="false">Prices!C141/Prices!C140-1</f>
        <v>-0.0613439907935879</v>
      </c>
      <c r="D140" s="26" t="n">
        <f aca="false">Prices!D141/Prices!D140-1</f>
        <v>0.0352490421455938</v>
      </c>
      <c r="E140" s="26" t="n">
        <f aca="false">Prices!E141/Prices!E140-1</f>
        <v>-0.125226828501881</v>
      </c>
      <c r="F140" s="26" t="n">
        <f aca="false">Prices!F141/Prices!F140-1</f>
        <v>-0.00681424858069213</v>
      </c>
      <c r="G140" s="26" t="n">
        <f aca="false">Prices!G141/Prices!G140-1</f>
        <v>-0.0798739316934348</v>
      </c>
      <c r="H140" s="26" t="n">
        <f aca="false">Prices!H141/Prices!H140-1</f>
        <v>-0.0416666666666666</v>
      </c>
      <c r="I140" s="26" t="n">
        <f aca="false">Prices!I141/Prices!I140-1</f>
        <v>-0.037673470241735</v>
      </c>
      <c r="J140" s="26" t="n">
        <f aca="false">Prices!J141/Prices!J140-1</f>
        <v>-0.0309747380214476</v>
      </c>
      <c r="K140" s="26" t="n">
        <f aca="false">SUMPRODUCT(B140:J140,Optimization!$C$7:$K$7)</f>
        <v>-0.0440628326260197</v>
      </c>
      <c r="L140" s="26" t="n">
        <f aca="false">SUMPRODUCT(B140:J140,Optimization!$C$8:$K$8)</f>
        <v>-0.00859077779862429</v>
      </c>
      <c r="M140" s="26" t="n">
        <f aca="false">SUMPRODUCT(B140:J140,Optimization!$C$9:$K$9)</f>
        <v>-0.0196332375307909</v>
      </c>
      <c r="N140" s="26" t="n">
        <f aca="false">SUMPRODUCT(B140:J140,Optimization!$C$10:$K$10)</f>
        <v>-0.00522770246738037</v>
      </c>
      <c r="O140" s="27" t="n">
        <f aca="false">IF(AND(A140&gt;=Inputs!$C$6,A140&lt;=Inputs!$C$7),1,0)</f>
        <v>1</v>
      </c>
      <c r="P140" s="28" t="n">
        <f aca="false">P139*(1+K140)</f>
        <v>69.1328694224858</v>
      </c>
      <c r="Q140" s="28" t="n">
        <f aca="false">MAX(Q139,P140)</f>
        <v>130.050976087113</v>
      </c>
      <c r="R140" s="29" t="n">
        <f aca="false">P140/Q140-1</f>
        <v>-0.468417143011845</v>
      </c>
      <c r="S140" s="26" t="n">
        <f aca="false">IF(A140=Inputs!$C$12,"",F140)</f>
        <v>-0.00681424858069213</v>
      </c>
      <c r="T140" s="27" t="n">
        <f aca="false">IF(AND(A140&gt;Risk_Metrics!$C$28,P140&gt;=Risk_Metrics!$C$30),1,0)</f>
        <v>0</v>
      </c>
      <c r="U140" s="26" t="n">
        <f aca="false">IF(A140=Inputs!$C$12,"",K140)</f>
        <v>-0.0440628326260197</v>
      </c>
    </row>
    <row r="141" customFormat="false" ht="15" hidden="false" customHeight="false" outlineLevel="0" collapsed="false">
      <c r="A141" s="25" t="n">
        <f aca="false">Prices!A142</f>
        <v>43914</v>
      </c>
      <c r="B141" s="26" t="n">
        <f aca="false">Prices!B142/Prices!B141-1</f>
        <v>0.0494931410407533</v>
      </c>
      <c r="C141" s="26" t="n">
        <f aca="false">Prices!C142/Prices!C141-1</f>
        <v>0.192446600985221</v>
      </c>
      <c r="D141" s="26" t="n">
        <f aca="false">Prices!D142/Prices!D141-1</f>
        <v>-0.00296076980014792</v>
      </c>
      <c r="E141" s="26" t="n">
        <f aca="false">Prices!E142/Prices!E141-1</f>
        <v>0.127800829875519</v>
      </c>
      <c r="F141" s="26" t="n">
        <f aca="false">Prices!F142/Prices!F141-1</f>
        <v>0.102915876779559</v>
      </c>
      <c r="G141" s="26" t="n">
        <f aca="false">Prices!G142/Prices!G141-1</f>
        <v>0.173044031981725</v>
      </c>
      <c r="H141" s="26" t="n">
        <f aca="false">Prices!H142/Prices!H141-1</f>
        <v>0.152173913043478</v>
      </c>
      <c r="I141" s="26" t="n">
        <f aca="false">Prices!I142/Prices!I141-1</f>
        <v>0.119848899684654</v>
      </c>
      <c r="J141" s="26" t="n">
        <f aca="false">Prices!J142/Prices!J141-1</f>
        <v>0.103812352129757</v>
      </c>
      <c r="K141" s="26" t="n">
        <f aca="false">SUMPRODUCT(B141:J141,Optimization!$C$7:$K$7)</f>
        <v>0.113174986191169</v>
      </c>
      <c r="L141" s="26" t="n">
        <f aca="false">SUMPRODUCT(B141:J141,Optimization!$C$8:$K$8)</f>
        <v>0.0605152857486998</v>
      </c>
      <c r="M141" s="26" t="n">
        <f aca="false">SUMPRODUCT(B141:J141,Optimization!$C$9:$K$9)</f>
        <v>0.0769922143830366</v>
      </c>
      <c r="N141" s="26" t="n">
        <f aca="false">SUMPRODUCT(B141:J141,Optimization!$C$10:$K$10)</f>
        <v>0.0533468075567695</v>
      </c>
      <c r="O141" s="27" t="n">
        <f aca="false">IF(AND(A141&gt;=Inputs!$C$6,A141&lt;=Inputs!$C$7),1,0)</f>
        <v>1</v>
      </c>
      <c r="P141" s="28" t="n">
        <f aca="false">P140*(1+K141)</f>
        <v>76.9569809647315</v>
      </c>
      <c r="Q141" s="28" t="n">
        <f aca="false">MAX(Q140,P141)</f>
        <v>130.050976087113</v>
      </c>
      <c r="R141" s="29" t="n">
        <f aca="false">P141/Q141-1</f>
        <v>-0.408255260512748</v>
      </c>
      <c r="S141" s="26" t="n">
        <f aca="false">IF(A141=Inputs!$C$12,"",F141)</f>
        <v>0.102915876779559</v>
      </c>
      <c r="T141" s="27" t="n">
        <f aca="false">IF(AND(A141&gt;Risk_Metrics!$C$28,P141&gt;=Risk_Metrics!$C$30),1,0)</f>
        <v>0</v>
      </c>
      <c r="U141" s="26" t="n">
        <f aca="false">IF(A141=Inputs!$C$12,"",K141)</f>
        <v>0.113174986191169</v>
      </c>
    </row>
    <row r="142" customFormat="false" ht="15" hidden="false" customHeight="false" outlineLevel="0" collapsed="false">
      <c r="A142" s="25" t="n">
        <f aca="false">Prices!A143</f>
        <v>43915</v>
      </c>
      <c r="B142" s="26" t="n">
        <f aca="false">Prices!B143/Prices!B142-1</f>
        <v>0.166193120278604</v>
      </c>
      <c r="C142" s="26" t="n">
        <f aca="false">Prices!C143/Prices!C142-1</f>
        <v>0.0683007730184735</v>
      </c>
      <c r="D142" s="26" t="n">
        <f aca="false">Prices!D143/Prices!D142-1</f>
        <v>0.0304380103934669</v>
      </c>
      <c r="E142" s="26" t="n">
        <f aca="false">Prices!E143/Prices!E142-1</f>
        <v>0.26821195732156</v>
      </c>
      <c r="F142" s="26" t="n">
        <f aca="false">Prices!F143/Prices!F142-1</f>
        <v>0.0383618634003595</v>
      </c>
      <c r="G142" s="26" t="n">
        <f aca="false">Prices!G143/Prices!G142-1</f>
        <v>0.124147949165144</v>
      </c>
      <c r="H142" s="26" t="n">
        <f aca="false">Prices!H143/Prices!H142-1</f>
        <v>0.080754716981132</v>
      </c>
      <c r="I142" s="26" t="n">
        <f aca="false">Prices!I143/Prices!I142-1</f>
        <v>0.102729173812603</v>
      </c>
      <c r="J142" s="26" t="n">
        <f aca="false">Prices!J143/Prices!J142-1</f>
        <v>0.0852815910011049</v>
      </c>
      <c r="K142" s="26" t="n">
        <f aca="false">SUMPRODUCT(B142:J142,Optimization!$C$7:$K$7)</f>
        <v>0.107157683930272</v>
      </c>
      <c r="L142" s="26" t="n">
        <f aca="false">SUMPRODUCT(B142:J142,Optimization!$C$8:$K$8)</f>
        <v>0.0728878031952481</v>
      </c>
      <c r="M142" s="26" t="n">
        <f aca="false">SUMPRODUCT(B142:J142,Optimization!$C$9:$K$9)</f>
        <v>0.0835641878350867</v>
      </c>
      <c r="N142" s="26" t="n">
        <f aca="false">SUMPRODUCT(B142:J142,Optimization!$C$10:$K$10)</f>
        <v>0.0704157907828902</v>
      </c>
      <c r="O142" s="27" t="n">
        <f aca="false">IF(AND(A142&gt;=Inputs!$C$6,A142&lt;=Inputs!$C$7),1,0)</f>
        <v>1</v>
      </c>
      <c r="P142" s="28" t="n">
        <f aca="false">P141*(1+K142)</f>
        <v>85.2035128071781</v>
      </c>
      <c r="Q142" s="28" t="n">
        <f aca="false">MAX(Q141,P142)</f>
        <v>130.050976087113</v>
      </c>
      <c r="R142" s="29" t="n">
        <f aca="false">P142/Q142-1</f>
        <v>-0.344845264751372</v>
      </c>
      <c r="S142" s="26" t="n">
        <f aca="false">IF(A142=Inputs!$C$12,"",F142)</f>
        <v>0.0383618634003595</v>
      </c>
      <c r="T142" s="27" t="n">
        <f aca="false">IF(AND(A142&gt;Risk_Metrics!$C$28,P142&gt;=Risk_Metrics!$C$30),1,0)</f>
        <v>0</v>
      </c>
      <c r="U142" s="26" t="n">
        <f aca="false">IF(A142=Inputs!$C$12,"",K142)</f>
        <v>0.107157683930272</v>
      </c>
    </row>
    <row r="143" customFormat="false" ht="15" hidden="false" customHeight="false" outlineLevel="0" collapsed="false">
      <c r="A143" s="25" t="n">
        <f aca="false">Prices!A144</f>
        <v>43916</v>
      </c>
      <c r="B143" s="26" t="n">
        <f aca="false">Prices!B144/Prices!B143-1</f>
        <v>0.0267966632593584</v>
      </c>
      <c r="C143" s="26" t="n">
        <f aca="false">Prices!C144/Prices!C143-1</f>
        <v>-0.00386697602474861</v>
      </c>
      <c r="D143" s="26" t="n">
        <f aca="false">Prices!D144/Prices!D143-1</f>
        <v>0.0180115273775217</v>
      </c>
      <c r="E143" s="26" t="n">
        <f aca="false">Prices!E144/Prices!E143-1</f>
        <v>0.00638230326712197</v>
      </c>
      <c r="F143" s="26" t="n">
        <f aca="false">Prices!F144/Prices!F143-1</f>
        <v>0.0409385225892893</v>
      </c>
      <c r="G143" s="26" t="n">
        <f aca="false">Prices!G144/Prices!G143-1</f>
        <v>0.0311822867042011</v>
      </c>
      <c r="H143" s="26" t="n">
        <f aca="false">Prices!H144/Prices!H143-1</f>
        <v>0.00488826815642462</v>
      </c>
      <c r="I143" s="26" t="n">
        <f aca="false">Prices!I144/Prices!I143-1</f>
        <v>0.0703559819367519</v>
      </c>
      <c r="J143" s="26" t="n">
        <f aca="false">Prices!J144/Prices!J143-1</f>
        <v>0.0281518251237123</v>
      </c>
      <c r="K143" s="26" t="n">
        <f aca="false">SUMPRODUCT(B143:J143,Optimization!$C$7:$K$7)</f>
        <v>0.0247600447099592</v>
      </c>
      <c r="L143" s="26" t="n">
        <f aca="false">SUMPRODUCT(B143:J143,Optimization!$C$8:$K$8)</f>
        <v>0.0233973702522035</v>
      </c>
      <c r="M143" s="26" t="n">
        <f aca="false">SUMPRODUCT(B143:J143,Optimization!$C$9:$K$9)</f>
        <v>0.0259626978155606</v>
      </c>
      <c r="N143" s="26" t="n">
        <f aca="false">SUMPRODUCT(B143:J143,Optimization!$C$10:$K$10)</f>
        <v>0.0199012154485424</v>
      </c>
      <c r="O143" s="27" t="n">
        <f aca="false">IF(AND(A143&gt;=Inputs!$C$6,A143&lt;=Inputs!$C$7),1,0)</f>
        <v>1</v>
      </c>
      <c r="P143" s="28" t="n">
        <f aca="false">P142*(1+K143)</f>
        <v>87.3131555937294</v>
      </c>
      <c r="Q143" s="28" t="n">
        <f aca="false">MAX(Q142,P143)</f>
        <v>130.050976087113</v>
      </c>
      <c r="R143" s="29" t="n">
        <f aca="false">P143/Q143-1</f>
        <v>-0.328623604214675</v>
      </c>
      <c r="S143" s="26" t="n">
        <f aca="false">IF(A143=Inputs!$C$12,"",F143)</f>
        <v>0.0409385225892893</v>
      </c>
      <c r="T143" s="27" t="n">
        <f aca="false">IF(AND(A143&gt;Risk_Metrics!$C$28,P143&gt;=Risk_Metrics!$C$30),1,0)</f>
        <v>0</v>
      </c>
      <c r="U143" s="26" t="n">
        <f aca="false">IF(A143=Inputs!$C$12,"",K143)</f>
        <v>0.0247600447099592</v>
      </c>
    </row>
    <row r="144" customFormat="false" ht="15" hidden="false" customHeight="false" outlineLevel="0" collapsed="false">
      <c r="A144" s="25" t="n">
        <f aca="false">Prices!A145</f>
        <v>43917</v>
      </c>
      <c r="B144" s="26" t="n">
        <f aca="false">Prices!B145/Prices!B144-1</f>
        <v>-0.0597864977562753</v>
      </c>
      <c r="C144" s="26" t="n">
        <f aca="false">Prices!C145/Prices!C144-1</f>
        <v>-0.0447722826086957</v>
      </c>
      <c r="D144" s="26" t="n">
        <f aca="false">Prices!D145/Prices!D144-1</f>
        <v>0.0601556970983723</v>
      </c>
      <c r="E144" s="26" t="n">
        <f aca="false">Prices!E145/Prices!E144-1</f>
        <v>-0.0971461256023675</v>
      </c>
      <c r="F144" s="26" t="n">
        <f aca="false">Prices!F145/Prices!F144-1</f>
        <v>-0.0887290144810859</v>
      </c>
      <c r="G144" s="26" t="n">
        <f aca="false">Prices!G145/Prices!G144-1</f>
        <v>-0.104997904451823</v>
      </c>
      <c r="H144" s="26" t="n">
        <f aca="false">Prices!H145/Prices!H144-1</f>
        <v>-0.0757470465601112</v>
      </c>
      <c r="I144" s="26" t="n">
        <f aca="false">Prices!I145/Prices!I144-1</f>
        <v>-0.0646921067567592</v>
      </c>
      <c r="J144" s="26" t="n">
        <f aca="false">Prices!J145/Prices!J144-1</f>
        <v>-0.0452381428571429</v>
      </c>
      <c r="K144" s="26" t="n">
        <f aca="false">SUMPRODUCT(B144:J144,Optimization!$C$7:$K$7)</f>
        <v>-0.0578837137750987</v>
      </c>
      <c r="L144" s="26" t="n">
        <f aca="false">SUMPRODUCT(B144:J144,Optimization!$C$8:$K$8)</f>
        <v>-0.00210134656676853</v>
      </c>
      <c r="M144" s="26" t="n">
        <f aca="false">SUMPRODUCT(B144:J144,Optimization!$C$9:$K$9)</f>
        <v>-0.0189717504634477</v>
      </c>
      <c r="N144" s="26" t="n">
        <f aca="false">SUMPRODUCT(B144:J144,Optimization!$C$10:$K$10)</f>
        <v>0.00445085139583205</v>
      </c>
      <c r="O144" s="27" t="n">
        <f aca="false">IF(AND(A144&gt;=Inputs!$C$6,A144&lt;=Inputs!$C$7),1,0)</f>
        <v>1</v>
      </c>
      <c r="P144" s="28" t="n">
        <f aca="false">P143*(1+K144)</f>
        <v>82.2591458865413</v>
      </c>
      <c r="Q144" s="28" t="n">
        <f aca="false">MAX(Q143,P144)</f>
        <v>130.050976087113</v>
      </c>
      <c r="R144" s="29" t="n">
        <f aca="false">P144/Q144-1</f>
        <v>-0.36748536334367</v>
      </c>
      <c r="S144" s="26" t="n">
        <f aca="false">IF(A144=Inputs!$C$12,"",F144)</f>
        <v>-0.0887290144810859</v>
      </c>
      <c r="T144" s="27" t="n">
        <f aca="false">IF(AND(A144&gt;Risk_Metrics!$C$28,P144&gt;=Risk_Metrics!$C$30),1,0)</f>
        <v>0</v>
      </c>
      <c r="U144" s="26" t="n">
        <f aca="false">IF(A144=Inputs!$C$12,"",K144)</f>
        <v>-0.0578837137750987</v>
      </c>
    </row>
    <row r="145" customFormat="false" ht="15" hidden="false" customHeight="false" outlineLevel="0" collapsed="false">
      <c r="A145" s="25" t="n">
        <f aca="false">Prices!A146</f>
        <v>43920</v>
      </c>
      <c r="B145" s="26" t="n">
        <f aca="false">Prices!B146/Prices!B145-1</f>
        <v>-0.0550088303051014</v>
      </c>
      <c r="C145" s="26" t="n">
        <f aca="false">Prices!C146/Prices!C145-1</f>
        <v>0.00243836365316619</v>
      </c>
      <c r="D145" s="26" t="n">
        <f aca="false">Prices!D146/Prices!D145-1</f>
        <v>0.0500667556742322</v>
      </c>
      <c r="E145" s="26" t="n">
        <f aca="false">Prices!E146/Prices!E145-1</f>
        <v>-0.0836525862068965</v>
      </c>
      <c r="F145" s="26" t="n">
        <f aca="false">Prices!F146/Prices!F145-1</f>
        <v>0.00210534977860921</v>
      </c>
      <c r="G145" s="26" t="n">
        <f aca="false">Prices!G146/Prices!G145-1</f>
        <v>-0.0168933841808252</v>
      </c>
      <c r="H145" s="26" t="n">
        <f aca="false">Prices!H146/Prices!H145-1</f>
        <v>0.00601503759398492</v>
      </c>
      <c r="I145" s="26" t="n">
        <f aca="false">Prices!I146/Prices!I145-1</f>
        <v>-0.00694445757431772</v>
      </c>
      <c r="J145" s="26" t="n">
        <f aca="false">Prices!J146/Prices!J145-1</f>
        <v>0.0416459372391989</v>
      </c>
      <c r="K145" s="26" t="n">
        <f aca="false">SUMPRODUCT(B145:J145,Optimization!$C$7:$K$7)</f>
        <v>-0.00669197936977216</v>
      </c>
      <c r="L145" s="26" t="n">
        <f aca="false">SUMPRODUCT(B145:J145,Optimization!$C$8:$K$8)</f>
        <v>0.0203427623321839</v>
      </c>
      <c r="M145" s="26" t="n">
        <f aca="false">SUMPRODUCT(B145:J145,Optimization!$C$9:$K$9)</f>
        <v>0.013865134978101</v>
      </c>
      <c r="N145" s="26" t="n">
        <f aca="false">SUMPRODUCT(B145:J145,Optimization!$C$10:$K$10)</f>
        <v>0.0215668247091702</v>
      </c>
      <c r="O145" s="27" t="n">
        <f aca="false">IF(AND(A145&gt;=Inputs!$C$6,A145&lt;=Inputs!$C$7),1,0)</f>
        <v>1</v>
      </c>
      <c r="P145" s="28" t="n">
        <f aca="false">P144*(1+K145)</f>
        <v>81.7086693792935</v>
      </c>
      <c r="Q145" s="28" t="n">
        <f aca="false">MAX(Q144,P145)</f>
        <v>130.050976087113</v>
      </c>
      <c r="R145" s="29" t="n">
        <f aca="false">P145/Q145-1</f>
        <v>-0.371718138243253</v>
      </c>
      <c r="S145" s="26" t="n">
        <f aca="false">IF(A145=Inputs!$C$12,"",F145)</f>
        <v>0.00210534977860921</v>
      </c>
      <c r="T145" s="27" t="n">
        <f aca="false">IF(AND(A145&gt;Risk_Metrics!$C$28,P145&gt;=Risk_Metrics!$C$30),1,0)</f>
        <v>0</v>
      </c>
      <c r="U145" s="26" t="n">
        <f aca="false">IF(A145=Inputs!$C$12,"",K145)</f>
        <v>-0.00669197936977216</v>
      </c>
    </row>
    <row r="146" customFormat="false" ht="15" hidden="false" customHeight="false" outlineLevel="0" collapsed="false">
      <c r="A146" s="25" t="n">
        <f aca="false">Prices!A147</f>
        <v>43921</v>
      </c>
      <c r="B146" s="26" t="n">
        <f aca="false">Prices!B147/Prices!B146-1</f>
        <v>-0.0154873694128873</v>
      </c>
      <c r="C146" s="26" t="n">
        <f aca="false">Prices!C147/Prices!C146-1</f>
        <v>-0.0297297575602636</v>
      </c>
      <c r="D146" s="26" t="n">
        <f aca="false">Prices!D147/Prices!D146-1</f>
        <v>0.031150603941513</v>
      </c>
      <c r="E146" s="26" t="n">
        <f aca="false">Prices!E147/Prices!E146-1</f>
        <v>-0.0836237601524823</v>
      </c>
      <c r="F146" s="26" t="n">
        <f aca="false">Prices!F147/Prices!F146-1</f>
        <v>-0.0546219332272553</v>
      </c>
      <c r="G146" s="26" t="n">
        <f aca="false">Prices!G147/Prices!G146-1</f>
        <v>-0.0892601866701582</v>
      </c>
      <c r="H146" s="26" t="n">
        <f aca="false">Prices!H147/Prices!H146-1</f>
        <v>0.0455904334828101</v>
      </c>
      <c r="I146" s="26" t="n">
        <f aca="false">Prices!I147/Prices!I146-1</f>
        <v>-0.0545454737770049</v>
      </c>
      <c r="J146" s="26" t="n">
        <f aca="false">Prices!J147/Prices!J146-1</f>
        <v>0.0347139334450564</v>
      </c>
      <c r="K146" s="26" t="n">
        <f aca="false">SUMPRODUCT(B146:J146,Optimization!$C$7:$K$7)</f>
        <v>-0.0239792788811858</v>
      </c>
      <c r="L146" s="26" t="n">
        <f aca="false">SUMPRODUCT(B146:J146,Optimization!$C$8:$K$8)</f>
        <v>0.0080116719537431</v>
      </c>
      <c r="M146" s="26" t="n">
        <f aca="false">SUMPRODUCT(B146:J146,Optimization!$C$9:$K$9)</f>
        <v>0.00253363657884299</v>
      </c>
      <c r="N146" s="26" t="n">
        <f aca="false">SUMPRODUCT(B146:J146,Optimization!$C$10:$K$10)</f>
        <v>0.0119616494055281</v>
      </c>
      <c r="O146" s="27" t="n">
        <f aca="false">IF(AND(A146&gt;=Inputs!$C$6,A146&lt;=Inputs!$C$7),1,0)</f>
        <v>1</v>
      </c>
      <c r="P146" s="28" t="n">
        <f aca="false">P145*(1+K146)</f>
        <v>79.7493544092368</v>
      </c>
      <c r="Q146" s="28" t="n">
        <f aca="false">MAX(Q145,P146)</f>
        <v>130.050976087113</v>
      </c>
      <c r="R146" s="29" t="n">
        <f aca="false">P146/Q146-1</f>
        <v>-0.386783884222308</v>
      </c>
      <c r="S146" s="26" t="n">
        <f aca="false">IF(A146=Inputs!$C$12,"",F146)</f>
        <v>-0.0546219332272553</v>
      </c>
      <c r="T146" s="27" t="n">
        <f aca="false">IF(AND(A146&gt;Risk_Metrics!$C$28,P146&gt;=Risk_Metrics!$C$30),1,0)</f>
        <v>0</v>
      </c>
      <c r="U146" s="26" t="n">
        <f aca="false">IF(A146=Inputs!$C$12,"",K146)</f>
        <v>-0.0239792788811858</v>
      </c>
    </row>
    <row r="147" customFormat="false" ht="15" hidden="false" customHeight="false" outlineLevel="0" collapsed="false">
      <c r="A147" s="25" t="n">
        <f aca="false">Prices!A148</f>
        <v>43922</v>
      </c>
      <c r="B147" s="26" t="n">
        <f aca="false">Prices!B148/Prices!B147-1</f>
        <v>-0.020884215375216</v>
      </c>
      <c r="C147" s="26" t="n">
        <f aca="false">Prices!C148/Prices!C147-1</f>
        <v>-0.0348188877336427</v>
      </c>
      <c r="D147" s="26" t="n">
        <f aca="false">Prices!D148/Prices!D147-1</f>
        <v>-0.028976512267356</v>
      </c>
      <c r="E147" s="26" t="n">
        <f aca="false">Prices!E148/Prices!E147-1</f>
        <v>-0.0988592433026329</v>
      </c>
      <c r="F147" s="26" t="n">
        <f aca="false">Prices!F148/Prices!F147-1</f>
        <v>-0.00277766935578572</v>
      </c>
      <c r="G147" s="26" t="n">
        <f aca="false">Prices!G148/Prices!G147-1</f>
        <v>-0.0288259433962264</v>
      </c>
      <c r="H147" s="26" t="n">
        <f aca="false">Prices!H148/Prices!H147-1</f>
        <v>0.0221586847748392</v>
      </c>
      <c r="I147" s="26" t="n">
        <f aca="false">Prices!I148/Prices!I147-1</f>
        <v>0.0159763505964052</v>
      </c>
      <c r="J147" s="26" t="n">
        <f aca="false">Prices!J148/Prices!J147-1</f>
        <v>0.0034705691006347</v>
      </c>
      <c r="K147" s="26" t="n">
        <f aca="false">SUMPRODUCT(B147:J147,Optimization!$C$7:$K$7)</f>
        <v>-0.0192818741065534</v>
      </c>
      <c r="L147" s="26" t="n">
        <f aca="false">SUMPRODUCT(B147:J147,Optimization!$C$8:$K$8)</f>
        <v>-0.0186565687486905</v>
      </c>
      <c r="M147" s="26" t="n">
        <f aca="false">SUMPRODUCT(B147:J147,Optimization!$C$9:$K$9)</f>
        <v>-0.0146755544123316</v>
      </c>
      <c r="N147" s="26" t="n">
        <f aca="false">SUMPRODUCT(B147:J147,Optimization!$C$10:$K$10)</f>
        <v>-0.0219798579353986</v>
      </c>
      <c r="O147" s="27" t="n">
        <f aca="false">IF(AND(A147&gt;=Inputs!$C$6,A147&lt;=Inputs!$C$7),1,0)</f>
        <v>1</v>
      </c>
      <c r="P147" s="28" t="n">
        <f aca="false">P146*(1+K147)</f>
        <v>78.211637397439</v>
      </c>
      <c r="Q147" s="28" t="n">
        <f aca="false">MAX(Q146,P147)</f>
        <v>130.050976087113</v>
      </c>
      <c r="R147" s="29" t="n">
        <f aca="false">P147/Q147-1</f>
        <v>-0.398607840166844</v>
      </c>
      <c r="S147" s="26" t="n">
        <f aca="false">IF(A147=Inputs!$C$12,"",F147)</f>
        <v>-0.00277766935578572</v>
      </c>
      <c r="T147" s="27" t="n">
        <f aca="false">IF(AND(A147&gt;Risk_Metrics!$C$28,P147&gt;=Risk_Metrics!$C$30),1,0)</f>
        <v>0</v>
      </c>
      <c r="U147" s="26" t="n">
        <f aca="false">IF(A147=Inputs!$C$12,"",K147)</f>
        <v>-0.0192818741065534</v>
      </c>
    </row>
    <row r="148" customFormat="false" ht="15" hidden="false" customHeight="false" outlineLevel="0" collapsed="false">
      <c r="A148" s="25" t="n">
        <f aca="false">Prices!A149</f>
        <v>43923</v>
      </c>
      <c r="B148" s="26" t="n">
        <f aca="false">Prices!B149/Prices!B148-1</f>
        <v>-0.000276952923930818</v>
      </c>
      <c r="C148" s="26" t="n">
        <f aca="false">Prices!C149/Prices!C148-1</f>
        <v>0.0620490043290043</v>
      </c>
      <c r="D148" s="26" t="n">
        <f aca="false">Prices!D149/Prices!D148-1</f>
        <v>0.06984126984127</v>
      </c>
      <c r="E148" s="26" t="n">
        <f aca="false">Prices!E149/Prices!E148-1</f>
        <v>0.102953497765675</v>
      </c>
      <c r="F148" s="26" t="n">
        <f aca="false">Prices!F149/Prices!F148-1</f>
        <v>0.0334261597367918</v>
      </c>
      <c r="G148" s="26" t="n">
        <f aca="false">Prices!G149/Prices!G148-1</f>
        <v>0.00485698840491167</v>
      </c>
      <c r="H148" s="26" t="n">
        <f aca="false">Prices!H149/Prices!H148-1</f>
        <v>0.0846153846153845</v>
      </c>
      <c r="I148" s="26" t="n">
        <f aca="false">Prices!I149/Prices!I148-1</f>
        <v>0.035235892067371</v>
      </c>
      <c r="J148" s="26" t="n">
        <f aca="false">Prices!J149/Prices!J148-1</f>
        <v>-0.0136038739590472</v>
      </c>
      <c r="K148" s="26" t="n">
        <f aca="false">SUMPRODUCT(B148:J148,Optimization!$C$7:$K$7)</f>
        <v>0.0421219299863812</v>
      </c>
      <c r="L148" s="26" t="n">
        <f aca="false">SUMPRODUCT(B148:J148,Optimization!$C$8:$K$8)</f>
        <v>0.0406101034350921</v>
      </c>
      <c r="M148" s="26" t="n">
        <f aca="false">SUMPRODUCT(B148:J148,Optimization!$C$9:$K$9)</f>
        <v>0.0317794160398123</v>
      </c>
      <c r="N148" s="26" t="n">
        <f aca="false">SUMPRODUCT(B148:J148,Optimization!$C$10:$K$10)</f>
        <v>0.042802345995668</v>
      </c>
      <c r="O148" s="27" t="n">
        <f aca="false">IF(AND(A148&gt;=Inputs!$C$6,A148&lt;=Inputs!$C$7),1,0)</f>
        <v>1</v>
      </c>
      <c r="P148" s="28" t="n">
        <f aca="false">P147*(1+K148)</f>
        <v>81.5060625120142</v>
      </c>
      <c r="Q148" s="28" t="n">
        <f aca="false">MAX(Q147,P148)</f>
        <v>130.050976087113</v>
      </c>
      <c r="R148" s="29" t="n">
        <f aca="false">P148/Q148-1</f>
        <v>-0.373276041715993</v>
      </c>
      <c r="S148" s="26" t="n">
        <f aca="false">IF(A148=Inputs!$C$12,"",F148)</f>
        <v>0.0334261597367918</v>
      </c>
      <c r="T148" s="27" t="n">
        <f aca="false">IF(AND(A148&gt;Risk_Metrics!$C$28,P148&gt;=Risk_Metrics!$C$30),1,0)</f>
        <v>0</v>
      </c>
      <c r="U148" s="26" t="n">
        <f aca="false">IF(A148=Inputs!$C$12,"",K148)</f>
        <v>0.0421219299863812</v>
      </c>
    </row>
    <row r="149" customFormat="false" ht="15" hidden="false" customHeight="false" outlineLevel="0" collapsed="false">
      <c r="A149" s="25" t="n">
        <f aca="false">Prices!A150</f>
        <v>43924</v>
      </c>
      <c r="B149" s="26" t="n">
        <f aca="false">Prices!B150/Prices!B149-1</f>
        <v>-0.0847880576336937</v>
      </c>
      <c r="C149" s="26" t="n">
        <f aca="false">Prices!C150/Prices!C149-1</f>
        <v>-0.0258151644464765</v>
      </c>
      <c r="D149" s="26" t="n">
        <f aca="false">Prices!D150/Prices!D149-1</f>
        <v>-0.0142432640949556</v>
      </c>
      <c r="E149" s="26" t="n">
        <f aca="false">Prices!E150/Prices!E149-1</f>
        <v>-0.108263202305402</v>
      </c>
      <c r="F149" s="26" t="n">
        <f aca="false">Prices!F150/Prices!F149-1</f>
        <v>-0.0598383007094605</v>
      </c>
      <c r="G149" s="26" t="n">
        <f aca="false">Prices!G150/Prices!G149-1</f>
        <v>-0.025778838572565</v>
      </c>
      <c r="H149" s="26" t="n">
        <f aca="false">Prices!H150/Prices!H149-1</f>
        <v>-0.0109606705351386</v>
      </c>
      <c r="I149" s="26" t="n">
        <f aca="false">Prices!I150/Prices!I149-1</f>
        <v>-0.0348805111430373</v>
      </c>
      <c r="J149" s="26" t="n">
        <f aca="false">Prices!J150/Prices!J149-1</f>
        <v>-0.0532959105492264</v>
      </c>
      <c r="K149" s="26" t="n">
        <f aca="false">SUMPRODUCT(B149:J149,Optimization!$C$7:$K$7)</f>
        <v>-0.0464293244433284</v>
      </c>
      <c r="L149" s="26" t="n">
        <f aca="false">SUMPRODUCT(B149:J149,Optimization!$C$8:$K$8)</f>
        <v>-0.0353153383539625</v>
      </c>
      <c r="M149" s="26" t="n">
        <f aca="false">SUMPRODUCT(B149:J149,Optimization!$C$9:$K$9)</f>
        <v>-0.040831354491641</v>
      </c>
      <c r="N149" s="26" t="n">
        <f aca="false">SUMPRODUCT(B149:J149,Optimization!$C$10:$K$10)</f>
        <v>-0.0348544602079957</v>
      </c>
      <c r="O149" s="27" t="n">
        <f aca="false">IF(AND(A149&gt;=Inputs!$C$6,A149&lt;=Inputs!$C$7),1,0)</f>
        <v>1</v>
      </c>
      <c r="P149" s="28" t="n">
        <f aca="false">P148*(1+K149)</f>
        <v>77.7217910915457</v>
      </c>
      <c r="Q149" s="28" t="n">
        <f aca="false">MAX(Q148,P149)</f>
        <v>130.050976087113</v>
      </c>
      <c r="R149" s="29" t="n">
        <f aca="false">P149/Q149-1</f>
        <v>-0.402374411711568</v>
      </c>
      <c r="S149" s="26" t="n">
        <f aca="false">IF(A149=Inputs!$C$12,"",F149)</f>
        <v>-0.0598383007094605</v>
      </c>
      <c r="T149" s="27" t="n">
        <f aca="false">IF(AND(A149&gt;Risk_Metrics!$C$28,P149&gt;=Risk_Metrics!$C$30),1,0)</f>
        <v>0</v>
      </c>
      <c r="U149" s="26" t="n">
        <f aca="false">IF(A149=Inputs!$C$12,"",K149)</f>
        <v>-0.0464293244433284</v>
      </c>
    </row>
    <row r="150" customFormat="false" ht="15" hidden="false" customHeight="false" outlineLevel="0" collapsed="false">
      <c r="A150" s="25" t="n">
        <f aca="false">Prices!A151</f>
        <v>43927</v>
      </c>
      <c r="B150" s="26" t="n">
        <f aca="false">Prices!B151/Prices!B150-1</f>
        <v>0.135331551175645</v>
      </c>
      <c r="C150" s="26" t="n">
        <f aca="false">Prices!C151/Prices!C150-1</f>
        <v>0.0379358158995817</v>
      </c>
      <c r="D150" s="26" t="n">
        <f aca="false">Prices!D151/Prices!D150-1</f>
        <v>-0.00722462328569407</v>
      </c>
      <c r="E150" s="26" t="n">
        <f aca="false">Prices!E151/Prices!E150-1</f>
        <v>0.201201252732786</v>
      </c>
      <c r="F150" s="26" t="n">
        <f aca="false">Prices!F151/Prices!F150-1</f>
        <v>0.11811929221891</v>
      </c>
      <c r="G150" s="26" t="n">
        <f aca="false">Prices!G151/Prices!G150-1</f>
        <v>0.0848953189027188</v>
      </c>
      <c r="H150" s="26" t="n">
        <f aca="false">Prices!H151/Prices!H150-1</f>
        <v>0.028031290743155</v>
      </c>
      <c r="I150" s="26" t="n">
        <f aca="false">Prices!I151/Prices!I150-1</f>
        <v>0.121538981113449</v>
      </c>
      <c r="J150" s="26" t="n">
        <f aca="false">Prices!J151/Prices!J150-1</f>
        <v>0.0649382962962963</v>
      </c>
      <c r="K150" s="26" t="n">
        <f aca="false">SUMPRODUCT(B150:J150,Optimization!$C$7:$K$7)</f>
        <v>0.0871963528663165</v>
      </c>
      <c r="L150" s="26" t="n">
        <f aca="false">SUMPRODUCT(B150:J150,Optimization!$C$8:$K$8)</f>
        <v>0.045693970539736</v>
      </c>
      <c r="M150" s="26" t="n">
        <f aca="false">SUMPRODUCT(B150:J150,Optimization!$C$9:$K$9)</f>
        <v>0.0601451636550534</v>
      </c>
      <c r="N150" s="26" t="n">
        <f aca="false">SUMPRODUCT(B150:J150,Optimization!$C$10:$K$10)</f>
        <v>0.0395133195008219</v>
      </c>
      <c r="O150" s="27" t="n">
        <f aca="false">IF(AND(A150&gt;=Inputs!$C$6,A150&lt;=Inputs!$C$7),1,0)</f>
        <v>1</v>
      </c>
      <c r="P150" s="28" t="n">
        <f aca="false">P149*(1+K150)</f>
        <v>84.4988478129662</v>
      </c>
      <c r="Q150" s="28" t="n">
        <f aca="false">MAX(Q149,P150)</f>
        <v>130.050976087113</v>
      </c>
      <c r="R150" s="29" t="n">
        <f aca="false">P150/Q150-1</f>
        <v>-0.35026364003323</v>
      </c>
      <c r="S150" s="26" t="n">
        <f aca="false">IF(A150=Inputs!$C$12,"",F150)</f>
        <v>0.11811929221891</v>
      </c>
      <c r="T150" s="27" t="n">
        <f aca="false">IF(AND(A150&gt;Risk_Metrics!$C$28,P150&gt;=Risk_Metrics!$C$30),1,0)</f>
        <v>0</v>
      </c>
      <c r="U150" s="26" t="n">
        <f aca="false">IF(A150=Inputs!$C$12,"",K150)</f>
        <v>0.0871963528663165</v>
      </c>
    </row>
    <row r="151" customFormat="false" ht="15" hidden="false" customHeight="false" outlineLevel="0" collapsed="false">
      <c r="A151" s="25" t="n">
        <f aca="false">Prices!A152</f>
        <v>43928</v>
      </c>
      <c r="B151" s="26" t="n">
        <f aca="false">Prices!B152/Prices!B151-1</f>
        <v>0.0370666400000002</v>
      </c>
      <c r="C151" s="26" t="n">
        <f aca="false">Prices!C152/Prices!C151-1</f>
        <v>0.0346681009048133</v>
      </c>
      <c r="D151" s="26" t="n">
        <f aca="false">Prices!D152/Prices!D151-1</f>
        <v>-0.0236506973923588</v>
      </c>
      <c r="E151" s="26" t="n">
        <f aca="false">Prices!E152/Prices!E151-1</f>
        <v>0.0435713928571428</v>
      </c>
      <c r="F151" s="26" t="n">
        <f aca="false">Prices!F152/Prices!F151-1</f>
        <v>0.0492306836741476</v>
      </c>
      <c r="G151" s="26" t="n">
        <f aca="false">Prices!G152/Prices!G151-1</f>
        <v>0.0223577743902439</v>
      </c>
      <c r="H151" s="26" t="n">
        <f aca="false">Prices!H152/Prices!H151-1</f>
        <v>0.0399492707672795</v>
      </c>
      <c r="I151" s="26" t="n">
        <f aca="false">Prices!I152/Prices!I151-1</f>
        <v>0.0322245044102569</v>
      </c>
      <c r="J151" s="26" t="n">
        <f aca="false">Prices!J152/Prices!J151-1</f>
        <v>0.0150706697178142</v>
      </c>
      <c r="K151" s="26" t="n">
        <f aca="false">SUMPRODUCT(B151:J151,Optimization!$C$7:$K$7)</f>
        <v>0.02783203770326</v>
      </c>
      <c r="L151" s="26" t="n">
        <f aca="false">SUMPRODUCT(B151:J151,Optimization!$C$8:$K$8)</f>
        <v>0.00539977185987348</v>
      </c>
      <c r="M151" s="26" t="n">
        <f aca="false">SUMPRODUCT(B151:J151,Optimization!$C$9:$K$9)</f>
        <v>0.0127970503302166</v>
      </c>
      <c r="N151" s="26" t="n">
        <f aca="false">SUMPRODUCT(B151:J151,Optimization!$C$10:$K$10)</f>
        <v>0.0028537862554741</v>
      </c>
      <c r="O151" s="27" t="n">
        <f aca="false">IF(AND(A151&gt;=Inputs!$C$6,A151&lt;=Inputs!$C$7),1,0)</f>
        <v>1</v>
      </c>
      <c r="P151" s="28" t="n">
        <f aca="false">P150*(1+K151)</f>
        <v>86.8506229311787</v>
      </c>
      <c r="Q151" s="28" t="n">
        <f aca="false">MAX(Q150,P151)</f>
        <v>130.050976087113</v>
      </c>
      <c r="R151" s="29" t="n">
        <f aca="false">P151/Q151-1</f>
        <v>-0.332180153165456</v>
      </c>
      <c r="S151" s="26" t="n">
        <f aca="false">IF(A151=Inputs!$C$12,"",F151)</f>
        <v>0.0492306836741476</v>
      </c>
      <c r="T151" s="27" t="n">
        <f aca="false">IF(AND(A151&gt;Risk_Metrics!$C$28,P151&gt;=Risk_Metrics!$C$30),1,0)</f>
        <v>0</v>
      </c>
      <c r="U151" s="26" t="n">
        <f aca="false">IF(A151=Inputs!$C$12,"",K151)</f>
        <v>0.02783203770326</v>
      </c>
    </row>
    <row r="152" customFormat="false" ht="15" hidden="false" customHeight="false" outlineLevel="0" collapsed="false">
      <c r="A152" s="25" t="n">
        <f aca="false">Prices!A153</f>
        <v>43929</v>
      </c>
      <c r="B152" s="26" t="n">
        <f aca="false">Prices!B153/Prices!B152-1</f>
        <v>0.0174852408713098</v>
      </c>
      <c r="C152" s="26" t="n">
        <f aca="false">Prices!C153/Prices!C152-1</f>
        <v>0.0210389615854276</v>
      </c>
      <c r="D152" s="26" t="n">
        <f aca="false">Prices!D153/Prices!D152-1</f>
        <v>0.00869565217391277</v>
      </c>
      <c r="E152" s="26" t="n">
        <f aca="false">Prices!E153/Prices!E152-1</f>
        <v>0.0917180387309389</v>
      </c>
      <c r="F152" s="26" t="n">
        <f aca="false">Prices!F153/Prices!F152-1</f>
        <v>0.0698925078822785</v>
      </c>
      <c r="G152" s="26" t="n">
        <f aca="false">Prices!G153/Prices!G152-1</f>
        <v>0.00248503963792057</v>
      </c>
      <c r="H152" s="26" t="n">
        <f aca="false">Prices!H153/Prices!H152-1</f>
        <v>0.0560975609756098</v>
      </c>
      <c r="I152" s="26" t="n">
        <f aca="false">Prices!I153/Prices!I152-1</f>
        <v>0.0259315290128208</v>
      </c>
      <c r="J152" s="26" t="n">
        <f aca="false">Prices!J153/Prices!J152-1</f>
        <v>-0.00616722261688474</v>
      </c>
      <c r="K152" s="26" t="n">
        <f aca="false">SUMPRODUCT(B152:J152,Optimization!$C$7:$K$7)</f>
        <v>0.031908589805926</v>
      </c>
      <c r="L152" s="26" t="n">
        <f aca="false">SUMPRODUCT(B152:J152,Optimization!$C$8:$K$8)</f>
        <v>0.010932085069309</v>
      </c>
      <c r="M152" s="26" t="n">
        <f aca="false">SUMPRODUCT(B152:J152,Optimization!$C$9:$K$9)</f>
        <v>0.011175580464255</v>
      </c>
      <c r="N152" s="26" t="n">
        <f aca="false">SUMPRODUCT(B152:J152,Optimization!$C$10:$K$10)</f>
        <v>0.0103826819224316</v>
      </c>
      <c r="O152" s="27" t="n">
        <f aca="false">IF(AND(A152&gt;=Inputs!$C$6,A152&lt;=Inputs!$C$7),1,0)</f>
        <v>1</v>
      </c>
      <c r="P152" s="28" t="n">
        <f aca="false">P151*(1+K152)</f>
        <v>89.6219038326788</v>
      </c>
      <c r="Q152" s="28" t="n">
        <f aca="false">MAX(Q151,P152)</f>
        <v>130.050976087113</v>
      </c>
      <c r="R152" s="29" t="n">
        <f aca="false">P152/Q152-1</f>
        <v>-0.310870963608556</v>
      </c>
      <c r="S152" s="26" t="n">
        <f aca="false">IF(A152=Inputs!$C$12,"",F152)</f>
        <v>0.0698925078822785</v>
      </c>
      <c r="T152" s="27" t="n">
        <f aca="false">IF(AND(A152&gt;Risk_Metrics!$C$28,P152&gt;=Risk_Metrics!$C$30),1,0)</f>
        <v>0</v>
      </c>
      <c r="U152" s="26" t="n">
        <f aca="false">IF(A152=Inputs!$C$12,"",K152)</f>
        <v>0.031908589805926</v>
      </c>
    </row>
    <row r="153" customFormat="false" ht="15" hidden="false" customHeight="false" outlineLevel="0" collapsed="false">
      <c r="A153" s="25" t="n">
        <f aca="false">Prices!A154</f>
        <v>43930</v>
      </c>
      <c r="B153" s="26" t="n">
        <f aca="false">Prices!B154/Prices!B153-1</f>
        <v>-0.0497852413444529</v>
      </c>
      <c r="C153" s="26" t="n">
        <f aca="false">Prices!C154/Prices!C153-1</f>
        <v>-0.00763164608577072</v>
      </c>
      <c r="D153" s="26" t="n">
        <f aca="false">Prices!D154/Prices!D153-1</f>
        <v>-0.0147783251231526</v>
      </c>
      <c r="E153" s="26" t="n">
        <f aca="false">Prices!E154/Prices!E153-1</f>
        <v>-0.054858934169279</v>
      </c>
      <c r="F153" s="26" t="n">
        <f aca="false">Prices!F154/Prices!F153-1</f>
        <v>-0.0269528643084291</v>
      </c>
      <c r="G153" s="26" t="n">
        <f aca="false">Prices!G154/Prices!G153-1</f>
        <v>-0.0302429846306396</v>
      </c>
      <c r="H153" s="26" t="n">
        <f aca="false">Prices!H154/Prices!H153-1</f>
        <v>-0.0288683602771362</v>
      </c>
      <c r="I153" s="26" t="n">
        <f aca="false">Prices!I154/Prices!I153-1</f>
        <v>-0.0355828422877501</v>
      </c>
      <c r="J153" s="26" t="n">
        <f aca="false">Prices!J154/Prices!J153-1</f>
        <v>-0.00528611837674653</v>
      </c>
      <c r="K153" s="26" t="n">
        <f aca="false">SUMPRODUCT(B153:J153,Optimization!$C$7:$K$7)</f>
        <v>-0.0282208129559285</v>
      </c>
      <c r="L153" s="26" t="n">
        <f aca="false">SUMPRODUCT(B153:J153,Optimization!$C$8:$K$8)</f>
        <v>-0.019831198498777</v>
      </c>
      <c r="M153" s="26" t="n">
        <f aca="false">SUMPRODUCT(B153:J153,Optimization!$C$9:$K$9)</f>
        <v>-0.020871261085199</v>
      </c>
      <c r="N153" s="26" t="n">
        <f aca="false">SUMPRODUCT(B153:J153,Optimization!$C$10:$K$10)</f>
        <v>-0.0193564266307241</v>
      </c>
      <c r="O153" s="27" t="n">
        <f aca="false">IF(AND(A153&gt;=Inputs!$C$6,A153&lt;=Inputs!$C$7),1,0)</f>
        <v>1</v>
      </c>
      <c r="P153" s="28" t="n">
        <f aca="false">P152*(1+K153)</f>
        <v>87.0927008478626</v>
      </c>
      <c r="Q153" s="28" t="n">
        <f aca="false">MAX(Q152,P153)</f>
        <v>130.050976087113</v>
      </c>
      <c r="R153" s="29" t="n">
        <f aca="false">P153/Q153-1</f>
        <v>-0.330318745247058</v>
      </c>
      <c r="S153" s="26" t="n">
        <f aca="false">IF(A153=Inputs!$C$12,"",F153)</f>
        <v>-0.0269528643084291</v>
      </c>
      <c r="T153" s="27" t="n">
        <f aca="false">IF(AND(A153&gt;Risk_Metrics!$C$28,P153&gt;=Risk_Metrics!$C$30),1,0)</f>
        <v>0</v>
      </c>
      <c r="U153" s="26" t="n">
        <f aca="false">IF(A153=Inputs!$C$12,"",K153)</f>
        <v>-0.0282208129559285</v>
      </c>
    </row>
    <row r="154" customFormat="false" ht="15" hidden="false" customHeight="false" outlineLevel="0" collapsed="false">
      <c r="A154" s="25" t="n">
        <f aca="false">Prices!A155</f>
        <v>43934</v>
      </c>
      <c r="B154" s="26" t="n">
        <f aca="false">Prices!B155/Prices!B154-1</f>
        <v>-0.0279255068045482</v>
      </c>
      <c r="C154" s="26" t="n">
        <f aca="false">Prices!C155/Prices!C154-1</f>
        <v>0.00845936960931493</v>
      </c>
      <c r="D154" s="26" t="n">
        <f aca="false">Prices!D155/Prices!D154-1</f>
        <v>0.0125000625</v>
      </c>
      <c r="E154" s="26" t="n">
        <f aca="false">Prices!E155/Prices!E154-1</f>
        <v>-0.0132669983416251</v>
      </c>
      <c r="F154" s="26" t="n">
        <f aca="false">Prices!F155/Prices!F154-1</f>
        <v>-0.028638496371305</v>
      </c>
      <c r="G154" s="26" t="n">
        <f aca="false">Prices!G155/Prices!G154-1</f>
        <v>0.00715756682809632</v>
      </c>
      <c r="H154" s="26" t="n">
        <f aca="false">Prices!H155/Prices!H154-1</f>
        <v>0.00653983353151011</v>
      </c>
      <c r="I154" s="26" t="n">
        <f aca="false">Prices!I155/Prices!I154-1</f>
        <v>0.0368956960203386</v>
      </c>
      <c r="J154" s="26" t="n">
        <f aca="false">Prices!J155/Prices!J154-1</f>
        <v>0.029805938766311</v>
      </c>
      <c r="K154" s="26" t="n">
        <f aca="false">SUMPRODUCT(B154:J154,Optimization!$C$7:$K$7)</f>
        <v>0.00350305174867696</v>
      </c>
      <c r="L154" s="26" t="n">
        <f aca="false">SUMPRODUCT(B154:J154,Optimization!$C$8:$K$8)</f>
        <v>0.0109049548952471</v>
      </c>
      <c r="M154" s="26" t="n">
        <f aca="false">SUMPRODUCT(B154:J154,Optimization!$C$9:$K$9)</f>
        <v>0.0117124637695734</v>
      </c>
      <c r="N154" s="26" t="n">
        <f aca="false">SUMPRODUCT(B154:J154,Optimization!$C$10:$K$10)</f>
        <v>0.0081649974024319</v>
      </c>
      <c r="O154" s="27" t="n">
        <f aca="false">IF(AND(A154&gt;=Inputs!$C$6,A154&lt;=Inputs!$C$7),1,0)</f>
        <v>1</v>
      </c>
      <c r="P154" s="28" t="n">
        <f aca="false">P153*(1+K154)</f>
        <v>87.3977910858647</v>
      </c>
      <c r="Q154" s="28" t="n">
        <f aca="false">MAX(Q153,P154)</f>
        <v>130.050976087113</v>
      </c>
      <c r="R154" s="29" t="n">
        <f aca="false">P154/Q154-1</f>
        <v>-0.32797281715654</v>
      </c>
      <c r="S154" s="26" t="n">
        <f aca="false">IF(A154=Inputs!$C$12,"",F154)</f>
        <v>-0.028638496371305</v>
      </c>
      <c r="T154" s="27" t="n">
        <f aca="false">IF(AND(A154&gt;Risk_Metrics!$C$28,P154&gt;=Risk_Metrics!$C$30),1,0)</f>
        <v>0</v>
      </c>
      <c r="U154" s="26" t="n">
        <f aca="false">IF(A154=Inputs!$C$12,"",K154)</f>
        <v>0.00350305174867696</v>
      </c>
    </row>
    <row r="155" customFormat="false" ht="15" hidden="false" customHeight="false" outlineLevel="0" collapsed="false">
      <c r="A155" s="25" t="n">
        <f aca="false">Prices!A156</f>
        <v>43935</v>
      </c>
      <c r="B155" s="26" t="n">
        <f aca="false">Prices!B156/Prices!B155-1</f>
        <v>0.0232558966691081</v>
      </c>
      <c r="C155" s="26" t="n">
        <f aca="false">Prices!C156/Prices!C155-1</f>
        <v>0.00559224721891827</v>
      </c>
      <c r="D155" s="26" t="n">
        <f aca="false">Prices!D156/Prices!D155-1</f>
        <v>0.0179011717344955</v>
      </c>
      <c r="E155" s="26" t="n">
        <f aca="false">Prices!E156/Prices!E155-1</f>
        <v>0.0248739495798318</v>
      </c>
      <c r="F155" s="26" t="n">
        <f aca="false">Prices!F156/Prices!F155-1</f>
        <v>0.0159497104071062</v>
      </c>
      <c r="G155" s="26" t="n">
        <f aca="false">Prices!G156/Prices!G155-1</f>
        <v>-0.00507619263572623</v>
      </c>
      <c r="H155" s="26" t="n">
        <f aca="false">Prices!H156/Prices!H155-1</f>
        <v>-0.0118133490844654</v>
      </c>
      <c r="I155" s="26" t="n">
        <f aca="false">Prices!I156/Prices!I155-1</f>
        <v>0.0866257063436591</v>
      </c>
      <c r="J155" s="26" t="n">
        <f aca="false">Prices!J156/Prices!J155-1</f>
        <v>-0.000897487098945549</v>
      </c>
      <c r="K155" s="26" t="n">
        <f aca="false">SUMPRODUCT(B155:J155,Optimization!$C$7:$K$7)</f>
        <v>0.0173790725704424</v>
      </c>
      <c r="L155" s="26" t="n">
        <f aca="false">SUMPRODUCT(B155:J155,Optimization!$C$8:$K$8)</f>
        <v>0.0208340605820194</v>
      </c>
      <c r="M155" s="26" t="n">
        <f aca="false">SUMPRODUCT(B155:J155,Optimization!$C$9:$K$9)</f>
        <v>0.0221785560856604</v>
      </c>
      <c r="N155" s="26" t="n">
        <f aca="false">SUMPRODUCT(B155:J155,Optimization!$C$10:$K$10)</f>
        <v>0.0168221837046426</v>
      </c>
      <c r="O155" s="27" t="n">
        <f aca="false">IF(AND(A155&gt;=Inputs!$C$6,A155&lt;=Inputs!$C$7),1,0)</f>
        <v>1</v>
      </c>
      <c r="P155" s="28" t="n">
        <f aca="false">P154*(1+K155)</f>
        <v>88.9166836396423</v>
      </c>
      <c r="Q155" s="28" t="n">
        <f aca="false">MAX(Q154,P155)</f>
        <v>130.050976087113</v>
      </c>
      <c r="R155" s="29" t="n">
        <f aca="false">P155/Q155-1</f>
        <v>-0.316293607976593</v>
      </c>
      <c r="S155" s="26" t="n">
        <f aca="false">IF(A155=Inputs!$C$12,"",F155)</f>
        <v>0.0159497104071062</v>
      </c>
      <c r="T155" s="27" t="n">
        <f aca="false">IF(AND(A155&gt;Risk_Metrics!$C$28,P155&gt;=Risk_Metrics!$C$30),1,0)</f>
        <v>0</v>
      </c>
      <c r="U155" s="26" t="n">
        <f aca="false">IF(A155=Inputs!$C$12,"",K155)</f>
        <v>0.0173790725704424</v>
      </c>
    </row>
    <row r="156" customFormat="false" ht="15" hidden="false" customHeight="false" outlineLevel="0" collapsed="false">
      <c r="A156" s="25" t="n">
        <f aca="false">Prices!A157</f>
        <v>43936</v>
      </c>
      <c r="B156" s="26" t="n">
        <f aca="false">Prices!B157/Prices!B156-1</f>
        <v>0.0262031804169423</v>
      </c>
      <c r="C156" s="26" t="n">
        <f aca="false">Prices!C157/Prices!C156-1</f>
        <v>0.00910010157230023</v>
      </c>
      <c r="D156" s="26" t="n">
        <f aca="false">Prices!D157/Prices!D156-1</f>
        <v>-0.0224377804730139</v>
      </c>
      <c r="E156" s="26" t="n">
        <f aca="false">Prices!E157/Prices!E156-1</f>
        <v>-0.0121350934732699</v>
      </c>
      <c r="F156" s="26" t="n">
        <f aca="false">Prices!F157/Prices!F156-1</f>
        <v>0.0242625064398596</v>
      </c>
      <c r="G156" s="26" t="n">
        <f aca="false">Prices!G157/Prices!G156-1</f>
        <v>-0.0285713775510205</v>
      </c>
      <c r="H156" s="26" t="n">
        <f aca="false">Prices!H157/Prices!H156-1</f>
        <v>-0.0209205618649133</v>
      </c>
      <c r="I156" s="26" t="n">
        <f aca="false">Prices!I157/Prices!I156-1</f>
        <v>-0.0128725837462732</v>
      </c>
      <c r="J156" s="26" t="n">
        <f aca="false">Prices!J157/Prices!J156-1</f>
        <v>-0.0300920734357079</v>
      </c>
      <c r="K156" s="26" t="n">
        <f aca="false">SUMPRODUCT(B156:J156,Optimization!$C$7:$K$7)</f>
        <v>-0.00749596467945517</v>
      </c>
      <c r="L156" s="26" t="n">
        <f aca="false">SUMPRODUCT(B156:J156,Optimization!$C$8:$K$8)</f>
        <v>-0.0110166702291614</v>
      </c>
      <c r="M156" s="26" t="n">
        <f aca="false">SUMPRODUCT(B156:J156,Optimization!$C$9:$K$9)</f>
        <v>-0.0092088274472062</v>
      </c>
      <c r="N156" s="26" t="n">
        <f aca="false">SUMPRODUCT(B156:J156,Optimization!$C$10:$K$10)</f>
        <v>-0.0102314225684992</v>
      </c>
      <c r="O156" s="27" t="n">
        <f aca="false">IF(AND(A156&gt;=Inputs!$C$6,A156&lt;=Inputs!$C$7),1,0)</f>
        <v>1</v>
      </c>
      <c r="P156" s="28" t="n">
        <f aca="false">P155*(1+K156)</f>
        <v>88.2501673196653</v>
      </c>
      <c r="Q156" s="28" t="n">
        <f aca="false">MAX(Q155,P156)</f>
        <v>130.050976087113</v>
      </c>
      <c r="R156" s="29" t="n">
        <f aca="false">P156/Q156-1</f>
        <v>-0.321418646942319</v>
      </c>
      <c r="S156" s="26" t="n">
        <f aca="false">IF(A156=Inputs!$C$12,"",F156)</f>
        <v>0.0242625064398596</v>
      </c>
      <c r="T156" s="27" t="n">
        <f aca="false">IF(AND(A156&gt;Risk_Metrics!$C$28,P156&gt;=Risk_Metrics!$C$30),1,0)</f>
        <v>0</v>
      </c>
      <c r="U156" s="26" t="n">
        <f aca="false">IF(A156=Inputs!$C$12,"",K156)</f>
        <v>-0.00749596467945517</v>
      </c>
    </row>
    <row r="157" customFormat="false" ht="15" hidden="false" customHeight="false" outlineLevel="0" collapsed="false">
      <c r="A157" s="25" t="n">
        <f aca="false">Prices!A158</f>
        <v>43937</v>
      </c>
      <c r="B157" s="26" t="n">
        <f aca="false">Prices!B158/Prices!B157-1</f>
        <v>0.0448149284831962</v>
      </c>
      <c r="C157" s="26" t="n">
        <f aca="false">Prices!C158/Prices!C157-1</f>
        <v>-0.0152805368377023</v>
      </c>
      <c r="D157" s="26" t="n">
        <f aca="false">Prices!D158/Prices!D157-1</f>
        <v>-0.0111663144437769</v>
      </c>
      <c r="E157" s="26" t="n">
        <f aca="false">Prices!E158/Prices!E157-1</f>
        <v>-0.0185923632605456</v>
      </c>
      <c r="F157" s="26" t="n">
        <f aca="false">Prices!F158/Prices!F157-1</f>
        <v>0.0390153502391564</v>
      </c>
      <c r="G157" s="26" t="n">
        <f aca="false">Prices!G158/Prices!G157-1</f>
        <v>-0.0126051463967886</v>
      </c>
      <c r="H157" s="26" t="n">
        <f aca="false">Prices!H158/Prices!H157-1</f>
        <v>-0.0402929817028683</v>
      </c>
      <c r="I157" s="26" t="n">
        <f aca="false">Prices!I158/Prices!I157-1</f>
        <v>-0.0311141905795308</v>
      </c>
      <c r="J157" s="26" t="n">
        <f aca="false">Prices!J158/Prices!J157-1</f>
        <v>-0.0099560317192875</v>
      </c>
      <c r="K157" s="26" t="n">
        <f aca="false">SUMPRODUCT(B157:J157,Optimization!$C$7:$K$7)</f>
        <v>-0.00613080957979415</v>
      </c>
      <c r="L157" s="26" t="n">
        <f aca="false">SUMPRODUCT(B157:J157,Optimization!$C$8:$K$8)</f>
        <v>-0.00469235020606799</v>
      </c>
      <c r="M157" s="26" t="n">
        <f aca="false">SUMPRODUCT(B157:J157,Optimization!$C$9:$K$9)</f>
        <v>-0.00382776917178033</v>
      </c>
      <c r="N157" s="26" t="n">
        <f aca="false">SUMPRODUCT(B157:J157,Optimization!$C$10:$K$10)</f>
        <v>-0.0023085150966125</v>
      </c>
      <c r="O157" s="27" t="n">
        <f aca="false">IF(AND(A157&gt;=Inputs!$C$6,A157&lt;=Inputs!$C$7),1,0)</f>
        <v>1</v>
      </c>
      <c r="P157" s="28" t="n">
        <f aca="false">P156*(1+K157)</f>
        <v>87.7091223484434</v>
      </c>
      <c r="Q157" s="28" t="n">
        <f aca="false">MAX(Q156,P157)</f>
        <v>130.050976087113</v>
      </c>
      <c r="R157" s="29" t="n">
        <f aca="false">P157/Q157-1</f>
        <v>-0.325578900002314</v>
      </c>
      <c r="S157" s="26" t="n">
        <f aca="false">IF(A157=Inputs!$C$12,"",F157)</f>
        <v>0.0390153502391564</v>
      </c>
      <c r="T157" s="27" t="n">
        <f aca="false">IF(AND(A157&gt;Risk_Metrics!$C$28,P157&gt;=Risk_Metrics!$C$30),1,0)</f>
        <v>0</v>
      </c>
      <c r="U157" s="26" t="n">
        <f aca="false">IF(A157=Inputs!$C$12,"",K157)</f>
        <v>-0.00613080957979415</v>
      </c>
    </row>
    <row r="158" customFormat="false" ht="15" hidden="false" customHeight="false" outlineLevel="0" collapsed="false">
      <c r="A158" s="25" t="n">
        <f aca="false">Prices!A159</f>
        <v>43938</v>
      </c>
      <c r="B158" s="26" t="n">
        <f aca="false">Prices!B159/Prices!B158-1</f>
        <v>0.0548628705667267</v>
      </c>
      <c r="C158" s="26" t="n">
        <f aca="false">Prices!C159/Prices!C158-1</f>
        <v>0.00559651502407843</v>
      </c>
      <c r="D158" s="26" t="n">
        <f aca="false">Prices!D159/Prices!D158-1</f>
        <v>-0.00564617314930993</v>
      </c>
      <c r="E158" s="26" t="n">
        <f aca="false">Prices!E159/Prices!E158-1</f>
        <v>0.0835588661555773</v>
      </c>
      <c r="F158" s="26" t="n">
        <f aca="false">Prices!F159/Prices!F158-1</f>
        <v>-0.0277156657019656</v>
      </c>
      <c r="G158" s="26" t="n">
        <f aca="false">Prices!G159/Prices!G158-1</f>
        <v>0.114361814593714</v>
      </c>
      <c r="H158" s="26" t="n">
        <f aca="false">Prices!H159/Prices!H158-1</f>
        <v>0.0260813613231552</v>
      </c>
      <c r="I158" s="26" t="n">
        <f aca="false">Prices!I159/Prices!I158-1</f>
        <v>0.0278631228014732</v>
      </c>
      <c r="J158" s="26" t="n">
        <f aca="false">Prices!J159/Prices!J158-1</f>
        <v>0.0289991126753559</v>
      </c>
      <c r="K158" s="26" t="n">
        <f aca="false">SUMPRODUCT(B158:J158,Optimization!$C$7:$K$7)</f>
        <v>0.0342179804765339</v>
      </c>
      <c r="L158" s="26" t="n">
        <f aca="false">SUMPRODUCT(B158:J158,Optimization!$C$8:$K$8)</f>
        <v>0.0143540163459796</v>
      </c>
      <c r="M158" s="26" t="n">
        <f aca="false">SUMPRODUCT(B158:J158,Optimization!$C$9:$K$9)</f>
        <v>0.0196857573674341</v>
      </c>
      <c r="N158" s="26" t="n">
        <f aca="false">SUMPRODUCT(B158:J158,Optimization!$C$10:$K$10)</f>
        <v>0.0129424422828987</v>
      </c>
      <c r="O158" s="27" t="n">
        <f aca="false">IF(AND(A158&gt;=Inputs!$C$6,A158&lt;=Inputs!$C$7),1,0)</f>
        <v>1</v>
      </c>
      <c r="P158" s="28" t="n">
        <f aca="false">P157*(1+K158)</f>
        <v>90.7103513845764</v>
      </c>
      <c r="Q158" s="28" t="n">
        <f aca="false">MAX(Q157,P158)</f>
        <v>130.050976087113</v>
      </c>
      <c r="R158" s="29" t="n">
        <f aca="false">P158/Q158-1</f>
        <v>-0.302501571969631</v>
      </c>
      <c r="S158" s="26" t="n">
        <f aca="false">IF(A158=Inputs!$C$12,"",F158)</f>
        <v>-0.0277156657019656</v>
      </c>
      <c r="T158" s="27" t="n">
        <f aca="false">IF(AND(A158&gt;Risk_Metrics!$C$28,P158&gt;=Risk_Metrics!$C$30),1,0)</f>
        <v>0</v>
      </c>
      <c r="U158" s="26" t="n">
        <f aca="false">IF(A158=Inputs!$C$12,"",K158)</f>
        <v>0.0342179804765339</v>
      </c>
    </row>
    <row r="159" customFormat="false" ht="15" hidden="false" customHeight="false" outlineLevel="0" collapsed="false">
      <c r="A159" s="25" t="n">
        <f aca="false">Prices!A160</f>
        <v>43941</v>
      </c>
      <c r="B159" s="26" t="n">
        <f aca="false">Prices!B160/Prices!B159-1</f>
        <v>0.0621749660088644</v>
      </c>
      <c r="C159" s="26" t="n">
        <f aca="false">Prices!C160/Prices!C159-1</f>
        <v>0.0268151291077727</v>
      </c>
      <c r="D159" s="26" t="n">
        <f aca="false">Prices!D160/Prices!D159-1</f>
        <v>0.00630914826498419</v>
      </c>
      <c r="E159" s="26" t="n">
        <f aca="false">Prices!E160/Prices!E159-1</f>
        <v>0.0615048723541953</v>
      </c>
      <c r="F159" s="26" t="n">
        <f aca="false">Prices!F160/Prices!F159-1</f>
        <v>0.0496551398080241</v>
      </c>
      <c r="G159" s="26" t="n">
        <f aca="false">Prices!G160/Prices!G159-1</f>
        <v>0.0310262037696323</v>
      </c>
      <c r="H159" s="26" t="n">
        <f aca="false">Prices!H160/Prices!H159-1</f>
        <v>-0.0111592691357267</v>
      </c>
      <c r="I159" s="26" t="n">
        <f aca="false">Prices!I160/Prices!I159-1</f>
        <v>0.0521479007160877</v>
      </c>
      <c r="J159" s="26" t="n">
        <f aca="false">Prices!J160/Prices!J159-1</f>
        <v>-0.0350000227272727</v>
      </c>
      <c r="K159" s="26" t="n">
        <f aca="false">SUMPRODUCT(B159:J159,Optimization!$C$7:$K$7)</f>
        <v>0.027052674240729</v>
      </c>
      <c r="L159" s="26" t="n">
        <f aca="false">SUMPRODUCT(B159:J159,Optimization!$C$8:$K$8)</f>
        <v>0.0154561144162693</v>
      </c>
      <c r="M159" s="26" t="n">
        <f aca="false">SUMPRODUCT(B159:J159,Optimization!$C$9:$K$9)</f>
        <v>0.0164793683235815</v>
      </c>
      <c r="N159" s="26" t="n">
        <f aca="false">SUMPRODUCT(B159:J159,Optimization!$C$10:$K$10)</f>
        <v>0.0146117165929366</v>
      </c>
      <c r="O159" s="27" t="n">
        <f aca="false">IF(AND(A159&gt;=Inputs!$C$6,A159&lt;=Inputs!$C$7),1,0)</f>
        <v>1</v>
      </c>
      <c r="P159" s="28" t="n">
        <f aca="false">P158*(1+K159)</f>
        <v>93.1643089708454</v>
      </c>
      <c r="Q159" s="28" t="n">
        <f aca="false">MAX(Q158,P159)</f>
        <v>130.050976087113</v>
      </c>
      <c r="R159" s="29" t="n">
        <f aca="false">P159/Q159-1</f>
        <v>-0.283632374212705</v>
      </c>
      <c r="S159" s="26" t="n">
        <f aca="false">IF(A159=Inputs!$C$12,"",F159)</f>
        <v>0.0496551398080241</v>
      </c>
      <c r="T159" s="27" t="n">
        <f aca="false">IF(AND(A159&gt;Risk_Metrics!$C$28,P159&gt;=Risk_Metrics!$C$30),1,0)</f>
        <v>0</v>
      </c>
      <c r="U159" s="26" t="n">
        <f aca="false">IF(A159=Inputs!$C$12,"",K159)</f>
        <v>0.027052674240729</v>
      </c>
    </row>
    <row r="160" customFormat="false" ht="15" hidden="false" customHeight="false" outlineLevel="0" collapsed="false">
      <c r="A160" s="25" t="n">
        <f aca="false">Prices!A161</f>
        <v>43943</v>
      </c>
      <c r="B160" s="26" t="n">
        <f aca="false">Prices!B161/Prices!B160-1</f>
        <v>0.0636545960382817</v>
      </c>
      <c r="C160" s="26" t="n">
        <f aca="false">Prices!C161/Prices!C160-1</f>
        <v>0.0349839615668883</v>
      </c>
      <c r="D160" s="26" t="n">
        <f aca="false">Prices!D161/Prices!D160-1</f>
        <v>0.0363636990595611</v>
      </c>
      <c r="E160" s="26" t="n">
        <f aca="false">Prices!E161/Prices!E160-1</f>
        <v>0.0735294117647058</v>
      </c>
      <c r="F160" s="26" t="n">
        <f aca="false">Prices!F161/Prices!F160-1</f>
        <v>0.102496760479914</v>
      </c>
      <c r="G160" s="26" t="n">
        <f aca="false">Prices!G161/Prices!G160-1</f>
        <v>0.0740741203703703</v>
      </c>
      <c r="H160" s="26" t="n">
        <f aca="false">Prices!H161/Prices!H160-1</f>
        <v>0.0501567398119123</v>
      </c>
      <c r="I160" s="26" t="n">
        <f aca="false">Prices!I161/Prices!I160-1</f>
        <v>0.0393013570167307</v>
      </c>
      <c r="J160" s="26" t="n">
        <f aca="false">Prices!J161/Prices!J160-1</f>
        <v>0.0103627651993115</v>
      </c>
      <c r="K160" s="26" t="n">
        <f aca="false">SUMPRODUCT(B160:J160,Optimization!$C$7:$K$7)</f>
        <v>0.0538803790341862</v>
      </c>
      <c r="L160" s="26" t="n">
        <f aca="false">SUMPRODUCT(B160:J160,Optimization!$C$8:$K$8)</f>
        <v>0.0364604445428897</v>
      </c>
      <c r="M160" s="26" t="n">
        <f aca="false">SUMPRODUCT(B160:J160,Optimization!$C$9:$K$9)</f>
        <v>0.0357232782540871</v>
      </c>
      <c r="N160" s="26" t="n">
        <f aca="false">SUMPRODUCT(B160:J160,Optimization!$C$10:$K$10)</f>
        <v>0.0373043427919758</v>
      </c>
      <c r="O160" s="27" t="n">
        <f aca="false">IF(AND(A160&gt;=Inputs!$C$6,A160&lt;=Inputs!$C$7),1,0)</f>
        <v>1</v>
      </c>
      <c r="P160" s="28" t="n">
        <f aca="false">P159*(1+K160)</f>
        <v>98.1840372506526</v>
      </c>
      <c r="Q160" s="28" t="n">
        <f aca="false">MAX(Q159,P160)</f>
        <v>130.050976087113</v>
      </c>
      <c r="R160" s="29" t="n">
        <f aca="false">P160/Q160-1</f>
        <v>-0.245034215007465</v>
      </c>
      <c r="S160" s="26" t="n">
        <f aca="false">IF(A160=Inputs!$C$12,"",F160)</f>
        <v>0.102496760479914</v>
      </c>
      <c r="T160" s="27" t="n">
        <f aca="false">IF(AND(A160&gt;Risk_Metrics!$C$28,P160&gt;=Risk_Metrics!$C$30),1,0)</f>
        <v>0</v>
      </c>
      <c r="U160" s="26" t="n">
        <f aca="false">IF(A160=Inputs!$C$12,"",K160)</f>
        <v>0.0538803790341862</v>
      </c>
    </row>
    <row r="161" customFormat="false" ht="15" hidden="false" customHeight="false" outlineLevel="0" collapsed="false">
      <c r="A161" s="25" t="n">
        <f aca="false">Prices!A162</f>
        <v>43944</v>
      </c>
      <c r="B161" s="26" t="n">
        <f aca="false">Prices!B162/Prices!B161-1</f>
        <v>-0.0694705990903828</v>
      </c>
      <c r="C161" s="26" t="n">
        <f aca="false">Prices!C162/Prices!C161-1</f>
        <v>-0.0180909073575555</v>
      </c>
      <c r="D161" s="26" t="n">
        <f aca="false">Prices!D162/Prices!D161-1</f>
        <v>0.0260131865690754</v>
      </c>
      <c r="E161" s="26" t="n">
        <f aca="false">Prices!E162/Prices!E161-1</f>
        <v>-0.0416438356164385</v>
      </c>
      <c r="F161" s="26" t="n">
        <f aca="false">Prices!F162/Prices!F161-1</f>
        <v>-0.0282081489411671</v>
      </c>
      <c r="G161" s="26" t="n">
        <f aca="false">Prices!G162/Prices!G161-1</f>
        <v>-0.00948280131539647</v>
      </c>
      <c r="H161" s="26" t="n">
        <f aca="false">Prices!H162/Prices!H161-1</f>
        <v>0.0119403582089552</v>
      </c>
      <c r="I161" s="26" t="n">
        <f aca="false">Prices!I162/Prices!I161-1</f>
        <v>-0.0508403567720125</v>
      </c>
      <c r="J161" s="26" t="n">
        <f aca="false">Prices!J162/Prices!J161-1</f>
        <v>0.0142190203161296</v>
      </c>
      <c r="K161" s="26" t="n">
        <f aca="false">SUMPRODUCT(B161:J161,Optimization!$C$7:$K$7)</f>
        <v>-0.0183960093331992</v>
      </c>
      <c r="L161" s="26" t="n">
        <f aca="false">SUMPRODUCT(B161:J161,Optimization!$C$8:$K$8)</f>
        <v>-0.00426813088219065</v>
      </c>
      <c r="M161" s="26" t="n">
        <f aca="false">SUMPRODUCT(B161:J161,Optimization!$C$9:$K$9)</f>
        <v>-0.0114093531834416</v>
      </c>
      <c r="N161" s="26" t="n">
        <f aca="false">SUMPRODUCT(B161:J161,Optimization!$C$10:$K$10)</f>
        <v>-0.00149387524855644</v>
      </c>
      <c r="O161" s="27" t="n">
        <f aca="false">IF(AND(A161&gt;=Inputs!$C$6,A161&lt;=Inputs!$C$7),1,0)</f>
        <v>1</v>
      </c>
      <c r="P161" s="28" t="n">
        <f aca="false">P160*(1+K161)</f>
        <v>96.3778427850184</v>
      </c>
      <c r="Q161" s="28" t="n">
        <f aca="false">MAX(Q160,P161)</f>
        <v>130.050976087113</v>
      </c>
      <c r="R161" s="29" t="n">
        <f aca="false">P161/Q161-1</f>
        <v>-0.258922572634434</v>
      </c>
      <c r="S161" s="26" t="n">
        <f aca="false">IF(A161=Inputs!$C$12,"",F161)</f>
        <v>-0.0282081489411671</v>
      </c>
      <c r="T161" s="27" t="n">
        <f aca="false">IF(AND(A161&gt;Risk_Metrics!$C$28,P161&gt;=Risk_Metrics!$C$30),1,0)</f>
        <v>0</v>
      </c>
      <c r="U161" s="26" t="n">
        <f aca="false">IF(A161=Inputs!$C$12,"",K161)</f>
        <v>-0.0183960093331992</v>
      </c>
    </row>
    <row r="162" customFormat="false" ht="15" hidden="false" customHeight="false" outlineLevel="0" collapsed="false">
      <c r="A162" s="25" t="n">
        <f aca="false">Prices!A163</f>
        <v>43945</v>
      </c>
      <c r="B162" s="26" t="n">
        <f aca="false">Prices!B163/Prices!B162-1</f>
        <v>-0.0332808402680271</v>
      </c>
      <c r="C162" s="26" t="n">
        <f aca="false">Prices!C163/Prices!C162-1</f>
        <v>-0.103030327272727</v>
      </c>
      <c r="D162" s="26" t="n">
        <f aca="false">Prices!D163/Prices!D162-1</f>
        <v>0.00235854966736726</v>
      </c>
      <c r="E162" s="26" t="n">
        <f aca="false">Prices!E163/Prices!E162-1</f>
        <v>-0.0571755288736421</v>
      </c>
      <c r="F162" s="26" t="n">
        <f aca="false">Prices!F163/Prices!F162-1</f>
        <v>-0.0801308787402808</v>
      </c>
      <c r="G162" s="26" t="n">
        <f aca="false">Prices!G163/Prices!G162-1</f>
        <v>-0.10443864229765</v>
      </c>
      <c r="H162" s="26" t="n">
        <f aca="false">Prices!H163/Prices!H162-1</f>
        <v>-0.0589971056638876</v>
      </c>
      <c r="I162" s="26" t="n">
        <f aca="false">Prices!I163/Prices!I162-1</f>
        <v>-0.025453726577621</v>
      </c>
      <c r="J162" s="26" t="n">
        <f aca="false">Prices!J163/Prices!J162-1</f>
        <v>0.005745805826054</v>
      </c>
      <c r="K162" s="26" t="n">
        <f aca="false">SUMPRODUCT(B162:J162,Optimization!$C$7:$K$7)</f>
        <v>-0.0504891882444905</v>
      </c>
      <c r="L162" s="26" t="n">
        <f aca="false">SUMPRODUCT(B162:J162,Optimization!$C$8:$K$8)</f>
        <v>-0.0191506587642019</v>
      </c>
      <c r="M162" s="26" t="n">
        <f aca="false">SUMPRODUCT(B162:J162,Optimization!$C$9:$K$9)</f>
        <v>-0.0228694716182475</v>
      </c>
      <c r="N162" s="26" t="n">
        <f aca="false">SUMPRODUCT(B162:J162,Optimization!$C$10:$K$10)</f>
        <v>-0.018987782251452</v>
      </c>
      <c r="O162" s="27" t="n">
        <f aca="false">IF(AND(A162&gt;=Inputs!$C$6,A162&lt;=Inputs!$C$7),1,0)</f>
        <v>1</v>
      </c>
      <c r="P162" s="28" t="n">
        <f aca="false">P161*(1+K162)</f>
        <v>91.5118037380477</v>
      </c>
      <c r="Q162" s="28" t="n">
        <f aca="false">MAX(Q161,P162)</f>
        <v>130.050976087113</v>
      </c>
      <c r="R162" s="29" t="n">
        <f aca="false">P162/Q162-1</f>
        <v>-0.296338970368437</v>
      </c>
      <c r="S162" s="26" t="n">
        <f aca="false">IF(A162=Inputs!$C$12,"",F162)</f>
        <v>-0.0801308787402808</v>
      </c>
      <c r="T162" s="27" t="n">
        <f aca="false">IF(AND(A162&gt;Risk_Metrics!$C$28,P162&gt;=Risk_Metrics!$C$30),1,0)</f>
        <v>0</v>
      </c>
      <c r="U162" s="26" t="n">
        <f aca="false">IF(A162=Inputs!$C$12,"",K162)</f>
        <v>-0.0504891882444905</v>
      </c>
    </row>
    <row r="163" customFormat="false" ht="15" hidden="false" customHeight="false" outlineLevel="0" collapsed="false">
      <c r="A163" s="25" t="n">
        <f aca="false">Prices!A164</f>
        <v>43948</v>
      </c>
      <c r="B163" s="26" t="n">
        <f aca="false">Prices!B164/Prices!B163-1</f>
        <v>-0.0090719698035836</v>
      </c>
      <c r="C163" s="26" t="n">
        <f aca="false">Prices!C164/Prices!C163-1</f>
        <v>0.0602702448721688</v>
      </c>
      <c r="D163" s="26" t="n">
        <f aca="false">Prices!D164/Prices!D163-1</f>
        <v>0.0594117647058825</v>
      </c>
      <c r="E163" s="26" t="n">
        <f aca="false">Prices!E164/Prices!E163-1</f>
        <v>0.0157671315949062</v>
      </c>
      <c r="F163" s="26" t="n">
        <f aca="false">Prices!F164/Prices!F163-1</f>
        <v>0.0666667349678793</v>
      </c>
      <c r="G163" s="26" t="n">
        <f aca="false">Prices!G164/Prices!G163-1</f>
        <v>0.0233235665694851</v>
      </c>
      <c r="H163" s="26" t="n">
        <f aca="false">Prices!H164/Prices!H163-1</f>
        <v>0.03134802507837</v>
      </c>
      <c r="I163" s="26" t="n">
        <f aca="false">Prices!I164/Prices!I163-1</f>
        <v>0.0208948522487225</v>
      </c>
      <c r="J163" s="26" t="n">
        <f aca="false">Prices!J164/Prices!J163-1</f>
        <v>0.0180530401303949</v>
      </c>
      <c r="K163" s="26" t="n">
        <f aca="false">SUMPRODUCT(B163:J163,Optimization!$C$7:$K$7)</f>
        <v>0.0318514878182473</v>
      </c>
      <c r="L163" s="26" t="n">
        <f aca="false">SUMPRODUCT(B163:J163,Optimization!$C$8:$K$8)</f>
        <v>0.0381311014866455</v>
      </c>
      <c r="M163" s="26" t="n">
        <f aca="false">SUMPRODUCT(B163:J163,Optimization!$C$9:$K$9)</f>
        <v>0.0321339734936426</v>
      </c>
      <c r="N163" s="26" t="n">
        <f aca="false">SUMPRODUCT(B163:J163,Optimization!$C$10:$K$10)</f>
        <v>0.0399084942317398</v>
      </c>
      <c r="O163" s="27" t="n">
        <f aca="false">IF(AND(A163&gt;=Inputs!$C$6,A163&lt;=Inputs!$C$7),1,0)</f>
        <v>1</v>
      </c>
      <c r="P163" s="28" t="n">
        <f aca="false">P162*(1+K163)</f>
        <v>94.4265908400359</v>
      </c>
      <c r="Q163" s="28" t="n">
        <f aca="false">MAX(Q162,P163)</f>
        <v>130.050976087113</v>
      </c>
      <c r="R163" s="29" t="n">
        <f aca="false">P163/Q163-1</f>
        <v>-0.273926319654952</v>
      </c>
      <c r="S163" s="26" t="n">
        <f aca="false">IF(A163=Inputs!$C$12,"",F163)</f>
        <v>0.0666667349678793</v>
      </c>
      <c r="T163" s="27" t="n">
        <f aca="false">IF(AND(A163&gt;Risk_Metrics!$C$28,P163&gt;=Risk_Metrics!$C$30),1,0)</f>
        <v>0</v>
      </c>
      <c r="U163" s="26" t="n">
        <f aca="false">IF(A163=Inputs!$C$12,"",K163)</f>
        <v>0.0318514878182473</v>
      </c>
    </row>
    <row r="164" customFormat="false" ht="15" hidden="false" customHeight="false" outlineLevel="0" collapsed="false">
      <c r="A164" s="25" t="n">
        <f aca="false">Prices!A165</f>
        <v>43949</v>
      </c>
      <c r="B164" s="26" t="n">
        <f aca="false">Prices!B165/Prices!B164-1</f>
        <v>0.0701878436707908</v>
      </c>
      <c r="C164" s="26" t="n">
        <f aca="false">Prices!C165/Prices!C164-1</f>
        <v>0.014529697401463</v>
      </c>
      <c r="D164" s="26" t="n">
        <f aca="false">Prices!D165/Prices!D164-1</f>
        <v>-0.00388667406996124</v>
      </c>
      <c r="E164" s="26" t="n">
        <f aca="false">Prices!E165/Prices!E164-1</f>
        <v>0.0507462985074627</v>
      </c>
      <c r="F164" s="26" t="n">
        <f aca="false">Prices!F165/Prices!F164-1</f>
        <v>0.0495833642533181</v>
      </c>
      <c r="G164" s="26" t="n">
        <f aca="false">Prices!G165/Prices!G164-1</f>
        <v>0.0332384156333532</v>
      </c>
      <c r="H164" s="26" t="n">
        <f aca="false">Prices!H165/Prices!H164-1</f>
        <v>0.0486321550983493</v>
      </c>
      <c r="I164" s="26" t="n">
        <f aca="false">Prices!I165/Prices!I164-1</f>
        <v>0.0427140557380674</v>
      </c>
      <c r="J164" s="26" t="n">
        <f aca="false">Prices!J165/Prices!J164-1</f>
        <v>0.00134684627041182</v>
      </c>
      <c r="K164" s="26" t="n">
        <f aca="false">SUMPRODUCT(B164:J164,Optimization!$C$7:$K$7)</f>
        <v>0.0341213336114728</v>
      </c>
      <c r="L164" s="26" t="n">
        <f aca="false">SUMPRODUCT(B164:J164,Optimization!$C$8:$K$8)</f>
        <v>0.015611778811705</v>
      </c>
      <c r="M164" s="26" t="n">
        <f aca="false">SUMPRODUCT(B164:J164,Optimization!$C$9:$K$9)</f>
        <v>0.0201554033784315</v>
      </c>
      <c r="N164" s="26" t="n">
        <f aca="false">SUMPRODUCT(B164:J164,Optimization!$C$10:$K$10)</f>
        <v>0.0142387184449423</v>
      </c>
      <c r="O164" s="27" t="n">
        <f aca="false">IF(AND(A164&gt;=Inputs!$C$6,A164&lt;=Inputs!$C$7),1,0)</f>
        <v>1</v>
      </c>
      <c r="P164" s="28" t="n">
        <f aca="false">P163*(1+K164)</f>
        <v>97.6485520478828</v>
      </c>
      <c r="Q164" s="28" t="n">
        <f aca="false">MAX(Q163,P164)</f>
        <v>130.050976087113</v>
      </c>
      <c r="R164" s="29" t="n">
        <f aca="false">P164/Q164-1</f>
        <v>-0.249151717381389</v>
      </c>
      <c r="S164" s="26" t="n">
        <f aca="false">IF(A164=Inputs!$C$12,"",F164)</f>
        <v>0.0495833642533181</v>
      </c>
      <c r="T164" s="27" t="n">
        <f aca="false">IF(AND(A164&gt;Risk_Metrics!$C$28,P164&gt;=Risk_Metrics!$C$30),1,0)</f>
        <v>0</v>
      </c>
      <c r="U164" s="26" t="n">
        <f aca="false">IF(A164=Inputs!$C$12,"",K164)</f>
        <v>0.0341213336114728</v>
      </c>
    </row>
    <row r="165" customFormat="false" ht="15" hidden="false" customHeight="false" outlineLevel="0" collapsed="false">
      <c r="A165" s="25" t="n">
        <f aca="false">Prices!A166</f>
        <v>43950</v>
      </c>
      <c r="B165" s="26" t="n">
        <f aca="false">Prices!B166/Prices!B165-1</f>
        <v>0.0107480149155517</v>
      </c>
      <c r="C165" s="26" t="n">
        <f aca="false">Prices!C166/Prices!C165-1</f>
        <v>0.00251261319158869</v>
      </c>
      <c r="D165" s="26" t="n">
        <f aca="false">Prices!D166/Prices!D165-1</f>
        <v>-0.0256410799531169</v>
      </c>
      <c r="E165" s="26" t="n">
        <f aca="false">Prices!E166/Prices!E165-1</f>
        <v>0.026988664006004</v>
      </c>
      <c r="F165" s="26" t="n">
        <f aca="false">Prices!F166/Prices!F165-1</f>
        <v>0.0230249597440488</v>
      </c>
      <c r="G165" s="26" t="n">
        <f aca="false">Prices!G166/Prices!G165-1</f>
        <v>0.0280331341911764</v>
      </c>
      <c r="H165" s="26" t="n">
        <f aca="false">Prices!H166/Prices!H165-1</f>
        <v>0.0550725217391304</v>
      </c>
      <c r="I165" s="26" t="n">
        <f aca="false">Prices!I166/Prices!I165-1</f>
        <v>0.0164284582480887</v>
      </c>
      <c r="J165" s="26" t="n">
        <f aca="false">Prices!J166/Prices!J165-1</f>
        <v>0.0475229534292097</v>
      </c>
      <c r="K165" s="26" t="n">
        <f aca="false">SUMPRODUCT(B165:J165,Optimization!$C$7:$K$7)</f>
        <v>0.0205211377235201</v>
      </c>
      <c r="L165" s="26" t="n">
        <f aca="false">SUMPRODUCT(B165:J165,Optimization!$C$8:$K$8)</f>
        <v>-1.10234308451674E-005</v>
      </c>
      <c r="M165" s="26" t="n">
        <f aca="false">SUMPRODUCT(B165:J165,Optimization!$C$9:$K$9)</f>
        <v>0.00787551544930974</v>
      </c>
      <c r="N165" s="26" t="n">
        <f aca="false">SUMPRODUCT(B165:J165,Optimization!$C$10:$K$10)</f>
        <v>-0.00304068693896662</v>
      </c>
      <c r="O165" s="27" t="n">
        <f aca="false">IF(AND(A165&gt;=Inputs!$C$6,A165&lt;=Inputs!$C$7),1,0)</f>
        <v>1</v>
      </c>
      <c r="P165" s="28" t="n">
        <f aca="false">P164*(1+K165)</f>
        <v>99.6524114329598</v>
      </c>
      <c r="Q165" s="28" t="n">
        <f aca="false">MAX(Q164,P165)</f>
        <v>130.050976087113</v>
      </c>
      <c r="R165" s="29" t="n">
        <f aca="false">P165/Q165-1</f>
        <v>-0.233743456364303</v>
      </c>
      <c r="S165" s="26" t="n">
        <f aca="false">IF(A165=Inputs!$C$12,"",F165)</f>
        <v>0.0230249597440488</v>
      </c>
      <c r="T165" s="27" t="n">
        <f aca="false">IF(AND(A165&gt;Risk_Metrics!$C$28,P165&gt;=Risk_Metrics!$C$30),1,0)</f>
        <v>0</v>
      </c>
      <c r="U165" s="26" t="n">
        <f aca="false">IF(A165=Inputs!$C$12,"",K165)</f>
        <v>0.0205211377235201</v>
      </c>
    </row>
    <row r="166" customFormat="false" ht="15" hidden="false" customHeight="false" outlineLevel="0" collapsed="false">
      <c r="A166" s="25" t="n">
        <f aca="false">Prices!A167</f>
        <v>43951</v>
      </c>
      <c r="B166" s="26" t="n">
        <f aca="false">Prices!B167/Prices!B166-1</f>
        <v>-0.0776910122529942</v>
      </c>
      <c r="C166" s="26" t="n">
        <f aca="false">Prices!C167/Prices!C166-1</f>
        <v>-0.0370927819548873</v>
      </c>
      <c r="D166" s="26" t="n">
        <f aca="false">Prices!D167/Prices!D166-1</f>
        <v>0.0188786613272312</v>
      </c>
      <c r="E166" s="26" t="n">
        <f aca="false">Prices!E167/Prices!E166-1</f>
        <v>-0.0542186138744889</v>
      </c>
      <c r="F166" s="26" t="n">
        <f aca="false">Prices!F167/Prices!F166-1</f>
        <v>-0.0345363007904793</v>
      </c>
      <c r="G166" s="26" t="n">
        <f aca="false">Prices!G167/Prices!G166-1</f>
        <v>-0.0661601222100973</v>
      </c>
      <c r="H166" s="26" t="n">
        <f aca="false">Prices!H167/Prices!H166-1</f>
        <v>-0.00824186767901824</v>
      </c>
      <c r="I166" s="26" t="n">
        <f aca="false">Prices!I167/Prices!I166-1</f>
        <v>-0.0585642441054984</v>
      </c>
      <c r="J166" s="26" t="n">
        <f aca="false">Prices!J167/Prices!J166-1</f>
        <v>-0.040017098223839</v>
      </c>
      <c r="K166" s="26" t="n">
        <f aca="false">SUMPRODUCT(B166:J166,Optimization!$C$7:$K$7)</f>
        <v>-0.0397381533071191</v>
      </c>
      <c r="L166" s="26" t="n">
        <f aca="false">SUMPRODUCT(B166:J166,Optimization!$C$8:$K$8)</f>
        <v>-0.0209601702982987</v>
      </c>
      <c r="M166" s="26" t="n">
        <f aca="false">SUMPRODUCT(B166:J166,Optimization!$C$9:$K$9)</f>
        <v>-0.0313978291425105</v>
      </c>
      <c r="N166" s="26" t="n">
        <f aca="false">SUMPRODUCT(B166:J166,Optimization!$C$10:$K$10)</f>
        <v>-0.017406806752839</v>
      </c>
      <c r="O166" s="27" t="n">
        <f aca="false">IF(AND(A166&gt;=Inputs!$C$6,A166&lt;=Inputs!$C$7),1,0)</f>
        <v>1</v>
      </c>
      <c r="P166" s="28" t="n">
        <f aca="false">P165*(1+K166)</f>
        <v>95.6924086300127</v>
      </c>
      <c r="Q166" s="28" t="n">
        <f aca="false">MAX(Q165,P166)</f>
        <v>130.050976087113</v>
      </c>
      <c r="R166" s="29" t="n">
        <f aca="false">P166/Q166-1</f>
        <v>-0.264193076367882</v>
      </c>
      <c r="S166" s="26" t="n">
        <f aca="false">IF(A166=Inputs!$C$12,"",F166)</f>
        <v>-0.0345363007904793</v>
      </c>
      <c r="T166" s="27" t="n">
        <f aca="false">IF(AND(A166&gt;Risk_Metrics!$C$28,P166&gt;=Risk_Metrics!$C$30),1,0)</f>
        <v>0</v>
      </c>
      <c r="U166" s="26" t="n">
        <f aca="false">IF(A166=Inputs!$C$12,"",K166)</f>
        <v>-0.0397381533071191</v>
      </c>
    </row>
    <row r="167" customFormat="false" ht="15" hidden="false" customHeight="false" outlineLevel="0" collapsed="false">
      <c r="A167" s="25" t="n">
        <f aca="false">Prices!A168</f>
        <v>43955</v>
      </c>
      <c r="B167" s="26" t="n">
        <f aca="false">Prices!B168/Prices!B167-1</f>
        <v>-0.0376470117647059</v>
      </c>
      <c r="C167" s="26" t="n">
        <f aca="false">Prices!C168/Prices!C167-1</f>
        <v>-0.00104109844045275</v>
      </c>
      <c r="D167" s="26" t="n">
        <f aca="false">Prices!D168/Prices!D167-1</f>
        <v>-0.00168433473803131</v>
      </c>
      <c r="E167" s="26" t="n">
        <f aca="false">Prices!E168/Prices!E167-1</f>
        <v>-0.0228136596318708</v>
      </c>
      <c r="F167" s="26" t="n">
        <f aca="false">Prices!F168/Prices!F167-1</f>
        <v>0.0152733754953422</v>
      </c>
      <c r="G167" s="26" t="n">
        <f aca="false">Prices!G168/Prices!G167-1</f>
        <v>-0.0435614669009797</v>
      </c>
      <c r="H167" s="26" t="n">
        <f aca="false">Prices!H168/Prices!H167-1</f>
        <v>-0.0371191156298678</v>
      </c>
      <c r="I167" s="26" t="n">
        <f aca="false">Prices!I168/Prices!I167-1</f>
        <v>-0.0434782524907098</v>
      </c>
      <c r="J167" s="26" t="n">
        <f aca="false">Prices!J168/Prices!J167-1</f>
        <v>-0.0207311854495945</v>
      </c>
      <c r="K167" s="26" t="n">
        <f aca="false">SUMPRODUCT(B167:J167,Optimization!$C$7:$K$7)</f>
        <v>-0.0214225277278745</v>
      </c>
      <c r="L167" s="26" t="n">
        <f aca="false">SUMPRODUCT(B167:J167,Optimization!$C$8:$K$8)</f>
        <v>-0.0145274880417569</v>
      </c>
      <c r="M167" s="26" t="n">
        <f aca="false">SUMPRODUCT(B167:J167,Optimization!$C$9:$K$9)</f>
        <v>-0.0183025339129161</v>
      </c>
      <c r="N167" s="26" t="n">
        <f aca="false">SUMPRODUCT(B167:J167,Optimization!$C$10:$K$10)</f>
        <v>-0.0122693606501368</v>
      </c>
      <c r="O167" s="27" t="n">
        <f aca="false">IF(AND(A167&gt;=Inputs!$C$6,A167&lt;=Inputs!$C$7),1,0)</f>
        <v>0</v>
      </c>
      <c r="P167" s="28" t="n">
        <f aca="false">P166*(1+K167)</f>
        <v>93.6424353527892</v>
      </c>
      <c r="Q167" s="28" t="n">
        <f aca="false">MAX(Q166,P167)</f>
        <v>130.050976087113</v>
      </c>
      <c r="R167" s="29" t="n">
        <f aca="false">P167/Q167-1</f>
        <v>-0.279955920591753</v>
      </c>
      <c r="S167" s="26" t="n">
        <f aca="false">IF(A167=Inputs!$C$12,"",F167)</f>
        <v>0.0152733754953422</v>
      </c>
      <c r="T167" s="27" t="n">
        <f aca="false">IF(AND(A167&gt;Risk_Metrics!$C$28,P167&gt;=Risk_Metrics!$C$30),1,0)</f>
        <v>0</v>
      </c>
      <c r="U167" s="26" t="n">
        <f aca="false">IF(A167=Inputs!$C$12,"",K167)</f>
        <v>-0.0214225277278745</v>
      </c>
    </row>
    <row r="168" customFormat="false" ht="15" hidden="false" customHeight="false" outlineLevel="0" collapsed="false">
      <c r="A168" s="25" t="n">
        <f aca="false">Prices!A169</f>
        <v>43956</v>
      </c>
      <c r="B168" s="26" t="n">
        <f aca="false">Prices!B169/Prices!B168-1</f>
        <v>0.0171148157890064</v>
      </c>
      <c r="C168" s="26" t="n">
        <f aca="false">Prices!C169/Prices!C168-1</f>
        <v>0.00937988560135183</v>
      </c>
      <c r="D168" s="26" t="n">
        <f aca="false">Prices!D169/Prices!D168-1</f>
        <v>0.0517435291482831</v>
      </c>
      <c r="E168" s="26" t="n">
        <f aca="false">Prices!E169/Prices!E168-1</f>
        <v>0.00658488476504049</v>
      </c>
      <c r="F168" s="26" t="n">
        <f aca="false">Prices!F169/Prices!F168-1</f>
        <v>0.0110846578837756</v>
      </c>
      <c r="G168" s="26" t="n">
        <f aca="false">Prices!G169/Prices!G168-1</f>
        <v>-0.0145144644644646</v>
      </c>
      <c r="H168" s="26" t="n">
        <f aca="false">Prices!H169/Prices!H168-1</f>
        <v>0.0322210605420632</v>
      </c>
      <c r="I168" s="26" t="n">
        <f aca="false">Prices!I169/Prices!I168-1</f>
        <v>0.0251748549731614</v>
      </c>
      <c r="J168" s="26" t="n">
        <f aca="false">Prices!J169/Prices!J168-1</f>
        <v>-0.00523557933075347</v>
      </c>
      <c r="K168" s="26" t="n">
        <f aca="false">SUMPRODUCT(B168:J168,Optimization!$C$7:$K$7)</f>
        <v>0.0148392938786071</v>
      </c>
      <c r="L168" s="26" t="n">
        <f aca="false">SUMPRODUCT(B168:J168,Optimization!$C$8:$K$8)</f>
        <v>0.028747943613151</v>
      </c>
      <c r="M168" s="26" t="n">
        <f aca="false">SUMPRODUCT(B168:J168,Optimization!$C$9:$K$9)</f>
        <v>0.0223231507836784</v>
      </c>
      <c r="N168" s="26" t="n">
        <f aca="false">SUMPRODUCT(B168:J168,Optimization!$C$10:$K$10)</f>
        <v>0.0304268463687777</v>
      </c>
      <c r="O168" s="27" t="n">
        <f aca="false">IF(AND(A168&gt;=Inputs!$C$6,A168&lt;=Inputs!$C$7),1,0)</f>
        <v>0</v>
      </c>
      <c r="P168" s="28" t="n">
        <f aca="false">P167*(1+K168)</f>
        <v>95.0320229704977</v>
      </c>
      <c r="Q168" s="28" t="n">
        <f aca="false">MAX(Q167,P168)</f>
        <v>130.050976087113</v>
      </c>
      <c r="R168" s="29" t="n">
        <f aca="false">P168/Q168-1</f>
        <v>-0.269270974891863</v>
      </c>
      <c r="S168" s="26" t="n">
        <f aca="false">IF(A168=Inputs!$C$12,"",F168)</f>
        <v>0.0110846578837756</v>
      </c>
      <c r="T168" s="27" t="n">
        <f aca="false">IF(AND(A168&gt;Risk_Metrics!$C$28,P168&gt;=Risk_Metrics!$C$30),1,0)</f>
        <v>0</v>
      </c>
      <c r="U168" s="26" t="n">
        <f aca="false">IF(A168=Inputs!$C$12,"",K168)</f>
        <v>0.0148392938786071</v>
      </c>
    </row>
    <row r="169" customFormat="false" ht="15" hidden="false" customHeight="false" outlineLevel="0" collapsed="false">
      <c r="A169" s="25" t="n">
        <f aca="false">Prices!A170</f>
        <v>43957</v>
      </c>
      <c r="B169" s="26" t="n">
        <f aca="false">Prices!B170/Prices!B169-1</f>
        <v>0.0295674052676638</v>
      </c>
      <c r="C169" s="26" t="n">
        <f aca="false">Prices!C170/Prices!C169-1</f>
        <v>-0.00774393411832564</v>
      </c>
      <c r="D169" s="26" t="n">
        <f aca="false">Prices!D170/Prices!D169-1</f>
        <v>-0.00641716543223725</v>
      </c>
      <c r="E169" s="26" t="n">
        <f aca="false">Prices!E170/Prices!E169-1</f>
        <v>-0.0336009802675891</v>
      </c>
      <c r="F169" s="26" t="n">
        <f aca="false">Prices!F170/Prices!F169-1</f>
        <v>0.07361006546974</v>
      </c>
      <c r="G169" s="26" t="n">
        <f aca="false">Prices!G170/Prices!G169-1</f>
        <v>-0.0198071092022798</v>
      </c>
      <c r="H169" s="26" t="n">
        <f aca="false">Prices!H170/Prices!H169-1</f>
        <v>-0.0367892956081776</v>
      </c>
      <c r="I169" s="26" t="n">
        <f aca="false">Prices!I170/Prices!I169-1</f>
        <v>0.0150067403461822</v>
      </c>
      <c r="J169" s="26" t="n">
        <f aca="false">Prices!J170/Prices!J169-1</f>
        <v>0.0144164985259383</v>
      </c>
      <c r="K169" s="26" t="n">
        <f aca="false">SUMPRODUCT(B169:J169,Optimization!$C$7:$K$7)</f>
        <v>0.00313802499787945</v>
      </c>
      <c r="L169" s="26" t="n">
        <f aca="false">SUMPRODUCT(B169:J169,Optimization!$C$8:$K$8)</f>
        <v>0.00461955970471763</v>
      </c>
      <c r="M169" s="26" t="n">
        <f aca="false">SUMPRODUCT(B169:J169,Optimization!$C$9:$K$9)</f>
        <v>0.00787919163510421</v>
      </c>
      <c r="N169" s="26" t="n">
        <f aca="false">SUMPRODUCT(B169:J169,Optimization!$C$10:$K$10)</f>
        <v>0.00361988317724622</v>
      </c>
      <c r="O169" s="27" t="n">
        <f aca="false">IF(AND(A169&gt;=Inputs!$C$6,A169&lt;=Inputs!$C$7),1,0)</f>
        <v>0</v>
      </c>
      <c r="P169" s="28" t="n">
        <f aca="false">P168*(1+K169)</f>
        <v>95.3302358341782</v>
      </c>
      <c r="Q169" s="28" t="n">
        <f aca="false">MAX(Q168,P169)</f>
        <v>130.050976087113</v>
      </c>
      <c r="R169" s="29" t="n">
        <f aca="false">P169/Q169-1</f>
        <v>-0.266977928944398</v>
      </c>
      <c r="S169" s="26" t="n">
        <f aca="false">IF(A169=Inputs!$C$12,"",F169)</f>
        <v>0.07361006546974</v>
      </c>
      <c r="T169" s="27" t="n">
        <f aca="false">IF(AND(A169&gt;Risk_Metrics!$C$28,P169&gt;=Risk_Metrics!$C$30),1,0)</f>
        <v>0</v>
      </c>
      <c r="U169" s="26" t="n">
        <f aca="false">IF(A169=Inputs!$C$12,"",K169)</f>
        <v>0.00313802499787945</v>
      </c>
    </row>
    <row r="170" customFormat="false" ht="15" hidden="false" customHeight="false" outlineLevel="0" collapsed="false">
      <c r="A170" s="25" t="n">
        <f aca="false">Prices!A171</f>
        <v>43958</v>
      </c>
      <c r="B170" s="26" t="n">
        <f aca="false">Prices!B171/Prices!B170-1</f>
        <v>-0.0273173463778966</v>
      </c>
      <c r="C170" s="26" t="n">
        <f aca="false">Prices!C171/Prices!C170-1</f>
        <v>-0.0413631644475329</v>
      </c>
      <c r="D170" s="26" t="n">
        <f aca="false">Prices!D171/Prices!D170-1</f>
        <v>0.101184015069968</v>
      </c>
      <c r="E170" s="26" t="n">
        <f aca="false">Prices!E171/Prices!E170-1</f>
        <v>-0.084</v>
      </c>
      <c r="F170" s="26" t="n">
        <f aca="false">Prices!F171/Prices!F170-1</f>
        <v>-0.0226112104686238</v>
      </c>
      <c r="G170" s="26" t="n">
        <f aca="false">Prices!G171/Prices!G170-1</f>
        <v>-0.0445594841740666</v>
      </c>
      <c r="H170" s="26" t="n">
        <f aca="false">Prices!H171/Prices!H170-1</f>
        <v>0.00925925872342259</v>
      </c>
      <c r="I170" s="26" t="n">
        <f aca="false">Prices!I171/Prices!I170-1</f>
        <v>-0.0150089589306972</v>
      </c>
      <c r="J170" s="26" t="n">
        <f aca="false">Prices!J171/Prices!J170-1</f>
        <v>0.0387998403428902</v>
      </c>
      <c r="K170" s="26" t="n">
        <f aca="false">SUMPRODUCT(B170:J170,Optimization!$C$7:$K$7)</f>
        <v>-0.00951300558472627</v>
      </c>
      <c r="L170" s="26" t="n">
        <f aca="false">SUMPRODUCT(B170:J170,Optimization!$C$8:$K$8)</f>
        <v>0.0406489011099194</v>
      </c>
      <c r="M170" s="26" t="n">
        <f aca="false">SUMPRODUCT(B170:J170,Optimization!$C$9:$K$9)</f>
        <v>0.0260666750810166</v>
      </c>
      <c r="N170" s="26" t="n">
        <f aca="false">SUMPRODUCT(B170:J170,Optimization!$C$10:$K$10)</f>
        <v>0.0454058928857405</v>
      </c>
      <c r="O170" s="27" t="n">
        <f aca="false">IF(AND(A170&gt;=Inputs!$C$6,A170&lt;=Inputs!$C$7),1,0)</f>
        <v>0</v>
      </c>
      <c r="P170" s="28" t="n">
        <f aca="false">P169*(1+K170)</f>
        <v>94.4233587682944</v>
      </c>
      <c r="Q170" s="28" t="n">
        <f aca="false">MAX(Q169,P170)</f>
        <v>130.050976087113</v>
      </c>
      <c r="R170" s="29" t="n">
        <f aca="false">P170/Q170-1</f>
        <v>-0.273951172000077</v>
      </c>
      <c r="S170" s="26" t="n">
        <f aca="false">IF(A170=Inputs!$C$12,"",F170)</f>
        <v>-0.0226112104686238</v>
      </c>
      <c r="T170" s="27" t="n">
        <f aca="false">IF(AND(A170&gt;Risk_Metrics!$C$28,P170&gt;=Risk_Metrics!$C$30),1,0)</f>
        <v>0</v>
      </c>
      <c r="U170" s="26" t="n">
        <f aca="false">IF(A170=Inputs!$C$12,"",K170)</f>
        <v>-0.00951300558472627</v>
      </c>
    </row>
    <row r="171" customFormat="false" ht="15" hidden="false" customHeight="false" outlineLevel="0" collapsed="false">
      <c r="A171" s="25" t="n">
        <f aca="false">Prices!A172</f>
        <v>43959</v>
      </c>
      <c r="B171" s="26" t="n">
        <f aca="false">Prices!B172/Prices!B171-1</f>
        <v>0.000960177628420711</v>
      </c>
      <c r="C171" s="26" t="n">
        <f aca="false">Prices!C172/Prices!C171-1</f>
        <v>0.0246946818098963</v>
      </c>
      <c r="D171" s="26" t="n">
        <f aca="false">Prices!D172/Prices!D171-1</f>
        <v>0.0503421823236647</v>
      </c>
      <c r="E171" s="26" t="n">
        <f aca="false">Prices!E172/Prices!E171-1</f>
        <v>-0.00403090359422242</v>
      </c>
      <c r="F171" s="26" t="n">
        <f aca="false">Prices!F172/Prices!F171-1</f>
        <v>0.00373130937489297</v>
      </c>
      <c r="G171" s="26" t="n">
        <f aca="false">Prices!G172/Prices!G171-1</f>
        <v>0.0216919185633451</v>
      </c>
      <c r="H171" s="26" t="n">
        <f aca="false">Prices!H172/Prices!H171-1</f>
        <v>0.0596329667641649</v>
      </c>
      <c r="I171" s="26" t="n">
        <f aca="false">Prices!I172/Prices!I171-1</f>
        <v>-0.0127359556521033</v>
      </c>
      <c r="J171" s="26" t="n">
        <f aca="false">Prices!J172/Prices!J171-1</f>
        <v>0.0608034540891087</v>
      </c>
      <c r="K171" s="26" t="n">
        <f aca="false">SUMPRODUCT(B171:J171,Optimization!$C$7:$K$7)</f>
        <v>0.0227877590341297</v>
      </c>
      <c r="L171" s="26" t="n">
        <f aca="false">SUMPRODUCT(B171:J171,Optimization!$C$8:$K$8)</f>
        <v>0.0347392678880038</v>
      </c>
      <c r="M171" s="26" t="n">
        <f aca="false">SUMPRODUCT(B171:J171,Optimization!$C$9:$K$9)</f>
        <v>0.0311490898563402</v>
      </c>
      <c r="N171" s="26" t="n">
        <f aca="false">SUMPRODUCT(B171:J171,Optimization!$C$10:$K$10)</f>
        <v>0.0373360015258052</v>
      </c>
      <c r="O171" s="27" t="n">
        <f aca="false">IF(AND(A171&gt;=Inputs!$C$6,A171&lt;=Inputs!$C$7),1,0)</f>
        <v>0</v>
      </c>
      <c r="P171" s="28" t="n">
        <f aca="false">P170*(1+K171)</f>
        <v>96.5750555150994</v>
      </c>
      <c r="Q171" s="28" t="n">
        <f aca="false">MAX(Q170,P171)</f>
        <v>130.050976087113</v>
      </c>
      <c r="R171" s="29" t="n">
        <f aca="false">P171/Q171-1</f>
        <v>-0.257406146260603</v>
      </c>
      <c r="S171" s="26" t="n">
        <f aca="false">IF(A171=Inputs!$C$12,"",F171)</f>
        <v>0.00373130937489297</v>
      </c>
      <c r="T171" s="27" t="n">
        <f aca="false">IF(AND(A171&gt;Risk_Metrics!$C$28,P171&gt;=Risk_Metrics!$C$30),1,0)</f>
        <v>0</v>
      </c>
      <c r="U171" s="26" t="n">
        <f aca="false">IF(A171=Inputs!$C$12,"",K171)</f>
        <v>0.0227877590341297</v>
      </c>
    </row>
    <row r="172" customFormat="false" ht="15" hidden="false" customHeight="false" outlineLevel="0" collapsed="false">
      <c r="A172" s="25" t="n">
        <f aca="false">Prices!A173</f>
        <v>43962</v>
      </c>
      <c r="B172" s="26" t="n">
        <f aca="false">Prices!B173/Prices!B172-1</f>
        <v>0.0143884409019559</v>
      </c>
      <c r="C172" s="26" t="n">
        <f aca="false">Prices!C173/Prices!C172-1</f>
        <v>-0.0254237301601551</v>
      </c>
      <c r="D172" s="26" t="n">
        <f aca="false">Prices!D173/Prices!D172-1</f>
        <v>0.00791065611912534</v>
      </c>
      <c r="E172" s="26" t="n">
        <f aca="false">Prices!E173/Prices!E172-1</f>
        <v>-0.0522765598650926</v>
      </c>
      <c r="F172" s="26" t="n">
        <f aca="false">Prices!F173/Prices!F172-1</f>
        <v>-0.0234201417466459</v>
      </c>
      <c r="G172" s="26" t="n">
        <f aca="false">Prices!G173/Prices!G172-1</f>
        <v>-0.0244161889596602</v>
      </c>
      <c r="H172" s="26" t="n">
        <f aca="false">Prices!H173/Prices!H172-1</f>
        <v>-0.0178571428571429</v>
      </c>
      <c r="I172" s="26" t="n">
        <f aca="false">Prices!I173/Prices!I172-1</f>
        <v>-0.0359363151225066</v>
      </c>
      <c r="J172" s="26" t="n">
        <f aca="false">Prices!J173/Prices!J172-1</f>
        <v>-0.0229272885538296</v>
      </c>
      <c r="K172" s="26" t="n">
        <f aca="false">SUMPRODUCT(B172:J172,Optimization!$C$7:$K$7)</f>
        <v>-0.0199953633604391</v>
      </c>
      <c r="L172" s="26" t="n">
        <f aca="false">SUMPRODUCT(B172:J172,Optimization!$C$8:$K$8)</f>
        <v>-0.00484942272838483</v>
      </c>
      <c r="M172" s="26" t="n">
        <f aca="false">SUMPRODUCT(B172:J172,Optimization!$C$9:$K$9)</f>
        <v>-0.00894914272422263</v>
      </c>
      <c r="N172" s="26" t="n">
        <f aca="false">SUMPRODUCT(B172:J172,Optimization!$C$10:$K$10)</f>
        <v>-0.00161929855672839</v>
      </c>
      <c r="O172" s="27" t="n">
        <f aca="false">IF(AND(A172&gt;=Inputs!$C$6,A172&lt;=Inputs!$C$7),1,0)</f>
        <v>0</v>
      </c>
      <c r="P172" s="28" t="n">
        <f aca="false">P171*(1+K172)</f>
        <v>94.6440021885204</v>
      </c>
      <c r="Q172" s="28" t="n">
        <f aca="false">MAX(Q171,P172)</f>
        <v>130.050976087113</v>
      </c>
      <c r="R172" s="29" t="n">
        <f aca="false">P172/Q172-1</f>
        <v>-0.272254580195351</v>
      </c>
      <c r="S172" s="26" t="n">
        <f aca="false">IF(A172=Inputs!$C$12,"",F172)</f>
        <v>-0.0234201417466459</v>
      </c>
      <c r="T172" s="27" t="n">
        <f aca="false">IF(AND(A172&gt;Risk_Metrics!$C$28,P172&gt;=Risk_Metrics!$C$30),1,0)</f>
        <v>0</v>
      </c>
      <c r="U172" s="26" t="n">
        <f aca="false">IF(A172=Inputs!$C$12,"",K172)</f>
        <v>-0.0199953633604391</v>
      </c>
    </row>
    <row r="173" customFormat="false" ht="15" hidden="false" customHeight="false" outlineLevel="0" collapsed="false">
      <c r="A173" s="25" t="n">
        <f aca="false">Prices!A174</f>
        <v>43963</v>
      </c>
      <c r="B173" s="26" t="n">
        <f aca="false">Prices!B174/Prices!B173-1</f>
        <v>-0.0437351783388931</v>
      </c>
      <c r="C173" s="26" t="n">
        <f aca="false">Prices!C174/Prices!C173-1</f>
        <v>-0.0290760341889149</v>
      </c>
      <c r="D173" s="26" t="n">
        <f aca="false">Prices!D174/Prices!D173-1</f>
        <v>-0.00277008310249305</v>
      </c>
      <c r="E173" s="26" t="n">
        <f aca="false">Prices!E174/Prices!E173-1</f>
        <v>-0.0209964412811388</v>
      </c>
      <c r="F173" s="26" t="n">
        <f aca="false">Prices!F174/Prices!F173-1</f>
        <v>-0.00190323743411569</v>
      </c>
      <c r="G173" s="26" t="n">
        <f aca="false">Prices!G174/Prices!G173-1</f>
        <v>-0.0212186627431266</v>
      </c>
      <c r="H173" s="26" t="n">
        <f aca="false">Prices!H174/Prices!H173-1</f>
        <v>-0.000551019283746457</v>
      </c>
      <c r="I173" s="26" t="n">
        <f aca="false">Prices!I174/Prices!I173-1</f>
        <v>-0.0279571109990522</v>
      </c>
      <c r="J173" s="26" t="n">
        <f aca="false">Prices!J174/Prices!J173-1</f>
        <v>-0.00565684056149163</v>
      </c>
      <c r="K173" s="26" t="n">
        <f aca="false">SUMPRODUCT(B173:J173,Optimization!$C$7:$K$7)</f>
        <v>-0.017096067548108</v>
      </c>
      <c r="L173" s="26" t="n">
        <f aca="false">SUMPRODUCT(B173:J173,Optimization!$C$8:$K$8)</f>
        <v>-0.0155934944960584</v>
      </c>
      <c r="M173" s="26" t="n">
        <f aca="false">SUMPRODUCT(B173:J173,Optimization!$C$9:$K$9)</f>
        <v>-0.0183041141325661</v>
      </c>
      <c r="N173" s="26" t="n">
        <f aca="false">SUMPRODUCT(B173:J173,Optimization!$C$10:$K$10)</f>
        <v>-0.0149939668238856</v>
      </c>
      <c r="O173" s="27" t="n">
        <f aca="false">IF(AND(A173&gt;=Inputs!$C$6,A173&lt;=Inputs!$C$7),1,0)</f>
        <v>0</v>
      </c>
      <c r="P173" s="28" t="n">
        <f aca="false">P172*(1+K173)</f>
        <v>93.0259619340822</v>
      </c>
      <c r="Q173" s="28" t="n">
        <f aca="false">MAX(Q172,P173)</f>
        <v>130.050976087113</v>
      </c>
      <c r="R173" s="29" t="n">
        <f aca="false">P173/Q173-1</f>
        <v>-0.284696165050157</v>
      </c>
      <c r="S173" s="26" t="n">
        <f aca="false">IF(A173=Inputs!$C$12,"",F173)</f>
        <v>-0.00190323743411569</v>
      </c>
      <c r="T173" s="27" t="n">
        <f aca="false">IF(AND(A173&gt;Risk_Metrics!$C$28,P173&gt;=Risk_Metrics!$C$30),1,0)</f>
        <v>0</v>
      </c>
      <c r="U173" s="26" t="n">
        <f aca="false">IF(A173=Inputs!$C$12,"",K173)</f>
        <v>-0.017096067548108</v>
      </c>
    </row>
    <row r="174" customFormat="false" ht="15" hidden="false" customHeight="false" outlineLevel="0" collapsed="false">
      <c r="A174" s="25" t="n">
        <f aca="false">Prices!A175</f>
        <v>43964</v>
      </c>
      <c r="B174" s="26" t="n">
        <f aca="false">Prices!B175/Prices!B174-1</f>
        <v>-0.0262052403904761</v>
      </c>
      <c r="C174" s="26" t="n">
        <f aca="false">Prices!C175/Prices!C174-1</f>
        <v>0.0120346767422335</v>
      </c>
      <c r="D174" s="26" t="n">
        <f aca="false">Prices!D175/Prices!D174-1</f>
        <v>0.0791666203703703</v>
      </c>
      <c r="E174" s="26" t="n">
        <f aca="false">Prices!E175/Prices!E174-1</f>
        <v>-0.0072701199563795</v>
      </c>
      <c r="F174" s="26" t="n">
        <f aca="false">Prices!F175/Prices!F174-1</f>
        <v>0.0377574199267756</v>
      </c>
      <c r="G174" s="26" t="n">
        <f aca="false">Prices!G175/Prices!G174-1</f>
        <v>0.0116732073374097</v>
      </c>
      <c r="H174" s="26" t="n">
        <f aca="false">Prices!H175/Prices!H174-1</f>
        <v>-0.0303196819360354</v>
      </c>
      <c r="I174" s="26" t="n">
        <f aca="false">Prices!I175/Prices!I174-1</f>
        <v>0</v>
      </c>
      <c r="J174" s="26" t="n">
        <f aca="false">Prices!J175/Prices!J174-1</f>
        <v>0.0227560476771185</v>
      </c>
      <c r="K174" s="26" t="n">
        <f aca="false">SUMPRODUCT(B174:J174,Optimization!$C$7:$K$7)</f>
        <v>0.0110658810856685</v>
      </c>
      <c r="L174" s="26" t="n">
        <f aca="false">SUMPRODUCT(B174:J174,Optimization!$C$8:$K$8)</f>
        <v>0.0367333447042916</v>
      </c>
      <c r="M174" s="26" t="n">
        <f aca="false">SUMPRODUCT(B174:J174,Optimization!$C$9:$K$9)</f>
        <v>0.0259817996672748</v>
      </c>
      <c r="N174" s="26" t="n">
        <f aca="false">SUMPRODUCT(B174:J174,Optimization!$C$10:$K$10)</f>
        <v>0.0400827523660271</v>
      </c>
      <c r="O174" s="27" t="n">
        <f aca="false">IF(AND(A174&gt;=Inputs!$C$6,A174&lt;=Inputs!$C$7),1,0)</f>
        <v>0</v>
      </c>
      <c r="P174" s="28" t="n">
        <f aca="false">P173*(1+K174)</f>
        <v>94.0553761667247</v>
      </c>
      <c r="Q174" s="28" t="n">
        <f aca="false">MAX(Q173,P174)</f>
        <v>130.050976087113</v>
      </c>
      <c r="R174" s="29" t="n">
        <f aca="false">P174/Q174-1</f>
        <v>-0.276780697872479</v>
      </c>
      <c r="S174" s="26" t="n">
        <f aca="false">IF(A174=Inputs!$C$12,"",F174)</f>
        <v>0.0377574199267756</v>
      </c>
      <c r="T174" s="27" t="n">
        <f aca="false">IF(AND(A174&gt;Risk_Metrics!$C$28,P174&gt;=Risk_Metrics!$C$30),1,0)</f>
        <v>0</v>
      </c>
      <c r="U174" s="26" t="n">
        <f aca="false">IF(A174=Inputs!$C$12,"",K174)</f>
        <v>0.0110658810856685</v>
      </c>
    </row>
    <row r="175" customFormat="false" ht="15" hidden="false" customHeight="false" outlineLevel="0" collapsed="false">
      <c r="A175" s="25" t="n">
        <f aca="false">Prices!A176</f>
        <v>43965</v>
      </c>
      <c r="B175" s="26" t="n">
        <f aca="false">Prices!B176/Prices!B175-1</f>
        <v>-0.0269103078677408</v>
      </c>
      <c r="C175" s="26" t="n">
        <f aca="false">Prices!C176/Prices!C175-1</f>
        <v>0.045907053260704</v>
      </c>
      <c r="D175" s="26" t="n">
        <f aca="false">Prices!D176/Prices!D175-1</f>
        <v>-0.0416130004981983</v>
      </c>
      <c r="E175" s="26" t="n">
        <f aca="false">Prices!E176/Prices!E175-1</f>
        <v>0.0725009913035881</v>
      </c>
      <c r="F175" s="26" t="n">
        <f aca="false">Prices!F176/Prices!F175-1</f>
        <v>-0.00147007131711518</v>
      </c>
      <c r="G175" s="26" t="n">
        <f aca="false">Prices!G176/Prices!G175-1</f>
        <v>0.0258241194602133</v>
      </c>
      <c r="H175" s="26" t="n">
        <f aca="false">Prices!H176/Prices!H175-1</f>
        <v>-0.0108015918135305</v>
      </c>
      <c r="I175" s="26" t="n">
        <f aca="false">Prices!I176/Prices!I175-1</f>
        <v>-0.0690756353272356</v>
      </c>
      <c r="J175" s="26" t="n">
        <f aca="false">Prices!J176/Prices!J175-1</f>
        <v>-0.00927072498412174</v>
      </c>
      <c r="K175" s="26" t="n">
        <f aca="false">SUMPRODUCT(B175:J175,Optimization!$C$7:$K$7)</f>
        <v>-0.00165657419815963</v>
      </c>
      <c r="L175" s="26" t="n">
        <f aca="false">SUMPRODUCT(B175:J175,Optimization!$C$8:$K$8)</f>
        <v>-0.0252825393623637</v>
      </c>
      <c r="M175" s="26" t="n">
        <f aca="false">SUMPRODUCT(B175:J175,Optimization!$C$9:$K$9)</f>
        <v>-0.0223043898836458</v>
      </c>
      <c r="N175" s="26" t="n">
        <f aca="false">SUMPRODUCT(B175:J175,Optimization!$C$10:$K$10)</f>
        <v>-0.0231506325763159</v>
      </c>
      <c r="O175" s="27" t="n">
        <f aca="false">IF(AND(A175&gt;=Inputs!$C$6,A175&lt;=Inputs!$C$7),1,0)</f>
        <v>0</v>
      </c>
      <c r="P175" s="28" t="n">
        <f aca="false">P174*(1+K175)</f>
        <v>93.8995664573687</v>
      </c>
      <c r="Q175" s="28" t="n">
        <f aca="false">MAX(Q174,P175)</f>
        <v>130.050976087113</v>
      </c>
      <c r="R175" s="29" t="n">
        <f aca="false">P175/Q175-1</f>
        <v>-0.277978764307995</v>
      </c>
      <c r="S175" s="26" t="n">
        <f aca="false">IF(A175=Inputs!$C$12,"",F175)</f>
        <v>-0.00147007131711518</v>
      </c>
      <c r="T175" s="27" t="n">
        <f aca="false">IF(AND(A175&gt;Risk_Metrics!$C$28,P175&gt;=Risk_Metrics!$C$30),1,0)</f>
        <v>0</v>
      </c>
      <c r="U175" s="26" t="n">
        <f aca="false">IF(A175=Inputs!$C$12,"",K175)</f>
        <v>-0.00165657419815963</v>
      </c>
    </row>
    <row r="176" customFormat="false" ht="15" hidden="false" customHeight="false" outlineLevel="0" collapsed="false">
      <c r="A176" s="25" t="n">
        <f aca="false">Prices!A177</f>
        <v>43966</v>
      </c>
      <c r="B176" s="26" t="n">
        <f aca="false">Prices!B177/Prices!B176-1</f>
        <v>0.0109574218128139</v>
      </c>
      <c r="C176" s="26" t="n">
        <f aca="false">Prices!C177/Prices!C176-1</f>
        <v>0.0454786380475218</v>
      </c>
      <c r="D176" s="26" t="n">
        <f aca="false">Prices!D177/Prices!D176-1</f>
        <v>-0.0273052820053715</v>
      </c>
      <c r="E176" s="26" t="n">
        <f aca="false">Prices!E177/Prices!E176-1</f>
        <v>0.031068623043065</v>
      </c>
      <c r="F176" s="26" t="n">
        <f aca="false">Prices!F177/Prices!F176-1</f>
        <v>-0.0242915371038344</v>
      </c>
      <c r="G176" s="26" t="n">
        <f aca="false">Prices!G177/Prices!G176-1</f>
        <v>-0.0305302624531334</v>
      </c>
      <c r="H176" s="26" t="n">
        <f aca="false">Prices!H177/Prices!H176-1</f>
        <v>-0.014367816091954</v>
      </c>
      <c r="I176" s="26" t="n">
        <f aca="false">Prices!I177/Prices!I176-1</f>
        <v>-0.0242936454048009</v>
      </c>
      <c r="J176" s="26" t="n">
        <f aca="false">Prices!J177/Prices!J176-1</f>
        <v>-0.000831794551881981</v>
      </c>
      <c r="K176" s="26" t="n">
        <f aca="false">SUMPRODUCT(B176:J176,Optimization!$C$7:$K$7)</f>
        <v>-0.00379062830084172</v>
      </c>
      <c r="L176" s="26" t="n">
        <f aca="false">SUMPRODUCT(B176:J176,Optimization!$C$8:$K$8)</f>
        <v>-0.00715059014332936</v>
      </c>
      <c r="M176" s="26" t="n">
        <f aca="false">SUMPRODUCT(B176:J176,Optimization!$C$9:$K$9)</f>
        <v>-0.00304994359570307</v>
      </c>
      <c r="N176" s="26" t="n">
        <f aca="false">SUMPRODUCT(B176:J176,Optimization!$C$10:$K$10)</f>
        <v>-0.00647078077282165</v>
      </c>
      <c r="O176" s="27" t="n">
        <f aca="false">IF(AND(A176&gt;=Inputs!$C$6,A176&lt;=Inputs!$C$7),1,0)</f>
        <v>0</v>
      </c>
      <c r="P176" s="28" t="n">
        <f aca="false">P175*(1+K176)</f>
        <v>93.5436281033186</v>
      </c>
      <c r="Q176" s="28" t="n">
        <f aca="false">MAX(Q175,P176)</f>
        <v>130.050976087113</v>
      </c>
      <c r="R176" s="29" t="n">
        <f aca="false">P176/Q176-1</f>
        <v>-0.280715678437818</v>
      </c>
      <c r="S176" s="26" t="n">
        <f aca="false">IF(A176=Inputs!$C$12,"",F176)</f>
        <v>-0.0242915371038344</v>
      </c>
      <c r="T176" s="27" t="n">
        <f aca="false">IF(AND(A176&gt;Risk_Metrics!$C$28,P176&gt;=Risk_Metrics!$C$30),1,0)</f>
        <v>0</v>
      </c>
      <c r="U176" s="26" t="n">
        <f aca="false">IF(A176=Inputs!$C$12,"",K176)</f>
        <v>-0.00379062830084172</v>
      </c>
    </row>
    <row r="177" customFormat="false" ht="15" hidden="false" customHeight="false" outlineLevel="0" collapsed="false">
      <c r="A177" s="25" t="n">
        <f aca="false">Prices!A178</f>
        <v>43969</v>
      </c>
      <c r="B177" s="26" t="n">
        <f aca="false">Prices!B178/Prices!B177-1</f>
        <v>0.0232258580645162</v>
      </c>
      <c r="C177" s="26" t="n">
        <f aca="false">Prices!C178/Prices!C177-1</f>
        <v>0.0619625189681334</v>
      </c>
      <c r="D177" s="26" t="n">
        <f aca="false">Prices!D178/Prices!D177-1</f>
        <v>-0.0796134376438105</v>
      </c>
      <c r="E177" s="26" t="n">
        <f aca="false">Prices!E178/Prices!E177-1</f>
        <v>0.109602546039651</v>
      </c>
      <c r="F177" s="26" t="n">
        <f aca="false">Prices!F178/Prices!F177-1</f>
        <v>0.0143343116353927</v>
      </c>
      <c r="G177" s="26" t="n">
        <f aca="false">Prices!G178/Prices!G177-1</f>
        <v>0.0712706629834252</v>
      </c>
      <c r="H177" s="26" t="n">
        <f aca="false">Prices!H178/Prices!H177-1</f>
        <v>0.0810496209912537</v>
      </c>
      <c r="I177" s="26" t="n">
        <f aca="false">Prices!I178/Prices!I177-1</f>
        <v>0.055480331964689</v>
      </c>
      <c r="J177" s="26" t="n">
        <f aca="false">Prices!J178/Prices!J177-1</f>
        <v>0.0668053916088531</v>
      </c>
      <c r="K177" s="26" t="n">
        <f aca="false">SUMPRODUCT(B177:J177,Optimization!$C$7:$K$7)</f>
        <v>0.0449019782902337</v>
      </c>
      <c r="L177" s="26" t="n">
        <f aca="false">SUMPRODUCT(B177:J177,Optimization!$C$8:$K$8)</f>
        <v>-0.00747428139906693</v>
      </c>
      <c r="M177" s="26" t="n">
        <f aca="false">SUMPRODUCT(B177:J177,Optimization!$C$9:$K$9)</f>
        <v>0.0124965621066649</v>
      </c>
      <c r="N177" s="26" t="n">
        <f aca="false">SUMPRODUCT(B177:J177,Optimization!$C$10:$K$10)</f>
        <v>-0.0155008274809147</v>
      </c>
      <c r="O177" s="27" t="n">
        <f aca="false">IF(AND(A177&gt;=Inputs!$C$6,A177&lt;=Inputs!$C$7),1,0)</f>
        <v>0</v>
      </c>
      <c r="P177" s="28" t="n">
        <f aca="false">P176*(1+K177)</f>
        <v>97.7439220616035</v>
      </c>
      <c r="Q177" s="28" t="n">
        <f aca="false">MAX(Q176,P177)</f>
        <v>130.050976087113</v>
      </c>
      <c r="R177" s="29" t="n">
        <f aca="false">P177/Q177-1</f>
        <v>-0.248418389446527</v>
      </c>
      <c r="S177" s="26" t="n">
        <f aca="false">IF(A177=Inputs!$C$12,"",F177)</f>
        <v>0.0143343116353927</v>
      </c>
      <c r="T177" s="27" t="n">
        <f aca="false">IF(AND(A177&gt;Risk_Metrics!$C$28,P177&gt;=Risk_Metrics!$C$30),1,0)</f>
        <v>0</v>
      </c>
      <c r="U177" s="26" t="n">
        <f aca="false">IF(A177=Inputs!$C$12,"",K177)</f>
        <v>0.0449019782902337</v>
      </c>
    </row>
    <row r="178" customFormat="false" ht="15" hidden="false" customHeight="false" outlineLevel="0" collapsed="false">
      <c r="A178" s="25" t="n">
        <f aca="false">Prices!A179</f>
        <v>43970</v>
      </c>
      <c r="B178" s="26" t="n">
        <f aca="false">Prices!B179/Prices!B178-1</f>
        <v>0.0514501108978507</v>
      </c>
      <c r="C178" s="26" t="n">
        <f aca="false">Prices!C179/Prices!C178-1</f>
        <v>-0.0302452741245665</v>
      </c>
      <c r="D178" s="26" t="n">
        <f aca="false">Prices!D179/Prices!D178-1</f>
        <v>0.00200004999999992</v>
      </c>
      <c r="E178" s="26" t="n">
        <f aca="false">Prices!E179/Prices!E178-1</f>
        <v>0.0465533301434395</v>
      </c>
      <c r="F178" s="26" t="n">
        <f aca="false">Prices!F179/Prices!F178-1</f>
        <v>0.0342134499173885</v>
      </c>
      <c r="G178" s="26" t="n">
        <f aca="false">Prices!G179/Prices!G178-1</f>
        <v>0.014440485530711</v>
      </c>
      <c r="H178" s="26" t="n">
        <f aca="false">Prices!H179/Prices!H178-1</f>
        <v>0.00755118621622519</v>
      </c>
      <c r="I178" s="26" t="n">
        <f aca="false">Prices!I179/Prices!I178-1</f>
        <v>0.0251283003967064</v>
      </c>
      <c r="J178" s="26" t="n">
        <f aca="false">Prices!J179/Prices!J178-1</f>
        <v>0.0202887444513751</v>
      </c>
      <c r="K178" s="26" t="n">
        <f aca="false">SUMPRODUCT(B178:J178,Optimization!$C$7:$K$7)</f>
        <v>0.0190422648254589</v>
      </c>
      <c r="L178" s="26" t="n">
        <f aca="false">SUMPRODUCT(B178:J178,Optimization!$C$8:$K$8)</f>
        <v>0.0108715008720088</v>
      </c>
      <c r="M178" s="26" t="n">
        <f aca="false">SUMPRODUCT(B178:J178,Optimization!$C$9:$K$9)</f>
        <v>0.0138053749996345</v>
      </c>
      <c r="N178" s="26" t="n">
        <f aca="false">SUMPRODUCT(B178:J178,Optimization!$C$10:$K$10)</f>
        <v>0.00985565704440297</v>
      </c>
      <c r="O178" s="27" t="n">
        <f aca="false">IF(AND(A178&gt;=Inputs!$C$6,A178&lt;=Inputs!$C$7),1,0)</f>
        <v>0</v>
      </c>
      <c r="P178" s="28" t="n">
        <f aca="false">P177*(1+K178)</f>
        <v>99.6051877105796</v>
      </c>
      <c r="Q178" s="28" t="n">
        <f aca="false">MAX(Q177,P178)</f>
        <v>130.050976087113</v>
      </c>
      <c r="R178" s="29" t="n">
        <f aca="false">P178/Q178-1</f>
        <v>-0.234106573380423</v>
      </c>
      <c r="S178" s="26" t="n">
        <f aca="false">IF(A178=Inputs!$C$12,"",F178)</f>
        <v>0.0342134499173885</v>
      </c>
      <c r="T178" s="27" t="n">
        <f aca="false">IF(AND(A178&gt;Risk_Metrics!$C$28,P178&gt;=Risk_Metrics!$C$30),1,0)</f>
        <v>0</v>
      </c>
      <c r="U178" s="26" t="n">
        <f aca="false">IF(A178=Inputs!$C$12,"",K178)</f>
        <v>0.0190422648254589</v>
      </c>
    </row>
    <row r="179" customFormat="false" ht="15" hidden="false" customHeight="false" outlineLevel="0" collapsed="false">
      <c r="A179" s="25" t="n">
        <f aca="false">Prices!A180</f>
        <v>43971</v>
      </c>
      <c r="B179" s="26" t="n">
        <f aca="false">Prices!B180/Prices!B179-1</f>
        <v>-0.0285439920495081</v>
      </c>
      <c r="C179" s="26" t="n">
        <f aca="false">Prices!C180/Prices!C179-1</f>
        <v>-0.00196466114844451</v>
      </c>
      <c r="D179" s="26" t="n">
        <f aca="false">Prices!D180/Prices!D179-1</f>
        <v>-0.00948108735124309</v>
      </c>
      <c r="E179" s="26" t="n">
        <f aca="false">Prices!E180/Prices!E179-1</f>
        <v>0.00655828343313369</v>
      </c>
      <c r="F179" s="26" t="n">
        <f aca="false">Prices!F180/Prices!F179-1</f>
        <v>-0.0348795659629766</v>
      </c>
      <c r="G179" s="26" t="n">
        <f aca="false">Prices!G180/Prices!G179-1</f>
        <v>0.0482969496695473</v>
      </c>
      <c r="H179" s="26" t="n">
        <f aca="false">Prices!H180/Prices!H179-1</f>
        <v>0.0331905246252677</v>
      </c>
      <c r="I179" s="26" t="n">
        <f aca="false">Prices!I180/Prices!I179-1</f>
        <v>0.0170084513406108</v>
      </c>
      <c r="J179" s="26" t="n">
        <f aca="false">Prices!J180/Prices!J179-1</f>
        <v>0.00382411097178026</v>
      </c>
      <c r="K179" s="26" t="n">
        <f aca="false">SUMPRODUCT(B179:J179,Optimization!$C$7:$K$7)</f>
        <v>0.0037787792809075</v>
      </c>
      <c r="L179" s="26" t="n">
        <f aca="false">SUMPRODUCT(B179:J179,Optimization!$C$8:$K$8)</f>
        <v>-0.00667301649958045</v>
      </c>
      <c r="M179" s="26" t="n">
        <f aca="false">SUMPRODUCT(B179:J179,Optimization!$C$9:$K$9)</f>
        <v>-0.00523943206991168</v>
      </c>
      <c r="N179" s="26" t="n">
        <f aca="false">SUMPRODUCT(B179:J179,Optimization!$C$10:$K$10)</f>
        <v>-0.00893992606579784</v>
      </c>
      <c r="O179" s="27" t="n">
        <f aca="false">IF(AND(A179&gt;=Inputs!$C$6,A179&lt;=Inputs!$C$7),1,0)</f>
        <v>0</v>
      </c>
      <c r="P179" s="28" t="n">
        <f aca="false">P178*(1+K179)</f>
        <v>99.9815737301713</v>
      </c>
      <c r="Q179" s="28" t="n">
        <f aca="false">MAX(Q178,P179)</f>
        <v>130.050976087113</v>
      </c>
      <c r="R179" s="29" t="n">
        <f aca="false">P179/Q179-1</f>
        <v>-0.23121243116853</v>
      </c>
      <c r="S179" s="26" t="n">
        <f aca="false">IF(A179=Inputs!$C$12,"",F179)</f>
        <v>-0.0348795659629766</v>
      </c>
      <c r="T179" s="27" t="n">
        <f aca="false">IF(AND(A179&gt;Risk_Metrics!$C$28,P179&gt;=Risk_Metrics!$C$30),1,0)</f>
        <v>0</v>
      </c>
      <c r="U179" s="26" t="n">
        <f aca="false">IF(A179=Inputs!$C$12,"",K179)</f>
        <v>0.0037787792809075</v>
      </c>
    </row>
    <row r="180" customFormat="false" ht="15" hidden="false" customHeight="false" outlineLevel="0" collapsed="false">
      <c r="A180" s="25" t="n">
        <f aca="false">Prices!A181</f>
        <v>43972</v>
      </c>
      <c r="B180" s="26" t="n">
        <f aca="false">Prices!B181/Prices!B180-1</f>
        <v>0.077037012345679</v>
      </c>
      <c r="C180" s="26" t="n">
        <f aca="false">Prices!C181/Prices!C180-1</f>
        <v>0.0733268244747451</v>
      </c>
      <c r="D180" s="26" t="n">
        <f aca="false">Prices!D181/Prices!D180-1</f>
        <v>-0.039294710327456</v>
      </c>
      <c r="E180" s="26" t="n">
        <f aca="false">Prices!E181/Prices!E180-1</f>
        <v>0.0280453832307472</v>
      </c>
      <c r="F180" s="26" t="n">
        <f aca="false">Prices!F181/Prices!F180-1</f>
        <v>0.000372556203820595</v>
      </c>
      <c r="G180" s="26" t="n">
        <f aca="false">Prices!G181/Prices!G180-1</f>
        <v>0.0523763311165699</v>
      </c>
      <c r="H180" s="26" t="n">
        <f aca="false">Prices!H181/Prices!H180-1</f>
        <v>-0.00569937853364666</v>
      </c>
      <c r="I180" s="26" t="n">
        <f aca="false">Prices!I181/Prices!I180-1</f>
        <v>0.0494343518739111</v>
      </c>
      <c r="J180" s="26" t="n">
        <f aca="false">Prices!J181/Prices!J180-1</f>
        <v>-0.026095219047619</v>
      </c>
      <c r="K180" s="26" t="n">
        <f aca="false">SUMPRODUCT(B180:J180,Optimization!$C$7:$K$7)</f>
        <v>0.0232781279263057</v>
      </c>
      <c r="L180" s="26" t="n">
        <f aca="false">SUMPRODUCT(B180:J180,Optimization!$C$8:$K$8)</f>
        <v>0.00458800136644153</v>
      </c>
      <c r="M180" s="26" t="n">
        <f aca="false">SUMPRODUCT(B180:J180,Optimization!$C$9:$K$9)</f>
        <v>0.0139691596267937</v>
      </c>
      <c r="N180" s="26" t="n">
        <f aca="false">SUMPRODUCT(B180:J180,Optimization!$C$10:$K$10)</f>
        <v>0.00198868169257232</v>
      </c>
      <c r="O180" s="27" t="n">
        <f aca="false">IF(AND(A180&gt;=Inputs!$C$6,A180&lt;=Inputs!$C$7),1,0)</f>
        <v>0</v>
      </c>
      <c r="P180" s="28" t="n">
        <f aca="false">P179*(1+K180)</f>
        <v>102.308957593736</v>
      </c>
      <c r="Q180" s="28" t="n">
        <f aca="false">MAX(Q179,P180)</f>
        <v>130.050976087113</v>
      </c>
      <c r="R180" s="29" t="n">
        <f aca="false">P180/Q180-1</f>
        <v>-0.213316495793117</v>
      </c>
      <c r="S180" s="26" t="n">
        <f aca="false">IF(A180=Inputs!$C$12,"",F180)</f>
        <v>0.000372556203820595</v>
      </c>
      <c r="T180" s="27" t="n">
        <f aca="false">IF(AND(A180&gt;Risk_Metrics!$C$28,P180&gt;=Risk_Metrics!$C$30),1,0)</f>
        <v>0</v>
      </c>
      <c r="U180" s="26" t="n">
        <f aca="false">IF(A180=Inputs!$C$12,"",K180)</f>
        <v>0.0232781279263057</v>
      </c>
    </row>
    <row r="181" customFormat="false" ht="15" hidden="false" customHeight="false" outlineLevel="0" collapsed="false">
      <c r="A181" s="25" t="n">
        <f aca="false">Prices!A182</f>
        <v>43973</v>
      </c>
      <c r="B181" s="26" t="n">
        <f aca="false">Prices!B182/Prices!B181-1</f>
        <v>-0.0437872545572502</v>
      </c>
      <c r="C181" s="26" t="n">
        <f aca="false">Prices!C182/Prices!C181-1</f>
        <v>0.00596052269601111</v>
      </c>
      <c r="D181" s="26" t="n">
        <f aca="false">Prices!D182/Prices!D181-1</f>
        <v>0.00681704247509174</v>
      </c>
      <c r="E181" s="26" t="n">
        <f aca="false">Prices!E182/Prices!E181-1</f>
        <v>-0.00275563508526755</v>
      </c>
      <c r="F181" s="26" t="n">
        <f aca="false">Prices!F182/Prices!F181-1</f>
        <v>-0.0558658661091118</v>
      </c>
      <c r="G181" s="26" t="n">
        <f aca="false">Prices!G182/Prices!G181-1</f>
        <v>-0.02350230306441</v>
      </c>
      <c r="H181" s="26" t="n">
        <f aca="false">Prices!H182/Prices!H181-1</f>
        <v>-0.0270974972851745</v>
      </c>
      <c r="I181" s="26" t="n">
        <f aca="false">Prices!I182/Prices!I181-1</f>
        <v>-0.033278680285239</v>
      </c>
      <c r="J181" s="26" t="n">
        <f aca="false">Prices!J182/Prices!J181-1</f>
        <v>-0.0168198901462958</v>
      </c>
      <c r="K181" s="26" t="n">
        <f aca="false">SUMPRODUCT(B181:J181,Optimization!$C$7:$K$7)</f>
        <v>-0.0211477290401829</v>
      </c>
      <c r="L181" s="26" t="n">
        <f aca="false">SUMPRODUCT(B181:J181,Optimization!$C$8:$K$8)</f>
        <v>-0.00910926239171059</v>
      </c>
      <c r="M181" s="26" t="n">
        <f aca="false">SUMPRODUCT(B181:J181,Optimization!$C$9:$K$9)</f>
        <v>-0.0136722037048714</v>
      </c>
      <c r="N181" s="26" t="n">
        <f aca="false">SUMPRODUCT(B181:J181,Optimization!$C$10:$K$10)</f>
        <v>-0.00719283811985143</v>
      </c>
      <c r="O181" s="27" t="n">
        <f aca="false">IF(AND(A181&gt;=Inputs!$C$6,A181&lt;=Inputs!$C$7),1,0)</f>
        <v>0</v>
      </c>
      <c r="P181" s="28" t="n">
        <f aca="false">P180*(1+K181)</f>
        <v>100.14535548016</v>
      </c>
      <c r="Q181" s="28" t="n">
        <f aca="false">MAX(Q180,P181)</f>
        <v>130.050976087113</v>
      </c>
      <c r="R181" s="29" t="n">
        <f aca="false">P181/Q181-1</f>
        <v>-0.229953065380466</v>
      </c>
      <c r="S181" s="26" t="n">
        <f aca="false">IF(A181=Inputs!$C$12,"",F181)</f>
        <v>-0.0558658661091118</v>
      </c>
      <c r="T181" s="27" t="n">
        <f aca="false">IF(AND(A181&gt;Risk_Metrics!$C$28,P181&gt;=Risk_Metrics!$C$30),1,0)</f>
        <v>0</v>
      </c>
      <c r="U181" s="26" t="n">
        <f aca="false">IF(A181=Inputs!$C$12,"",K181)</f>
        <v>-0.0211477290401829</v>
      </c>
    </row>
    <row r="182" customFormat="false" ht="15" hidden="false" customHeight="false" outlineLevel="0" collapsed="false">
      <c r="A182" s="25" t="n">
        <f aca="false">Prices!A183</f>
        <v>43976</v>
      </c>
      <c r="B182" s="26" t="n">
        <f aca="false">Prices!B183/Prices!B182-1</f>
        <v>0.0261328224917963</v>
      </c>
      <c r="C182" s="26" t="n">
        <f aca="false">Prices!C183/Prices!C182-1</f>
        <v>0.0597083436512462</v>
      </c>
      <c r="D182" s="26" t="n">
        <f aca="false">Prices!D183/Prices!D182-1</f>
        <v>-0.0114583848198758</v>
      </c>
      <c r="E182" s="26" t="n">
        <f aca="false">Prices!E183/Prices!E182-1</f>
        <v>0.0140923463413194</v>
      </c>
      <c r="F182" s="26" t="n">
        <f aca="false">Prices!F183/Prices!F182-1</f>
        <v>0.0157790681381773</v>
      </c>
      <c r="G182" s="26" t="n">
        <f aca="false">Prices!G183/Prices!G182-1</f>
        <v>0.0684284063979044</v>
      </c>
      <c r="H182" s="26" t="n">
        <f aca="false">Prices!H183/Prices!H182-1</f>
        <v>0.043385109801821</v>
      </c>
      <c r="I182" s="26" t="n">
        <f aca="false">Prices!I183/Prices!I182-1</f>
        <v>0.0484848888039469</v>
      </c>
      <c r="J182" s="26" t="n">
        <f aca="false">Prices!J183/Prices!J182-1</f>
        <v>-0.0033817783966581</v>
      </c>
      <c r="K182" s="26" t="n">
        <f aca="false">SUMPRODUCT(B182:J182,Optimization!$C$7:$K$7)</f>
        <v>0.0290189802677419</v>
      </c>
      <c r="L182" s="26" t="n">
        <f aca="false">SUMPRODUCT(B182:J182,Optimization!$C$8:$K$8)</f>
        <v>0.0109751143759089</v>
      </c>
      <c r="M182" s="26" t="n">
        <f aca="false">SUMPRODUCT(B182:J182,Optimization!$C$9:$K$9)</f>
        <v>0.0160524440499597</v>
      </c>
      <c r="N182" s="26" t="n">
        <f aca="false">SUMPRODUCT(B182:J182,Optimization!$C$10:$K$10)</f>
        <v>0.00834130954769735</v>
      </c>
      <c r="O182" s="27" t="n">
        <f aca="false">IF(AND(A182&gt;=Inputs!$C$6,A182&lt;=Inputs!$C$7),1,0)</f>
        <v>0</v>
      </c>
      <c r="P182" s="28" t="n">
        <f aca="false">P181*(1+K182)</f>
        <v>103.051471574744</v>
      </c>
      <c r="Q182" s="28" t="n">
        <f aca="false">MAX(Q181,P182)</f>
        <v>130.050976087113</v>
      </c>
      <c r="R182" s="29" t="n">
        <f aca="false">P182/Q182-1</f>
        <v>-0.207607088579506</v>
      </c>
      <c r="S182" s="26" t="n">
        <f aca="false">IF(A182=Inputs!$C$12,"",F182)</f>
        <v>0.0157790681381773</v>
      </c>
      <c r="T182" s="27" t="n">
        <f aca="false">IF(AND(A182&gt;Risk_Metrics!$C$28,P182&gt;=Risk_Metrics!$C$30),1,0)</f>
        <v>0</v>
      </c>
      <c r="U182" s="26" t="n">
        <f aca="false">IF(A182=Inputs!$C$12,"",K182)</f>
        <v>0.0290189802677419</v>
      </c>
    </row>
    <row r="183" customFormat="false" ht="15" hidden="false" customHeight="false" outlineLevel="0" collapsed="false">
      <c r="A183" s="25" t="n">
        <f aca="false">Prices!A184</f>
        <v>43977</v>
      </c>
      <c r="B183" s="26" t="n">
        <f aca="false">Prices!B184/Prices!B183-1</f>
        <v>-0.0294392062953086</v>
      </c>
      <c r="C183" s="26" t="n">
        <f aca="false">Prices!C184/Prices!C183-1</f>
        <v>0</v>
      </c>
      <c r="D183" s="26" t="n">
        <f aca="false">Prices!D184/Prices!D183-1</f>
        <v>-0.00948371970495265</v>
      </c>
      <c r="E183" s="26" t="n">
        <f aca="false">Prices!E184/Prices!E183-1</f>
        <v>0.00490463201894742</v>
      </c>
      <c r="F183" s="26" t="n">
        <f aca="false">Prices!F184/Prices!F183-1</f>
        <v>0.0446601987093795</v>
      </c>
      <c r="G183" s="26" t="n">
        <f aca="false">Prices!G184/Prices!G183-1</f>
        <v>-0.0379857790629762</v>
      </c>
      <c r="H183" s="26" t="n">
        <f aca="false">Prices!H184/Prices!H183-1</f>
        <v>0.00975359342915816</v>
      </c>
      <c r="I183" s="26" t="n">
        <f aca="false">Prices!I184/Prices!I183-1</f>
        <v>0.0194219627361329</v>
      </c>
      <c r="J183" s="26" t="n">
        <f aca="false">Prices!J184/Prices!J183-1</f>
        <v>-0.0179640126931742</v>
      </c>
      <c r="K183" s="26" t="n">
        <f aca="false">SUMPRODUCT(B183:J183,Optimization!$C$7:$K$7)</f>
        <v>-0.00179248120697706</v>
      </c>
      <c r="L183" s="26" t="n">
        <f aca="false">SUMPRODUCT(B183:J183,Optimization!$C$8:$K$8)</f>
        <v>-0.00992036833363181</v>
      </c>
      <c r="M183" s="26" t="n">
        <f aca="false">SUMPRODUCT(B183:J183,Optimization!$C$9:$K$9)</f>
        <v>-0.0096662377722682</v>
      </c>
      <c r="N183" s="26" t="n">
        <f aca="false">SUMPRODUCT(B183:J183,Optimization!$C$10:$K$10)</f>
        <v>-0.0119494228692869</v>
      </c>
      <c r="O183" s="27" t="n">
        <f aca="false">IF(AND(A183&gt;=Inputs!$C$6,A183&lt;=Inputs!$C$7),1,0)</f>
        <v>0</v>
      </c>
      <c r="P183" s="28" t="n">
        <f aca="false">P182*(1+K183)</f>
        <v>102.866753748595</v>
      </c>
      <c r="Q183" s="28" t="n">
        <f aca="false">MAX(Q182,P183)</f>
        <v>130.050976087113</v>
      </c>
      <c r="R183" s="29" t="n">
        <f aca="false">P183/Q183-1</f>
        <v>-0.209027437981769</v>
      </c>
      <c r="S183" s="26" t="n">
        <f aca="false">IF(A183=Inputs!$C$12,"",F183)</f>
        <v>0.0446601987093795</v>
      </c>
      <c r="T183" s="27" t="n">
        <f aca="false">IF(AND(A183&gt;Risk_Metrics!$C$28,P183&gt;=Risk_Metrics!$C$30),1,0)</f>
        <v>0</v>
      </c>
      <c r="U183" s="26" t="n">
        <f aca="false">IF(A183=Inputs!$C$12,"",K183)</f>
        <v>-0.00179248120697706</v>
      </c>
    </row>
    <row r="184" customFormat="false" ht="15" hidden="false" customHeight="false" outlineLevel="0" collapsed="false">
      <c r="A184" s="25" t="n">
        <f aca="false">Prices!A185</f>
        <v>43978</v>
      </c>
      <c r="B184" s="26" t="n">
        <f aca="false">Prices!B185/Prices!B184-1</f>
        <v>0.0568127333458659</v>
      </c>
      <c r="C184" s="26" t="n">
        <f aca="false">Prices!C185/Prices!C184-1</f>
        <v>0.00193548387096776</v>
      </c>
      <c r="D184" s="26" t="n">
        <f aca="false">Prices!D185/Prices!D184-1</f>
        <v>0.0526596836521109</v>
      </c>
      <c r="E184" s="26" t="n">
        <f aca="false">Prices!E185/Prices!E184-1</f>
        <v>0.0601951447886349</v>
      </c>
      <c r="F184" s="26" t="n">
        <f aca="false">Prices!F185/Prices!F184-1</f>
        <v>0.0743494398860674</v>
      </c>
      <c r="G184" s="26" t="n">
        <f aca="false">Prices!G185/Prices!G184-1</f>
        <v>0.0348943969286319</v>
      </c>
      <c r="H184" s="26" t="n">
        <f aca="false">Prices!H185/Prices!H184-1</f>
        <v>0.0132180986273511</v>
      </c>
      <c r="I184" s="26" t="n">
        <f aca="false">Prices!I185/Prices!I184-1</f>
        <v>-0.00181448066675227</v>
      </c>
      <c r="J184" s="26" t="n">
        <f aca="false">Prices!J185/Prices!J184-1</f>
        <v>0.0292682514376372</v>
      </c>
      <c r="K184" s="26" t="n">
        <f aca="false">SUMPRODUCT(B184:J184,Optimization!$C$7:$K$7)</f>
        <v>0.0357243057633905</v>
      </c>
      <c r="L184" s="26" t="n">
        <f aca="false">SUMPRODUCT(B184:J184,Optimization!$C$8:$K$8)</f>
        <v>0.0374489706764929</v>
      </c>
      <c r="M184" s="26" t="n">
        <f aca="false">SUMPRODUCT(B184:J184,Optimization!$C$9:$K$9)</f>
        <v>0.0331562772371103</v>
      </c>
      <c r="N184" s="26" t="n">
        <f aca="false">SUMPRODUCT(B184:J184,Optimization!$C$10:$K$10)</f>
        <v>0.0410392722818078</v>
      </c>
      <c r="O184" s="27" t="n">
        <f aca="false">IF(AND(A184&gt;=Inputs!$C$6,A184&lt;=Inputs!$C$7),1,0)</f>
        <v>0</v>
      </c>
      <c r="P184" s="28" t="n">
        <f aca="false">P183*(1+K184)</f>
        <v>106.541597112398</v>
      </c>
      <c r="Q184" s="28" t="n">
        <f aca="false">MAX(Q183,P184)</f>
        <v>130.050976087113</v>
      </c>
      <c r="R184" s="29" t="n">
        <f aca="false">P184/Q184-1</f>
        <v>-0.180770492325778</v>
      </c>
      <c r="S184" s="26" t="n">
        <f aca="false">IF(A184=Inputs!$C$12,"",F184)</f>
        <v>0.0743494398860674</v>
      </c>
      <c r="T184" s="27" t="n">
        <f aca="false">IF(AND(A184&gt;Risk_Metrics!$C$28,P184&gt;=Risk_Metrics!$C$30),1,0)</f>
        <v>0</v>
      </c>
      <c r="U184" s="26" t="n">
        <f aca="false">IF(A184=Inputs!$C$12,"",K184)</f>
        <v>0.0357243057633905</v>
      </c>
    </row>
    <row r="185" customFormat="false" ht="15" hidden="false" customHeight="false" outlineLevel="0" collapsed="false">
      <c r="A185" s="25" t="n">
        <f aca="false">Prices!A186</f>
        <v>43979</v>
      </c>
      <c r="B185" s="26" t="n">
        <f aca="false">Prices!B186/Prices!B185-1</f>
        <v>-0.00706154865323239</v>
      </c>
      <c r="C185" s="26" t="n">
        <f aca="false">Prices!C186/Prices!C185-1</f>
        <v>-0.0137368963296844</v>
      </c>
      <c r="D185" s="26" t="n">
        <f aca="false">Prices!D186/Prices!D185-1</f>
        <v>-0.0151592210632027</v>
      </c>
      <c r="E185" s="26" t="n">
        <f aca="false">Prices!E186/Prices!E185-1</f>
        <v>-0.0455242478529027</v>
      </c>
      <c r="F185" s="26" t="n">
        <f aca="false">Prices!F186/Prices!F185-1</f>
        <v>-0.00657445633529752</v>
      </c>
      <c r="G185" s="26" t="n">
        <f aca="false">Prices!G186/Prices!G185-1</f>
        <v>-0.0550133959621386</v>
      </c>
      <c r="H185" s="26" t="n">
        <f aca="false">Prices!H186/Prices!H185-1</f>
        <v>-0.0080280983442047</v>
      </c>
      <c r="I185" s="26" t="n">
        <f aca="false">Prices!I186/Prices!I185-1</f>
        <v>-0.000454475434133683</v>
      </c>
      <c r="J185" s="26" t="n">
        <f aca="false">Prices!J186/Prices!J185-1</f>
        <v>-0.0108609599301137</v>
      </c>
      <c r="K185" s="26" t="n">
        <f aca="false">SUMPRODUCT(B185:J185,Optimization!$C$7:$K$7)</f>
        <v>-0.0180459222116567</v>
      </c>
      <c r="L185" s="26" t="n">
        <f aca="false">SUMPRODUCT(B185:J185,Optimization!$C$8:$K$8)</f>
        <v>-0.0115377147929619</v>
      </c>
      <c r="M185" s="26" t="n">
        <f aca="false">SUMPRODUCT(B185:J185,Optimization!$C$9:$K$9)</f>
        <v>-0.0104386551160705</v>
      </c>
      <c r="N185" s="26" t="n">
        <f aca="false">SUMPRODUCT(B185:J185,Optimization!$C$10:$K$10)</f>
        <v>-0.012371158435762</v>
      </c>
      <c r="O185" s="27" t="n">
        <f aca="false">IF(AND(A185&gt;=Inputs!$C$6,A185&lt;=Inputs!$C$7),1,0)</f>
        <v>0</v>
      </c>
      <c r="P185" s="28" t="n">
        <f aca="false">P184*(1+K185)</f>
        <v>104.618955738602</v>
      </c>
      <c r="Q185" s="28" t="n">
        <f aca="false">MAX(Q184,P185)</f>
        <v>130.050976087113</v>
      </c>
      <c r="R185" s="29" t="n">
        <f aca="false">P185/Q185-1</f>
        <v>-0.195554244294761</v>
      </c>
      <c r="S185" s="26" t="n">
        <f aca="false">IF(A185=Inputs!$C$12,"",F185)</f>
        <v>-0.00657445633529752</v>
      </c>
      <c r="T185" s="27" t="n">
        <f aca="false">IF(AND(A185&gt;Risk_Metrics!$C$28,P185&gt;=Risk_Metrics!$C$30),1,0)</f>
        <v>0</v>
      </c>
      <c r="U185" s="26" t="n">
        <f aca="false">IF(A185=Inputs!$C$12,"",K185)</f>
        <v>-0.0180459222116567</v>
      </c>
    </row>
    <row r="186" customFormat="false" ht="15" hidden="false" customHeight="false" outlineLevel="0" collapsed="false">
      <c r="A186" s="25" t="n">
        <f aca="false">Prices!A187</f>
        <v>43980</v>
      </c>
      <c r="B186" s="26" t="n">
        <f aca="false">Prices!B187/Prices!B186-1</f>
        <v>-0.034182197751778</v>
      </c>
      <c r="C186" s="26" t="n">
        <f aca="false">Prices!C187/Prices!C186-1</f>
        <v>-0.00870509287073307</v>
      </c>
      <c r="D186" s="26" t="n">
        <f aca="false">Prices!D187/Prices!D186-1</f>
        <v>0.00359153412006163</v>
      </c>
      <c r="E186" s="26" t="n">
        <f aca="false">Prices!E187/Prices!E186-1</f>
        <v>0.0310825294748123</v>
      </c>
      <c r="F186" s="26" t="n">
        <f aca="false">Prices!F187/Prices!F186-1</f>
        <v>-0.0160222874948596</v>
      </c>
      <c r="G186" s="26" t="n">
        <f aca="false">Prices!G187/Prices!G186-1</f>
        <v>-0.0286384051003946</v>
      </c>
      <c r="H186" s="26" t="n">
        <f aca="false">Prices!H187/Prices!H186-1</f>
        <v>0.0288315629742033</v>
      </c>
      <c r="I186" s="26" t="n">
        <f aca="false">Prices!I187/Prices!I186-1</f>
        <v>0.0161400962099709</v>
      </c>
      <c r="J186" s="26" t="n">
        <f aca="false">Prices!J187/Prices!J186-1</f>
        <v>0.0580954282291875</v>
      </c>
      <c r="K186" s="26" t="n">
        <f aca="false">SUMPRODUCT(B186:J186,Optimization!$C$7:$K$7)</f>
        <v>0.00557701864338559</v>
      </c>
      <c r="L186" s="26" t="n">
        <f aca="false">SUMPRODUCT(B186:J186,Optimization!$C$8:$K$8)</f>
        <v>0.00631171878251018</v>
      </c>
      <c r="M186" s="26" t="n">
        <f aca="false">SUMPRODUCT(B186:J186,Optimization!$C$9:$K$9)</f>
        <v>0.00904250569161408</v>
      </c>
      <c r="N186" s="26" t="n">
        <f aca="false">SUMPRODUCT(B186:J186,Optimization!$C$10:$K$10)</f>
        <v>0.00364307573688144</v>
      </c>
      <c r="O186" s="27" t="n">
        <f aca="false">IF(AND(A186&gt;=Inputs!$C$6,A186&lt;=Inputs!$C$7),1,0)</f>
        <v>0</v>
      </c>
      <c r="P186" s="28" t="n">
        <f aca="false">P185*(1+K186)</f>
        <v>105.202417605207</v>
      </c>
      <c r="Q186" s="28" t="n">
        <f aca="false">MAX(Q185,P186)</f>
        <v>130.050976087113</v>
      </c>
      <c r="R186" s="29" t="n">
        <f aca="false">P186/Q186-1</f>
        <v>-0.1910678353176</v>
      </c>
      <c r="S186" s="26" t="n">
        <f aca="false">IF(A186=Inputs!$C$12,"",F186)</f>
        <v>-0.0160222874948596</v>
      </c>
      <c r="T186" s="27" t="n">
        <f aca="false">IF(AND(A186&gt;Risk_Metrics!$C$28,P186&gt;=Risk_Metrics!$C$30),1,0)</f>
        <v>0</v>
      </c>
      <c r="U186" s="26" t="n">
        <f aca="false">IF(A186=Inputs!$C$12,"",K186)</f>
        <v>0.00557701864338559</v>
      </c>
    </row>
    <row r="187" customFormat="false" ht="15" hidden="false" customHeight="false" outlineLevel="0" collapsed="false">
      <c r="A187" s="25" t="n">
        <f aca="false">Prices!A188</f>
        <v>43983</v>
      </c>
      <c r="B187" s="26" t="n">
        <f aca="false">Prices!B188/Prices!B187-1</f>
        <v>0.0166271029276535</v>
      </c>
      <c r="C187" s="26" t="n">
        <f aca="false">Prices!C188/Prices!C187-1</f>
        <v>-0.000439099899870343</v>
      </c>
      <c r="D187" s="26" t="n">
        <f aca="false">Prices!D188/Prices!D187-1</f>
        <v>-0.00408992863445445</v>
      </c>
      <c r="E187" s="26" t="n">
        <f aca="false">Prices!E188/Prices!E187-1</f>
        <v>-0.0226091216216217</v>
      </c>
      <c r="F187" s="26" t="n">
        <f aca="false">Prices!F188/Prices!F187-1</f>
        <v>0.0371681798335248</v>
      </c>
      <c r="G187" s="26" t="n">
        <f aca="false">Prices!G188/Prices!G187-1</f>
        <v>0.076848715473721</v>
      </c>
      <c r="H187" s="26" t="n">
        <f aca="false">Prices!H188/Prices!H187-1</f>
        <v>-0.000491642084562538</v>
      </c>
      <c r="I187" s="26" t="n">
        <f aca="false">Prices!I188/Prices!I187-1</f>
        <v>0.0225950515991771</v>
      </c>
      <c r="J187" s="26" t="n">
        <f aca="false">Prices!J188/Prices!J187-1</f>
        <v>0.00792449056603783</v>
      </c>
      <c r="K187" s="26" t="n">
        <f aca="false">SUMPRODUCT(B187:J187,Optimization!$C$7:$K$7)</f>
        <v>0.014837083128845</v>
      </c>
      <c r="L187" s="26" t="n">
        <f aca="false">SUMPRODUCT(B187:J187,Optimization!$C$8:$K$8)</f>
        <v>0.00426270819375633</v>
      </c>
      <c r="M187" s="26" t="n">
        <f aca="false">SUMPRODUCT(B187:J187,Optimization!$C$9:$K$9)</f>
        <v>0.0067544953288023</v>
      </c>
      <c r="N187" s="26" t="n">
        <f aca="false">SUMPRODUCT(B187:J187,Optimization!$C$10:$K$10)</f>
        <v>0.00280759706136644</v>
      </c>
      <c r="O187" s="27" t="n">
        <f aca="false">IF(AND(A187&gt;=Inputs!$C$6,A187&lt;=Inputs!$C$7),1,0)</f>
        <v>0</v>
      </c>
      <c r="P187" s="28" t="n">
        <f aca="false">P186*(1+K187)</f>
        <v>106.763314620571</v>
      </c>
      <c r="Q187" s="28" t="n">
        <f aca="false">MAX(Q186,P187)</f>
        <v>130.050976087113</v>
      </c>
      <c r="R187" s="29" t="n">
        <f aca="false">P187/Q187-1</f>
        <v>-0.179065641544611</v>
      </c>
      <c r="S187" s="26" t="n">
        <f aca="false">IF(A187=Inputs!$C$12,"",F187)</f>
        <v>0.0371681798335248</v>
      </c>
      <c r="T187" s="27" t="n">
        <f aca="false">IF(AND(A187&gt;Risk_Metrics!$C$28,P187&gt;=Risk_Metrics!$C$30),1,0)</f>
        <v>0</v>
      </c>
      <c r="U187" s="26" t="n">
        <f aca="false">IF(A187=Inputs!$C$12,"",K187)</f>
        <v>0.014837083128845</v>
      </c>
    </row>
    <row r="188" customFormat="false" ht="15" hidden="false" customHeight="false" outlineLevel="0" collapsed="false">
      <c r="A188" s="25" t="n">
        <f aca="false">Prices!A189</f>
        <v>43984</v>
      </c>
      <c r="B188" s="26" t="n">
        <f aca="false">Prices!B189/Prices!B188-1</f>
        <v>0.0981308667787586</v>
      </c>
      <c r="C188" s="26" t="n">
        <f aca="false">Prices!C189/Prices!C188-1</f>
        <v>0.0204260935833995</v>
      </c>
      <c r="D188" s="26" t="n">
        <f aca="false">Prices!D189/Prices!D188-1</f>
        <v>0.0118069301848049</v>
      </c>
      <c r="E188" s="26" t="n">
        <f aca="false">Prices!E189/Prices!E188-1</f>
        <v>0.0170167238230066</v>
      </c>
      <c r="F188" s="26" t="n">
        <f aca="false">Prices!F189/Prices!F188-1</f>
        <v>0.0215016662425651</v>
      </c>
      <c r="G188" s="26" t="n">
        <f aca="false">Prices!G189/Prices!G188-1</f>
        <v>0.0192997298339439</v>
      </c>
      <c r="H188" s="26" t="n">
        <f aca="false">Prices!H189/Prices!H188-1</f>
        <v>0.0526315789473684</v>
      </c>
      <c r="I188" s="26" t="n">
        <f aca="false">Prices!I189/Prices!I188-1</f>
        <v>0.0063443009437969</v>
      </c>
      <c r="J188" s="26" t="n">
        <f aca="false">Prices!J189/Prices!J188-1</f>
        <v>0</v>
      </c>
      <c r="K188" s="26" t="n">
        <f aca="false">SUMPRODUCT(B188:J188,Optimization!$C$7:$K$7)</f>
        <v>0.0274619878152938</v>
      </c>
      <c r="L188" s="26" t="n">
        <f aca="false">SUMPRODUCT(B188:J188,Optimization!$C$8:$K$8)</f>
        <v>0.0239827894812709</v>
      </c>
      <c r="M188" s="26" t="n">
        <f aca="false">SUMPRODUCT(B188:J188,Optimization!$C$9:$K$9)</f>
        <v>0.0255379186899197</v>
      </c>
      <c r="N188" s="26" t="n">
        <f aca="false">SUMPRODUCT(B188:J188,Optimization!$C$10:$K$10)</f>
        <v>0.0264114561233243</v>
      </c>
      <c r="O188" s="27" t="n">
        <f aca="false">IF(AND(A188&gt;=Inputs!$C$6,A188&lt;=Inputs!$C$7),1,0)</f>
        <v>0</v>
      </c>
      <c r="P188" s="28" t="n">
        <f aca="false">P187*(1+K188)</f>
        <v>109.695247465802</v>
      </c>
      <c r="Q188" s="28" t="n">
        <f aca="false">MAX(Q187,P188)</f>
        <v>130.050976087113</v>
      </c>
      <c r="R188" s="29" t="n">
        <f aca="false">P188/Q188-1</f>
        <v>-0.156521152195553</v>
      </c>
      <c r="S188" s="26" t="n">
        <f aca="false">IF(A188=Inputs!$C$12,"",F188)</f>
        <v>0.0215016662425651</v>
      </c>
      <c r="T188" s="27" t="n">
        <f aca="false">IF(AND(A188&gt;Risk_Metrics!$C$28,P188&gt;=Risk_Metrics!$C$30),1,0)</f>
        <v>0</v>
      </c>
      <c r="U188" s="26" t="n">
        <f aca="false">IF(A188=Inputs!$C$12,"",K188)</f>
        <v>0.0274619878152938</v>
      </c>
    </row>
    <row r="189" customFormat="false" ht="15" hidden="false" customHeight="false" outlineLevel="0" collapsed="false">
      <c r="A189" s="25" t="n">
        <f aca="false">Prices!A190</f>
        <v>43985</v>
      </c>
      <c r="B189" s="26" t="n">
        <f aca="false">Prices!B190/Prices!B189-1</f>
        <v>-0.00553187234042563</v>
      </c>
      <c r="C189" s="26" t="n">
        <f aca="false">Prices!C190/Prices!C189-1</f>
        <v>0.0507964076967891</v>
      </c>
      <c r="D189" s="26" t="n">
        <f aca="false">Prices!D190/Prices!D189-1</f>
        <v>-0.0116691533064004</v>
      </c>
      <c r="E189" s="26" t="n">
        <f aca="false">Prices!E190/Prices!E189-1</f>
        <v>0.0724183006535948</v>
      </c>
      <c r="F189" s="26" t="n">
        <f aca="false">Prices!F190/Prices!F189-1</f>
        <v>0.0100233982430256</v>
      </c>
      <c r="G189" s="26" t="n">
        <f aca="false">Prices!G190/Prices!G189-1</f>
        <v>0.0374284472667745</v>
      </c>
      <c r="H189" s="26" t="n">
        <f aca="false">Prices!H190/Prices!H189-1</f>
        <v>0.0032709813084113</v>
      </c>
      <c r="I189" s="26" t="n">
        <f aca="false">Prices!I190/Prices!I189-1</f>
        <v>0.0260869644868886</v>
      </c>
      <c r="J189" s="26" t="n">
        <f aca="false">Prices!J190/Prices!J189-1</f>
        <v>0.0044927369708998</v>
      </c>
      <c r="K189" s="26" t="n">
        <f aca="false">SUMPRODUCT(B189:J189,Optimization!$C$7:$K$7)</f>
        <v>0.020812912331062</v>
      </c>
      <c r="L189" s="26" t="n">
        <f aca="false">SUMPRODUCT(B189:J189,Optimization!$C$8:$K$8)</f>
        <v>0.00383589104870197</v>
      </c>
      <c r="M189" s="26" t="n">
        <f aca="false">SUMPRODUCT(B189:J189,Optimization!$C$9:$K$9)</f>
        <v>0.00757211191921928</v>
      </c>
      <c r="N189" s="26" t="n">
        <f aca="false">SUMPRODUCT(B189:J189,Optimization!$C$10:$K$10)</f>
        <v>0.00174404218474419</v>
      </c>
      <c r="O189" s="27" t="n">
        <f aca="false">IF(AND(A189&gt;=Inputs!$C$6,A189&lt;=Inputs!$C$7),1,0)</f>
        <v>0</v>
      </c>
      <c r="P189" s="28" t="n">
        <f aca="false">P188*(1+K189)</f>
        <v>111.978325034442</v>
      </c>
      <c r="Q189" s="28" t="n">
        <f aca="false">MAX(Q188,P189)</f>
        <v>130.050976087113</v>
      </c>
      <c r="R189" s="29" t="n">
        <f aca="false">P189/Q189-1</f>
        <v>-0.138965900883094</v>
      </c>
      <c r="S189" s="26" t="n">
        <f aca="false">IF(A189=Inputs!$C$12,"",F189)</f>
        <v>0.0100233982430256</v>
      </c>
      <c r="T189" s="27" t="n">
        <f aca="false">IF(AND(A189&gt;Risk_Metrics!$C$28,P189&gt;=Risk_Metrics!$C$30),1,0)</f>
        <v>0</v>
      </c>
      <c r="U189" s="26" t="n">
        <f aca="false">IF(A189=Inputs!$C$12,"",K189)</f>
        <v>0.020812912331062</v>
      </c>
    </row>
    <row r="190" customFormat="false" ht="15" hidden="false" customHeight="false" outlineLevel="0" collapsed="false">
      <c r="A190" s="25" t="n">
        <f aca="false">Prices!A191</f>
        <v>43986</v>
      </c>
      <c r="B190" s="26" t="n">
        <f aca="false">Prices!B191/Prices!B190-1</f>
        <v>-0.0295250522240029</v>
      </c>
      <c r="C190" s="26" t="n">
        <f aca="false">Prices!C191/Prices!C190-1</f>
        <v>0.0155674316994556</v>
      </c>
      <c r="D190" s="26" t="n">
        <f aca="false">Prices!D191/Prices!D190-1</f>
        <v>0.0118069301848049</v>
      </c>
      <c r="E190" s="26" t="n">
        <f aca="false">Prices!E191/Prices!E190-1</f>
        <v>-0.0248659190638714</v>
      </c>
      <c r="F190" s="26" t="n">
        <f aca="false">Prices!F191/Prices!F190-1</f>
        <v>0.00529284051516843</v>
      </c>
      <c r="G190" s="26" t="n">
        <f aca="false">Prices!G191/Prices!G190-1</f>
        <v>-0.0241935069691642</v>
      </c>
      <c r="H190" s="26" t="n">
        <f aca="false">Prices!H191/Prices!H190-1</f>
        <v>-0.00186301825165436</v>
      </c>
      <c r="I190" s="26" t="n">
        <f aca="false">Prices!I191/Prices!I190-1</f>
        <v>-0.00847455590309731</v>
      </c>
      <c r="J190" s="26" t="n">
        <f aca="false">Prices!J191/Prices!J190-1</f>
        <v>0.0372717107715244</v>
      </c>
      <c r="K190" s="26" t="n">
        <f aca="false">SUMPRODUCT(B190:J190,Optimization!$C$7:$K$7)</f>
        <v>-0.00210923769342631</v>
      </c>
      <c r="L190" s="26" t="n">
        <f aca="false">SUMPRODUCT(B190:J190,Optimization!$C$8:$K$8)</f>
        <v>0.00801181444848383</v>
      </c>
      <c r="M190" s="26" t="n">
        <f aca="false">SUMPRODUCT(B190:J190,Optimization!$C$9:$K$9)</f>
        <v>0.00780388545572647</v>
      </c>
      <c r="N190" s="26" t="n">
        <f aca="false">SUMPRODUCT(B190:J190,Optimization!$C$10:$K$10)</f>
        <v>0.0080058302019678</v>
      </c>
      <c r="O190" s="27" t="n">
        <f aca="false">IF(AND(A190&gt;=Inputs!$C$6,A190&lt;=Inputs!$C$7),1,0)</f>
        <v>0</v>
      </c>
      <c r="P190" s="28" t="n">
        <f aca="false">P189*(1+K190)</f>
        <v>111.742136130432</v>
      </c>
      <c r="Q190" s="28" t="n">
        <f aca="false">MAX(Q189,P190)</f>
        <v>130.050976087113</v>
      </c>
      <c r="R190" s="29" t="n">
        <f aca="false">P190/Q190-1</f>
        <v>-0.140782026460277</v>
      </c>
      <c r="S190" s="26" t="n">
        <f aca="false">IF(A190=Inputs!$C$12,"",F190)</f>
        <v>0.00529284051516843</v>
      </c>
      <c r="T190" s="27" t="n">
        <f aca="false">IF(AND(A190&gt;Risk_Metrics!$C$28,P190&gt;=Risk_Metrics!$C$30),1,0)</f>
        <v>0</v>
      </c>
      <c r="U190" s="26" t="n">
        <f aca="false">IF(A190=Inputs!$C$12,"",K190)</f>
        <v>-0.00210923769342631</v>
      </c>
    </row>
    <row r="191" customFormat="false" ht="15" hidden="false" customHeight="false" outlineLevel="0" collapsed="false">
      <c r="A191" s="25" t="n">
        <f aca="false">Prices!A192</f>
        <v>43987</v>
      </c>
      <c r="B191" s="26" t="n">
        <f aca="false">Prices!B192/Prices!B191-1</f>
        <v>0.0163138664833804</v>
      </c>
      <c r="C191" s="26" t="n">
        <f aca="false">Prices!C192/Prices!C191-1</f>
        <v>-0.0102864056013229</v>
      </c>
      <c r="D191" s="26" t="n">
        <f aca="false">Prices!D192/Prices!D191-1</f>
        <v>-0.0329781853362854</v>
      </c>
      <c r="E191" s="26" t="n">
        <f aca="false">Prices!E192/Prices!E191-1</f>
        <v>0.0210000000000001</v>
      </c>
      <c r="F191" s="26" t="n">
        <f aca="false">Prices!F192/Prices!F191-1</f>
        <v>-0.0227048451914191</v>
      </c>
      <c r="G191" s="26" t="n">
        <f aca="false">Prices!G192/Prices!G191-1</f>
        <v>0.00434971726837752</v>
      </c>
      <c r="H191" s="26" t="n">
        <f aca="false">Prices!H192/Prices!H191-1</f>
        <v>0.0312645823611759</v>
      </c>
      <c r="I191" s="26" t="n">
        <f aca="false">Prices!I192/Prices!I191-1</f>
        <v>-0.0128205510003646</v>
      </c>
      <c r="J191" s="26" t="n">
        <f aca="false">Prices!J192/Prices!J191-1</f>
        <v>-0.0188645167085878</v>
      </c>
      <c r="K191" s="26" t="n">
        <f aca="false">SUMPRODUCT(B191:J191,Optimization!$C$7:$K$7)</f>
        <v>-0.00274737085833843</v>
      </c>
      <c r="L191" s="26" t="n">
        <f aca="false">SUMPRODUCT(B191:J191,Optimization!$C$8:$K$8)</f>
        <v>-0.0179613999287969</v>
      </c>
      <c r="M191" s="26" t="n">
        <f aca="false">SUMPRODUCT(B191:J191,Optimization!$C$9:$K$9)</f>
        <v>-0.0145306613648168</v>
      </c>
      <c r="N191" s="26" t="n">
        <f aca="false">SUMPRODUCT(B191:J191,Optimization!$C$10:$K$10)</f>
        <v>-0.0182983917981433</v>
      </c>
      <c r="O191" s="27" t="n">
        <f aca="false">IF(AND(A191&gt;=Inputs!$C$6,A191&lt;=Inputs!$C$7),1,0)</f>
        <v>0</v>
      </c>
      <c r="P191" s="28" t="n">
        <f aca="false">P190*(1+K191)</f>
        <v>111.435139041979</v>
      </c>
      <c r="Q191" s="28" t="n">
        <f aca="false">MAX(Q190,P191)</f>
        <v>130.050976087113</v>
      </c>
      <c r="R191" s="29" t="n">
        <f aca="false">P191/Q191-1</f>
        <v>-0.14314261688174</v>
      </c>
      <c r="S191" s="26" t="n">
        <f aca="false">IF(A191=Inputs!$C$12,"",F191)</f>
        <v>-0.0227048451914191</v>
      </c>
      <c r="T191" s="27" t="n">
        <f aca="false">IF(AND(A191&gt;Risk_Metrics!$C$28,P191&gt;=Risk_Metrics!$C$30),1,0)</f>
        <v>0</v>
      </c>
      <c r="U191" s="26" t="n">
        <f aca="false">IF(A191=Inputs!$C$12,"",K191)</f>
        <v>-0.00274737085833843</v>
      </c>
    </row>
    <row r="192" customFormat="false" ht="15" hidden="false" customHeight="false" outlineLevel="0" collapsed="false">
      <c r="A192" s="25" t="n">
        <f aca="false">Prices!A193</f>
        <v>43990</v>
      </c>
      <c r="B192" s="26" t="n">
        <f aca="false">Prices!B193/Prices!B192-1</f>
        <v>0.0260303915848326</v>
      </c>
      <c r="C192" s="26" t="n">
        <f aca="false">Prices!C193/Prices!C192-1</f>
        <v>0.0540044619114637</v>
      </c>
      <c r="D192" s="26" t="n">
        <f aca="false">Prices!D193/Prices!D192-1</f>
        <v>0.0283316384224364</v>
      </c>
      <c r="E192" s="26" t="n">
        <f aca="false">Prices!E193/Prices!E192-1</f>
        <v>0.0577865083251714</v>
      </c>
      <c r="F192" s="26" t="n">
        <f aca="false">Prices!F193/Prices!F192-1</f>
        <v>0.00336697280275611</v>
      </c>
      <c r="G192" s="26" t="n">
        <f aca="false">Prices!G193/Prices!G192-1</f>
        <v>-0.0103941100043308</v>
      </c>
      <c r="H192" s="26" t="n">
        <f aca="false">Prices!H193/Prices!H192-1</f>
        <v>0.0194570588235292</v>
      </c>
      <c r="I192" s="26" t="n">
        <f aca="false">Prices!I193/Prices!I192-1</f>
        <v>0.00216454377212161</v>
      </c>
      <c r="J192" s="26" t="n">
        <f aca="false">Prices!J193/Prices!J192-1</f>
        <v>0.00311294628981962</v>
      </c>
      <c r="K192" s="26" t="n">
        <f aca="false">SUMPRODUCT(B192:J192,Optimization!$C$7:$K$7)</f>
        <v>0.0204289346586444</v>
      </c>
      <c r="L192" s="26" t="n">
        <f aca="false">SUMPRODUCT(B192:J192,Optimization!$C$8:$K$8)</f>
        <v>0.0245565344235872</v>
      </c>
      <c r="M192" s="26" t="n">
        <f aca="false">SUMPRODUCT(B192:J192,Optimization!$C$9:$K$9)</f>
        <v>0.0222530341924265</v>
      </c>
      <c r="N192" s="26" t="n">
        <f aca="false">SUMPRODUCT(B192:J192,Optimization!$C$10:$K$10)</f>
        <v>0.0268254038571656</v>
      </c>
      <c r="O192" s="27" t="n">
        <f aca="false">IF(AND(A192&gt;=Inputs!$C$6,A192&lt;=Inputs!$C$7),1,0)</f>
        <v>0</v>
      </c>
      <c r="P192" s="28" t="n">
        <f aca="false">P191*(1+K192)</f>
        <v>113.711640216145</v>
      </c>
      <c r="Q192" s="28" t="n">
        <f aca="false">MAX(Q191,P192)</f>
        <v>130.050976087113</v>
      </c>
      <c r="R192" s="29" t="n">
        <f aca="false">P192/Q192-1</f>
        <v>-0.12563793339024</v>
      </c>
      <c r="S192" s="26" t="n">
        <f aca="false">IF(A192=Inputs!$C$12,"",F192)</f>
        <v>0.00336697280275611</v>
      </c>
      <c r="T192" s="27" t="n">
        <f aca="false">IF(AND(A192&gt;Risk_Metrics!$C$28,P192&gt;=Risk_Metrics!$C$30),1,0)</f>
        <v>0</v>
      </c>
      <c r="U192" s="26" t="n">
        <f aca="false">IF(A192=Inputs!$C$12,"",K192)</f>
        <v>0.0204289346586444</v>
      </c>
    </row>
    <row r="193" customFormat="false" ht="15" hidden="false" customHeight="false" outlineLevel="0" collapsed="false">
      <c r="A193" s="25" t="n">
        <f aca="false">Prices!A194</f>
        <v>43991</v>
      </c>
      <c r="B193" s="26" t="n">
        <f aca="false">Prices!B194/Prices!B193-1</f>
        <v>-0.0126849474140581</v>
      </c>
      <c r="C193" s="26" t="n">
        <f aca="false">Prices!C194/Prices!C193-1</f>
        <v>-0.0125676914153131</v>
      </c>
      <c r="D193" s="26" t="n">
        <f aca="false">Prices!D194/Prices!D193-1</f>
        <v>0.00408163265306105</v>
      </c>
      <c r="E193" s="26" t="n">
        <f aca="false">Prices!E194/Prices!E193-1</f>
        <v>-0.00694442113554583</v>
      </c>
      <c r="F193" s="26" t="n">
        <f aca="false">Prices!F194/Prices!F193-1</f>
        <v>0.0151006858692293</v>
      </c>
      <c r="G193" s="26" t="n">
        <f aca="false">Prices!G194/Prices!G193-1</f>
        <v>0.0472647702407001</v>
      </c>
      <c r="H193" s="26" t="n">
        <f aca="false">Prices!H194/Prices!H193-1</f>
        <v>-0.0359521510895626</v>
      </c>
      <c r="I193" s="26" t="n">
        <f aca="false">Prices!I194/Prices!I193-1</f>
        <v>-0.0103671594679835</v>
      </c>
      <c r="J193" s="26" t="n">
        <f aca="false">Prices!J194/Prices!J193-1</f>
        <v>0.00383357071620249</v>
      </c>
      <c r="K193" s="26" t="n">
        <f aca="false">SUMPRODUCT(B193:J193,Optimization!$C$7:$K$7)</f>
        <v>-0.000915079004807807</v>
      </c>
      <c r="L193" s="26" t="n">
        <f aca="false">SUMPRODUCT(B193:J193,Optimization!$C$8:$K$8)</f>
        <v>-0.00218840399609027</v>
      </c>
      <c r="M193" s="26" t="n">
        <f aca="false">SUMPRODUCT(B193:J193,Optimization!$C$9:$K$9)</f>
        <v>-0.00347669965525824</v>
      </c>
      <c r="N193" s="26" t="n">
        <f aca="false">SUMPRODUCT(B193:J193,Optimization!$C$10:$K$10)</f>
        <v>-0.00174134067740242</v>
      </c>
      <c r="O193" s="27" t="n">
        <f aca="false">IF(AND(A193&gt;=Inputs!$C$6,A193&lt;=Inputs!$C$7),1,0)</f>
        <v>0</v>
      </c>
      <c r="P193" s="28" t="n">
        <f aca="false">P192*(1+K193)</f>
        <v>113.60758508158</v>
      </c>
      <c r="Q193" s="28" t="n">
        <f aca="false">MAX(Q192,P193)</f>
        <v>130.050976087113</v>
      </c>
      <c r="R193" s="29" t="n">
        <f aca="false">P193/Q193-1</f>
        <v>-0.126438043759995</v>
      </c>
      <c r="S193" s="26" t="n">
        <f aca="false">IF(A193=Inputs!$C$12,"",F193)</f>
        <v>0.0151006858692293</v>
      </c>
      <c r="T193" s="27" t="n">
        <f aca="false">IF(AND(A193&gt;Risk_Metrics!$C$28,P193&gt;=Risk_Metrics!$C$30),1,0)</f>
        <v>0</v>
      </c>
      <c r="U193" s="26" t="n">
        <f aca="false">IF(A193=Inputs!$C$12,"",K193)</f>
        <v>-0.000915079004807807</v>
      </c>
    </row>
    <row r="194" customFormat="false" ht="15" hidden="false" customHeight="false" outlineLevel="0" collapsed="false">
      <c r="A194" s="25" t="n">
        <f aca="false">Prices!A195</f>
        <v>43992</v>
      </c>
      <c r="B194" s="26" t="n">
        <f aca="false">Prices!B195/Prices!B194-1</f>
        <v>-0.0389721619063776</v>
      </c>
      <c r="C194" s="26" t="n">
        <f aca="false">Prices!C195/Prices!C194-1</f>
        <v>-0.00646166059255271</v>
      </c>
      <c r="D194" s="26" t="n">
        <f aca="false">Prices!D195/Prices!D194-1</f>
        <v>-0.00660574186991869</v>
      </c>
      <c r="E194" s="26" t="n">
        <f aca="false">Prices!E195/Prices!E194-1</f>
        <v>-0.0419581332420451</v>
      </c>
      <c r="F194" s="26" t="n">
        <f aca="false">Prices!F195/Prices!F194-1</f>
        <v>0.0125619690353367</v>
      </c>
      <c r="G194" s="26" t="n">
        <f aca="false">Prices!G195/Prices!G194-1</f>
        <v>-0.0513998746343501</v>
      </c>
      <c r="H194" s="26" t="n">
        <f aca="false">Prices!H195/Prices!H194-1</f>
        <v>-0.0147329196470039</v>
      </c>
      <c r="I194" s="26" t="n">
        <f aca="false">Prices!I195/Prices!I194-1</f>
        <v>-0.0163684053302392</v>
      </c>
      <c r="J194" s="26" t="n">
        <f aca="false">Prices!J195/Prices!J194-1</f>
        <v>-0.0143662660714214</v>
      </c>
      <c r="K194" s="26" t="n">
        <f aca="false">SUMPRODUCT(B194:J194,Optimization!$C$7:$K$7)</f>
        <v>-0.0198114660287302</v>
      </c>
      <c r="L194" s="26" t="n">
        <f aca="false">SUMPRODUCT(B194:J194,Optimization!$C$8:$K$8)</f>
        <v>-0.0139142860677119</v>
      </c>
      <c r="M194" s="26" t="n">
        <f aca="false">SUMPRODUCT(B194:J194,Optimization!$C$9:$K$9)</f>
        <v>-0.0156429380022694</v>
      </c>
      <c r="N194" s="26" t="n">
        <f aca="false">SUMPRODUCT(B194:J194,Optimization!$C$10:$K$10)</f>
        <v>-0.0138269411444677</v>
      </c>
      <c r="O194" s="27" t="n">
        <f aca="false">IF(AND(A194&gt;=Inputs!$C$6,A194&lt;=Inputs!$C$7),1,0)</f>
        <v>0</v>
      </c>
      <c r="P194" s="28" t="n">
        <f aca="false">P193*(1+K194)</f>
        <v>111.356852269131</v>
      </c>
      <c r="Q194" s="28" t="n">
        <f aca="false">MAX(Q193,P194)</f>
        <v>130.050976087113</v>
      </c>
      <c r="R194" s="29" t="n">
        <f aca="false">P194/Q194-1</f>
        <v>-0.143744586780035</v>
      </c>
      <c r="S194" s="26" t="n">
        <f aca="false">IF(A194=Inputs!$C$12,"",F194)</f>
        <v>0.0125619690353367</v>
      </c>
      <c r="T194" s="27" t="n">
        <f aca="false">IF(AND(A194&gt;Risk_Metrics!$C$28,P194&gt;=Risk_Metrics!$C$30),1,0)</f>
        <v>0</v>
      </c>
      <c r="U194" s="26" t="n">
        <f aca="false">IF(A194=Inputs!$C$12,"",K194)</f>
        <v>-0.0198114660287302</v>
      </c>
    </row>
    <row r="195" customFormat="false" ht="15" hidden="false" customHeight="false" outlineLevel="0" collapsed="false">
      <c r="A195" s="25" t="n">
        <f aca="false">Prices!A196</f>
        <v>43994</v>
      </c>
      <c r="B195" s="26" t="n">
        <f aca="false">Prices!B196/Prices!B195-1</f>
        <v>-0.0260695626989848</v>
      </c>
      <c r="C195" s="26" t="n">
        <f aca="false">Prices!C196/Prices!C195-1</f>
        <v>-0.0175404210665975</v>
      </c>
      <c r="D195" s="26" t="n">
        <f aca="false">Prices!D196/Prices!D195-1</f>
        <v>-0.0158567271537968</v>
      </c>
      <c r="E195" s="26" t="n">
        <f aca="false">Prices!E196/Prices!E195-1</f>
        <v>-0.0197079571634043</v>
      </c>
      <c r="F195" s="26" t="n">
        <f aca="false">Prices!F196/Prices!F195-1</f>
        <v>0.0218739291011241</v>
      </c>
      <c r="G195" s="26" t="n">
        <f aca="false">Prices!G196/Prices!G195-1</f>
        <v>-0.0308370470996896</v>
      </c>
      <c r="H195" s="26" t="n">
        <f aca="false">Prices!H196/Prices!H195-1</f>
        <v>-0.0373831775700934</v>
      </c>
      <c r="I195" s="26" t="n">
        <f aca="false">Prices!I196/Prices!I195-1</f>
        <v>-0.00687817755838094</v>
      </c>
      <c r="J195" s="26" t="n">
        <f aca="false">Prices!J196/Prices!J195-1</f>
        <v>-0.0147601288789644</v>
      </c>
      <c r="K195" s="26" t="n">
        <f aca="false">SUMPRODUCT(B195:J195,Optimization!$C$7:$K$7)</f>
        <v>-0.0163510300098653</v>
      </c>
      <c r="L195" s="26" t="n">
        <f aca="false">SUMPRODUCT(B195:J195,Optimization!$C$8:$K$8)</f>
        <v>-0.016608628373408</v>
      </c>
      <c r="M195" s="26" t="n">
        <f aca="false">SUMPRODUCT(B195:J195,Optimization!$C$9:$K$9)</f>
        <v>-0.0164420868406586</v>
      </c>
      <c r="N195" s="26" t="n">
        <f aca="false">SUMPRODUCT(B195:J195,Optimization!$C$10:$K$10)</f>
        <v>-0.0174255195851644</v>
      </c>
      <c r="O195" s="27" t="n">
        <f aca="false">IF(AND(A195&gt;=Inputs!$C$6,A195&lt;=Inputs!$C$7),1,0)</f>
        <v>0</v>
      </c>
      <c r="P195" s="28" t="n">
        <f aca="false">P194*(1+K195)</f>
        <v>109.536053035874</v>
      </c>
      <c r="Q195" s="28" t="n">
        <f aca="false">MAX(Q194,P195)</f>
        <v>130.050976087113</v>
      </c>
      <c r="R195" s="29" t="n">
        <f aca="false">P195/Q195-1</f>
        <v>-0.157745244737704</v>
      </c>
      <c r="S195" s="26" t="n">
        <f aca="false">IF(A195=Inputs!$C$12,"",F195)</f>
        <v>0.0218739291011241</v>
      </c>
      <c r="T195" s="27" t="n">
        <f aca="false">IF(AND(A195&gt;Risk_Metrics!$C$28,P195&gt;=Risk_Metrics!$C$30),1,0)</f>
        <v>0</v>
      </c>
      <c r="U195" s="26" t="n">
        <f aca="false">IF(A195=Inputs!$C$12,"",K195)</f>
        <v>-0.0163510300098653</v>
      </c>
    </row>
    <row r="196" customFormat="false" ht="15" hidden="false" customHeight="false" outlineLevel="0" collapsed="false">
      <c r="A196" s="25" t="n">
        <f aca="false">Prices!A197</f>
        <v>43997</v>
      </c>
      <c r="B196" s="26" t="n">
        <f aca="false">Prices!B197/Prices!B196-1</f>
        <v>0.0130404944644358</v>
      </c>
      <c r="C196" s="26" t="n">
        <f aca="false">Prices!C197/Prices!C196-1</f>
        <v>-0.00682056154823341</v>
      </c>
      <c r="D196" s="26" t="n">
        <f aca="false">Prices!D197/Prices!D196-1</f>
        <v>0.00571725571725579</v>
      </c>
      <c r="E196" s="26" t="n">
        <f aca="false">Prices!E197/Prices!E196-1</f>
        <v>0.0101762221351149</v>
      </c>
      <c r="F196" s="26" t="n">
        <f aca="false">Prices!F197/Prices!F196-1</f>
        <v>0.015974489283588</v>
      </c>
      <c r="G196" s="26" t="n">
        <f aca="false">Prices!G197/Prices!G196-1</f>
        <v>-0.0145454545454545</v>
      </c>
      <c r="H196" s="26" t="n">
        <f aca="false">Prices!H197/Prices!H196-1</f>
        <v>0.00485441747572812</v>
      </c>
      <c r="I196" s="26" t="n">
        <f aca="false">Prices!I197/Prices!I196-1</f>
        <v>-0.0270331247181025</v>
      </c>
      <c r="J196" s="26" t="n">
        <f aca="false">Prices!J197/Prices!J196-1</f>
        <v>0.008988744981695</v>
      </c>
      <c r="K196" s="26" t="n">
        <f aca="false">SUMPRODUCT(B196:J196,Optimization!$C$7:$K$7)</f>
        <v>0.00115027591622525</v>
      </c>
      <c r="L196" s="26" t="n">
        <f aca="false">SUMPRODUCT(B196:J196,Optimization!$C$8:$K$8)</f>
        <v>0.00253278625234604</v>
      </c>
      <c r="M196" s="26" t="n">
        <f aca="false">SUMPRODUCT(B196:J196,Optimization!$C$9:$K$9)</f>
        <v>0.00150188383357519</v>
      </c>
      <c r="N196" s="26" t="n">
        <f aca="false">SUMPRODUCT(B196:J196,Optimization!$C$10:$K$10)</f>
        <v>0.0046140319350795</v>
      </c>
      <c r="O196" s="27" t="n">
        <f aca="false">IF(AND(A196&gt;=Inputs!$C$6,A196&lt;=Inputs!$C$7),1,0)</f>
        <v>0</v>
      </c>
      <c r="P196" s="28" t="n">
        <f aca="false">P195*(1+K196)</f>
        <v>109.66204971964</v>
      </c>
      <c r="Q196" s="28" t="n">
        <f aca="false">MAX(Q195,P196)</f>
        <v>130.050976087113</v>
      </c>
      <c r="R196" s="29" t="n">
        <f aca="false">P196/Q196-1</f>
        <v>-0.1567764193774</v>
      </c>
      <c r="S196" s="26" t="n">
        <f aca="false">IF(A196=Inputs!$C$12,"",F196)</f>
        <v>0.015974489283588</v>
      </c>
      <c r="T196" s="27" t="n">
        <f aca="false">IF(AND(A196&gt;Risk_Metrics!$C$28,P196&gt;=Risk_Metrics!$C$30),1,0)</f>
        <v>0</v>
      </c>
      <c r="U196" s="26" t="n">
        <f aca="false">IF(A196=Inputs!$C$12,"",K196)</f>
        <v>0.00115027591622525</v>
      </c>
    </row>
    <row r="197" customFormat="false" ht="15" hidden="false" customHeight="false" outlineLevel="0" collapsed="false">
      <c r="A197" s="25" t="n">
        <f aca="false">Prices!A198</f>
        <v>43998</v>
      </c>
      <c r="B197" s="26" t="n">
        <f aca="false">Prices!B198/Prices!B197-1</f>
        <v>-0.0289069338054863</v>
      </c>
      <c r="C197" s="26" t="n">
        <f aca="false">Prices!C198/Prices!C197-1</f>
        <v>-0.000201898622653962</v>
      </c>
      <c r="D197" s="26" t="n">
        <f aca="false">Prices!D198/Prices!D197-1</f>
        <v>-0.0124030490956073</v>
      </c>
      <c r="E197" s="26" t="n">
        <f aca="false">Prices!E198/Prices!E197-1</f>
        <v>-0.0130221864122313</v>
      </c>
      <c r="F197" s="26" t="n">
        <f aca="false">Prices!F198/Prices!F197-1</f>
        <v>-0.0075471645782812</v>
      </c>
      <c r="G197" s="26" t="n">
        <f aca="false">Prices!G198/Prices!G197-1</f>
        <v>-0.0119926199261992</v>
      </c>
      <c r="H197" s="26" t="n">
        <f aca="false">Prices!H198/Prices!H197-1</f>
        <v>0.0323671481948236</v>
      </c>
      <c r="I197" s="26" t="n">
        <f aca="false">Prices!I198/Prices!I197-1</f>
        <v>-0.0319172554190922</v>
      </c>
      <c r="J197" s="26" t="n">
        <f aca="false">Prices!J198/Prices!J197-1</f>
        <v>0.0280252036372457</v>
      </c>
      <c r="K197" s="26" t="n">
        <f aca="false">SUMPRODUCT(B197:J197,Optimization!$C$7:$K$7)</f>
        <v>-0.00506652844749801</v>
      </c>
      <c r="L197" s="26" t="n">
        <f aca="false">SUMPRODUCT(B197:J197,Optimization!$C$8:$K$8)</f>
        <v>-0.0086545904836818</v>
      </c>
      <c r="M197" s="26" t="n">
        <f aca="false">SUMPRODUCT(B197:J197,Optimization!$C$9:$K$9)</f>
        <v>-0.00702466953809044</v>
      </c>
      <c r="N197" s="26" t="n">
        <f aca="false">SUMPRODUCT(B197:J197,Optimization!$C$10:$K$10)</f>
        <v>-0.00839853576140488</v>
      </c>
      <c r="O197" s="27" t="n">
        <f aca="false">IF(AND(A197&gt;=Inputs!$C$6,A197&lt;=Inputs!$C$7),1,0)</f>
        <v>0</v>
      </c>
      <c r="P197" s="28" t="n">
        <f aca="false">P196*(1+K197)</f>
        <v>109.106443825124</v>
      </c>
      <c r="Q197" s="28" t="n">
        <f aca="false">MAX(Q196,P197)</f>
        <v>130.050976087113</v>
      </c>
      <c r="R197" s="29" t="n">
        <f aca="false">P197/Q197-1</f>
        <v>-0.161048635636225</v>
      </c>
      <c r="S197" s="26" t="n">
        <f aca="false">IF(A197=Inputs!$C$12,"",F197)</f>
        <v>-0.0075471645782812</v>
      </c>
      <c r="T197" s="27" t="n">
        <f aca="false">IF(AND(A197&gt;Risk_Metrics!$C$28,P197&gt;=Risk_Metrics!$C$30),1,0)</f>
        <v>0</v>
      </c>
      <c r="U197" s="26" t="n">
        <f aca="false">IF(A197=Inputs!$C$12,"",K197)</f>
        <v>-0.00506652844749801</v>
      </c>
    </row>
    <row r="198" customFormat="false" ht="15" hidden="false" customHeight="false" outlineLevel="0" collapsed="false">
      <c r="A198" s="25" t="n">
        <f aca="false">Prices!A199</f>
        <v>43999</v>
      </c>
      <c r="B198" s="26" t="n">
        <f aca="false">Prices!B199/Prices!B198-1</f>
        <v>0.0265116046511629</v>
      </c>
      <c r="C198" s="26" t="n">
        <f aca="false">Prices!C199/Prices!C198-1</f>
        <v>0.034343393939394</v>
      </c>
      <c r="D198" s="26" t="n">
        <f aca="false">Prices!D199/Prices!D198-1</f>
        <v>0.0230244885910784</v>
      </c>
      <c r="E198" s="26" t="n">
        <f aca="false">Prices!E199/Prices!E198-1</f>
        <v>0.0164302721648131</v>
      </c>
      <c r="F198" s="26" t="n">
        <f aca="false">Prices!F199/Prices!F198-1</f>
        <v>0.0361216636457968</v>
      </c>
      <c r="G198" s="26" t="n">
        <f aca="false">Prices!G199/Prices!G198-1</f>
        <v>0.0546218487394956</v>
      </c>
      <c r="H198" s="26" t="n">
        <f aca="false">Prices!H199/Prices!H198-1</f>
        <v>0.00327561987479563</v>
      </c>
      <c r="I198" s="26" t="n">
        <f aca="false">Prices!I199/Prices!I198-1</f>
        <v>-0.00379511343556771</v>
      </c>
      <c r="J198" s="26" t="n">
        <f aca="false">Prices!J199/Prices!J198-1</f>
        <v>0.0146236146348369</v>
      </c>
      <c r="K198" s="26" t="n">
        <f aca="false">SUMPRODUCT(B198:J198,Optimization!$C$7:$K$7)</f>
        <v>0.0227952658673117</v>
      </c>
      <c r="L198" s="26" t="n">
        <f aca="false">SUMPRODUCT(B198:J198,Optimization!$C$8:$K$8)</f>
        <v>0.0210029493029694</v>
      </c>
      <c r="M198" s="26" t="n">
        <f aca="false">SUMPRODUCT(B198:J198,Optimization!$C$9:$K$9)</f>
        <v>0.0197424125873199</v>
      </c>
      <c r="N198" s="26" t="n">
        <f aca="false">SUMPRODUCT(B198:J198,Optimization!$C$10:$K$10)</f>
        <v>0.0230199545033525</v>
      </c>
      <c r="O198" s="27" t="n">
        <f aca="false">IF(AND(A198&gt;=Inputs!$C$6,A198&lt;=Inputs!$C$7),1,0)</f>
        <v>0</v>
      </c>
      <c r="P198" s="28" t="n">
        <f aca="false">P197*(1+K198)</f>
        <v>111.593554219955</v>
      </c>
      <c r="Q198" s="28" t="n">
        <f aca="false">MAX(Q197,P198)</f>
        <v>130.050976087113</v>
      </c>
      <c r="R198" s="29" t="n">
        <f aca="false">P198/Q198-1</f>
        <v>-0.141924516235809</v>
      </c>
      <c r="S198" s="26" t="n">
        <f aca="false">IF(A198=Inputs!$C$12,"",F198)</f>
        <v>0.0361216636457968</v>
      </c>
      <c r="T198" s="27" t="n">
        <f aca="false">IF(AND(A198&gt;Risk_Metrics!$C$28,P198&gt;=Risk_Metrics!$C$30),1,0)</f>
        <v>0</v>
      </c>
      <c r="U198" s="26" t="n">
        <f aca="false">IF(A198=Inputs!$C$12,"",K198)</f>
        <v>0.0227952658673117</v>
      </c>
    </row>
    <row r="199" customFormat="false" ht="15" hidden="false" customHeight="false" outlineLevel="0" collapsed="false">
      <c r="A199" s="25" t="n">
        <f aca="false">Prices!A200</f>
        <v>44000</v>
      </c>
      <c r="B199" s="26" t="n">
        <f aca="false">Prices!B200/Prices!B199-1</f>
        <v>-0.0043044405143734</v>
      </c>
      <c r="C199" s="26" t="n">
        <f aca="false">Prices!C200/Prices!C199-1</f>
        <v>-0.0164061920471169</v>
      </c>
      <c r="D199" s="26" t="n">
        <f aca="false">Prices!D200/Prices!D199-1</f>
        <v>0.0271100269621496</v>
      </c>
      <c r="E199" s="26" t="n">
        <f aca="false">Prices!E200/Prices!E199-1</f>
        <v>0.00930680826319841</v>
      </c>
      <c r="F199" s="26" t="n">
        <f aca="false">Prices!F200/Prices!F199-1</f>
        <v>0.0214066875248264</v>
      </c>
      <c r="G199" s="26" t="n">
        <f aca="false">Prices!G200/Prices!G199-1</f>
        <v>-0.0345285967242142</v>
      </c>
      <c r="H199" s="26" t="n">
        <f aca="false">Prices!H200/Prices!H199-1</f>
        <v>0.00746263957730231</v>
      </c>
      <c r="I199" s="26" t="n">
        <f aca="false">Prices!I200/Prices!I199-1</f>
        <v>0.0414285432793473</v>
      </c>
      <c r="J199" s="26" t="n">
        <f aca="false">Prices!J200/Prices!J199-1</f>
        <v>-0.000533861200465169</v>
      </c>
      <c r="K199" s="26" t="n">
        <f aca="false">SUMPRODUCT(B199:J199,Optimization!$C$7:$K$7)</f>
        <v>0.00566017945785049</v>
      </c>
      <c r="L199" s="26" t="n">
        <f aca="false">SUMPRODUCT(B199:J199,Optimization!$C$8:$K$8)</f>
        <v>0.0133630586424329</v>
      </c>
      <c r="M199" s="26" t="n">
        <f aca="false">SUMPRODUCT(B199:J199,Optimization!$C$9:$K$9)</f>
        <v>0.0105218125174915</v>
      </c>
      <c r="N199" s="26" t="n">
        <f aca="false">SUMPRODUCT(B199:J199,Optimization!$C$10:$K$10)</f>
        <v>0.0119675502545237</v>
      </c>
      <c r="O199" s="27" t="n">
        <f aca="false">IF(AND(A199&gt;=Inputs!$C$6,A199&lt;=Inputs!$C$7),1,0)</f>
        <v>0</v>
      </c>
      <c r="P199" s="28" t="n">
        <f aca="false">P198*(1+K199)</f>
        <v>112.225193763179</v>
      </c>
      <c r="Q199" s="28" t="n">
        <f aca="false">MAX(Q198,P199)</f>
        <v>130.050976087113</v>
      </c>
      <c r="R199" s="29" t="n">
        <f aca="false">P199/Q199-1</f>
        <v>-0.137067655009322</v>
      </c>
      <c r="S199" s="26" t="n">
        <f aca="false">IF(A199=Inputs!$C$12,"",F199)</f>
        <v>0.0214066875248264</v>
      </c>
      <c r="T199" s="27" t="n">
        <f aca="false">IF(AND(A199&gt;Risk_Metrics!$C$28,P199&gt;=Risk_Metrics!$C$30),1,0)</f>
        <v>0</v>
      </c>
      <c r="U199" s="26" t="n">
        <f aca="false">IF(A199=Inputs!$C$12,"",K199)</f>
        <v>0.00566017945785049</v>
      </c>
    </row>
    <row r="200" customFormat="false" ht="15" hidden="false" customHeight="false" outlineLevel="0" collapsed="false">
      <c r="A200" s="25" t="n">
        <f aca="false">Prices!A201</f>
        <v>44001</v>
      </c>
      <c r="B200" s="26" t="n">
        <f aca="false">Prices!B201/Prices!B200-1</f>
        <v>0.0143344934167351</v>
      </c>
      <c r="C200" s="26" t="n">
        <f aca="false">Prices!C201/Prices!C200-1</f>
        <v>0.0127084786991962</v>
      </c>
      <c r="D200" s="26" t="n">
        <f aca="false">Prices!D201/Prices!D200-1</f>
        <v>0.0214143426294822</v>
      </c>
      <c r="E200" s="26" t="n">
        <f aca="false">Prices!E201/Prices!E200-1</f>
        <v>0.0167435820612372</v>
      </c>
      <c r="F200" s="26" t="n">
        <f aca="false">Prices!F201/Prices!F200-1</f>
        <v>-0.0140718046280361</v>
      </c>
      <c r="G200" s="26" t="n">
        <f aca="false">Prices!G201/Prices!G200-1</f>
        <v>0.0100872081653922</v>
      </c>
      <c r="H200" s="26" t="n">
        <f aca="false">Prices!H201/Prices!H200-1</f>
        <v>-0.00601856481481478</v>
      </c>
      <c r="I200" s="26" t="n">
        <f aca="false">Prices!I201/Prices!I200-1</f>
        <v>0.0301784124012849</v>
      </c>
      <c r="J200" s="26" t="n">
        <f aca="false">Prices!J201/Prices!J200-1</f>
        <v>-0.0178030983729072</v>
      </c>
      <c r="K200" s="26" t="n">
        <f aca="false">SUMPRODUCT(B200:J200,Optimization!$C$7:$K$7)</f>
        <v>0.00750811661750775</v>
      </c>
      <c r="L200" s="26" t="n">
        <f aca="false">SUMPRODUCT(B200:J200,Optimization!$C$8:$K$8)</f>
        <v>0.0135565936854399</v>
      </c>
      <c r="M200" s="26" t="n">
        <f aca="false">SUMPRODUCT(B200:J200,Optimization!$C$9:$K$9)</f>
        <v>0.0109568372118255</v>
      </c>
      <c r="N200" s="26" t="n">
        <f aca="false">SUMPRODUCT(B200:J200,Optimization!$C$10:$K$10)</f>
        <v>0.0134966989116378</v>
      </c>
      <c r="O200" s="27" t="n">
        <f aca="false">IF(AND(A200&gt;=Inputs!$C$6,A200&lt;=Inputs!$C$7),1,0)</f>
        <v>0</v>
      </c>
      <c r="P200" s="28" t="n">
        <f aca="false">P199*(1+K200)</f>
        <v>113.067793605375</v>
      </c>
      <c r="Q200" s="28" t="n">
        <f aca="false">MAX(Q199,P200)</f>
        <v>130.050976087113</v>
      </c>
      <c r="R200" s="29" t="n">
        <f aca="false">P200/Q200-1</f>
        <v>-0.130588658330113</v>
      </c>
      <c r="S200" s="26" t="n">
        <f aca="false">IF(A200=Inputs!$C$12,"",F200)</f>
        <v>-0.0140718046280361</v>
      </c>
      <c r="T200" s="27" t="n">
        <f aca="false">IF(AND(A200&gt;Risk_Metrics!$C$28,P200&gt;=Risk_Metrics!$C$30),1,0)</f>
        <v>0</v>
      </c>
      <c r="U200" s="26" t="n">
        <f aca="false">IF(A200=Inputs!$C$12,"",K200)</f>
        <v>0.00750811661750775</v>
      </c>
    </row>
    <row r="201" customFormat="false" ht="15" hidden="false" customHeight="false" outlineLevel="0" collapsed="false">
      <c r="A201" s="25" t="n">
        <f aca="false">Prices!A202</f>
        <v>44004</v>
      </c>
      <c r="B201" s="26" t="n">
        <f aca="false">Prices!B202/Prices!B201-1</f>
        <v>0.0383579839229258</v>
      </c>
      <c r="C201" s="26" t="n">
        <f aca="false">Prices!C202/Prices!C201-1</f>
        <v>-0.0131372352941177</v>
      </c>
      <c r="D201" s="26" t="n">
        <f aca="false">Prices!D202/Prices!D201-1</f>
        <v>-0.00731345685031692</v>
      </c>
      <c r="E201" s="26" t="n">
        <f aca="false">Prices!E202/Prices!E201-1</f>
        <v>-0.0157517892242584</v>
      </c>
      <c r="F201" s="26" t="n">
        <f aca="false">Prices!F202/Prices!F201-1</f>
        <v>-0.0130579596761101</v>
      </c>
      <c r="G201" s="26" t="n">
        <f aca="false">Prices!G202/Prices!G201-1</f>
        <v>-0.00136182472256807</v>
      </c>
      <c r="H201" s="26" t="n">
        <f aca="false">Prices!H202/Prices!H201-1</f>
        <v>-0.0242197496143339</v>
      </c>
      <c r="I201" s="26" t="n">
        <f aca="false">Prices!I202/Prices!I201-1</f>
        <v>-0.00954289448386025</v>
      </c>
      <c r="J201" s="26" t="n">
        <f aca="false">Prices!J202/Prices!J201-1</f>
        <v>-0.0030813486707032</v>
      </c>
      <c r="K201" s="26" t="n">
        <f aca="false">SUMPRODUCT(B201:J201,Optimization!$C$7:$K$7)</f>
        <v>-0.00545647495703809</v>
      </c>
      <c r="L201" s="26" t="n">
        <f aca="false">SUMPRODUCT(B201:J201,Optimization!$C$8:$K$8)</f>
        <v>-0.00042681010555963</v>
      </c>
      <c r="M201" s="26" t="n">
        <f aca="false">SUMPRODUCT(B201:J201,Optimization!$C$9:$K$9)</f>
        <v>0.000907412018133073</v>
      </c>
      <c r="N201" s="26" t="n">
        <f aca="false">SUMPRODUCT(B201:J201,Optimization!$C$10:$K$10)</f>
        <v>0.000547101408473324</v>
      </c>
      <c r="O201" s="27" t="n">
        <f aca="false">IF(AND(A201&gt;=Inputs!$C$6,A201&lt;=Inputs!$C$7),1,0)</f>
        <v>0</v>
      </c>
      <c r="P201" s="28" t="n">
        <f aca="false">P200*(1+K201)</f>
        <v>112.45084202112</v>
      </c>
      <c r="Q201" s="28" t="n">
        <f aca="false">MAX(Q200,P201)</f>
        <v>130.050976087113</v>
      </c>
      <c r="R201" s="29" t="n">
        <f aca="false">P201/Q201-1</f>
        <v>-0.135332579543299</v>
      </c>
      <c r="S201" s="26" t="n">
        <f aca="false">IF(A201=Inputs!$C$12,"",F201)</f>
        <v>-0.0130579596761101</v>
      </c>
      <c r="T201" s="27" t="n">
        <f aca="false">IF(AND(A201&gt;Risk_Metrics!$C$28,P201&gt;=Risk_Metrics!$C$30),1,0)</f>
        <v>0</v>
      </c>
      <c r="U201" s="26" t="n">
        <f aca="false">IF(A201=Inputs!$C$12,"",K201)</f>
        <v>-0.00545647495703809</v>
      </c>
    </row>
    <row r="202" customFormat="false" ht="15" hidden="false" customHeight="false" outlineLevel="0" collapsed="false">
      <c r="A202" s="25" t="n">
        <f aca="false">Prices!A203</f>
        <v>44005</v>
      </c>
      <c r="B202" s="26" t="n">
        <f aca="false">Prices!B203/Prices!B202-1</f>
        <v>0.0298119889865633</v>
      </c>
      <c r="C202" s="26" t="n">
        <f aca="false">Prices!C203/Prices!C202-1</f>
        <v>0.038744227324772</v>
      </c>
      <c r="D202" s="26" t="n">
        <f aca="false">Prices!D203/Prices!D202-1</f>
        <v>-0.0191553035778338</v>
      </c>
      <c r="E202" s="26" t="n">
        <f aca="false">Prices!E203/Prices!E202-1</f>
        <v>0.0126090197570796</v>
      </c>
      <c r="F202" s="26" t="n">
        <f aca="false">Prices!F203/Prices!F202-1</f>
        <v>0.00584605440437769</v>
      </c>
      <c r="G202" s="26" t="n">
        <f aca="false">Prices!G203/Prices!G202-1</f>
        <v>-0.00409090909090903</v>
      </c>
      <c r="H202" s="26" t="n">
        <f aca="false">Prices!H203/Prices!H202-1</f>
        <v>0.0334128385005805</v>
      </c>
      <c r="I202" s="26" t="n">
        <f aca="false">Prices!I203/Prices!I202-1</f>
        <v>-0.000672182287838052</v>
      </c>
      <c r="J202" s="26" t="n">
        <f aca="false">Prices!J203/Prices!J202-1</f>
        <v>0.0107272727272727</v>
      </c>
      <c r="K202" s="26" t="n">
        <f aca="false">SUMPRODUCT(B202:J202,Optimization!$C$7:$K$7)</f>
        <v>0.0119147785271183</v>
      </c>
      <c r="L202" s="26" t="n">
        <f aca="false">SUMPRODUCT(B202:J202,Optimization!$C$8:$K$8)</f>
        <v>0.00283539980990225</v>
      </c>
      <c r="M202" s="26" t="n">
        <f aca="false">SUMPRODUCT(B202:J202,Optimization!$C$9:$K$9)</f>
        <v>0.00782693925246125</v>
      </c>
      <c r="N202" s="26" t="n">
        <f aca="false">SUMPRODUCT(B202:J202,Optimization!$C$10:$K$10)</f>
        <v>0.00257961833675196</v>
      </c>
      <c r="O202" s="27" t="n">
        <f aca="false">IF(AND(A202&gt;=Inputs!$C$6,A202&lt;=Inputs!$C$7),1,0)</f>
        <v>0</v>
      </c>
      <c r="P202" s="28" t="n">
        <f aca="false">P201*(1+K202)</f>
        <v>113.79066889899</v>
      </c>
      <c r="Q202" s="28" t="n">
        <f aca="false">MAX(Q201,P202)</f>
        <v>130.050976087113</v>
      </c>
      <c r="R202" s="29" t="n">
        <f aca="false">P202/Q202-1</f>
        <v>-0.125030258728943</v>
      </c>
      <c r="S202" s="26" t="n">
        <f aca="false">IF(A202=Inputs!$C$12,"",F202)</f>
        <v>0.00584605440437769</v>
      </c>
      <c r="T202" s="27" t="n">
        <f aca="false">IF(AND(A202&gt;Risk_Metrics!$C$28,P202&gt;=Risk_Metrics!$C$30),1,0)</f>
        <v>0</v>
      </c>
      <c r="U202" s="26" t="n">
        <f aca="false">IF(A202=Inputs!$C$12,"",K202)</f>
        <v>0.0119147785271183</v>
      </c>
    </row>
    <row r="203" customFormat="false" ht="15" hidden="false" customHeight="false" outlineLevel="0" collapsed="false">
      <c r="A203" s="25" t="n">
        <f aca="false">Prices!A204</f>
        <v>44006</v>
      </c>
      <c r="B203" s="26" t="n">
        <f aca="false">Prices!B204/Prices!B203-1</f>
        <v>-0.0467799264434624</v>
      </c>
      <c r="C203" s="26" t="n">
        <f aca="false">Prices!C204/Prices!C203-1</f>
        <v>0.00707725734802045</v>
      </c>
      <c r="D203" s="26" t="n">
        <f aca="false">Prices!D204/Prices!D203-1</f>
        <v>0.0265398611186709</v>
      </c>
      <c r="E203" s="26" t="n">
        <f aca="false">Prices!E204/Prices!E203-1</f>
        <v>-0.0186781139213658</v>
      </c>
      <c r="F203" s="26" t="n">
        <f aca="false">Prices!F204/Prices!F203-1</f>
        <v>-0.0272254055057186</v>
      </c>
      <c r="G203" s="26" t="n">
        <f aca="false">Prices!G204/Prices!G203-1</f>
        <v>-0.0232770424463716</v>
      </c>
      <c r="H203" s="26" t="n">
        <f aca="false">Prices!H204/Prices!H203-1</f>
        <v>-0.0300230946882216</v>
      </c>
      <c r="I203" s="26" t="n">
        <f aca="false">Prices!I204/Prices!I203-1</f>
        <v>-0.00762331929813276</v>
      </c>
      <c r="J203" s="26" t="n">
        <f aca="false">Prices!J204/Prices!J203-1</f>
        <v>-0.00359778737182948</v>
      </c>
      <c r="K203" s="26" t="n">
        <f aca="false">SUMPRODUCT(B203:J203,Optimization!$C$7:$K$7)</f>
        <v>-0.0137319523564901</v>
      </c>
      <c r="L203" s="26" t="n">
        <f aca="false">SUMPRODUCT(B203:J203,Optimization!$C$8:$K$8)</f>
        <v>0.00413926193761579</v>
      </c>
      <c r="M203" s="26" t="n">
        <f aca="false">SUMPRODUCT(B203:J203,Optimization!$C$9:$K$9)</f>
        <v>-0.00153785792328384</v>
      </c>
      <c r="N203" s="26" t="n">
        <f aca="false">SUMPRODUCT(B203:J203,Optimization!$C$10:$K$10)</f>
        <v>0.00518083516106628</v>
      </c>
      <c r="O203" s="27" t="n">
        <f aca="false">IF(AND(A203&gt;=Inputs!$C$6,A203&lt;=Inputs!$C$7),1,0)</f>
        <v>0</v>
      </c>
      <c r="P203" s="28" t="n">
        <f aca="false">P202*(1+K203)</f>
        <v>112.228100855056</v>
      </c>
      <c r="Q203" s="28" t="n">
        <f aca="false">MAX(Q202,P203)</f>
        <v>130.050976087113</v>
      </c>
      <c r="R203" s="29" t="n">
        <f aca="false">P203/Q203-1</f>
        <v>-0.137045301529448</v>
      </c>
      <c r="S203" s="26" t="n">
        <f aca="false">IF(A203=Inputs!$C$12,"",F203)</f>
        <v>-0.0272254055057186</v>
      </c>
      <c r="T203" s="27" t="n">
        <f aca="false">IF(AND(A203&gt;Risk_Metrics!$C$28,P203&gt;=Risk_Metrics!$C$30),1,0)</f>
        <v>0</v>
      </c>
      <c r="U203" s="26" t="n">
        <f aca="false">IF(A203=Inputs!$C$12,"",K203)</f>
        <v>-0.0137319523564901</v>
      </c>
    </row>
    <row r="204" customFormat="false" ht="15" hidden="false" customHeight="false" outlineLevel="0" collapsed="false">
      <c r="A204" s="25" t="n">
        <f aca="false">Prices!A205</f>
        <v>44007</v>
      </c>
      <c r="B204" s="26" t="n">
        <f aca="false">Prices!B205/Prices!B204-1</f>
        <v>0.0541373911561927</v>
      </c>
      <c r="C204" s="26" t="n">
        <f aca="false">Prices!C205/Prices!C204-1</f>
        <v>0.0446343615176275</v>
      </c>
      <c r="D204" s="26" t="n">
        <f aca="false">Prices!D205/Prices!D204-1</f>
        <v>-0.00195126829268288</v>
      </c>
      <c r="E204" s="26" t="n">
        <f aca="false">Prices!E205/Prices!E204-1</f>
        <v>0.0114690336749634</v>
      </c>
      <c r="F204" s="26" t="n">
        <f aca="false">Prices!F205/Prices!F204-1</f>
        <v>0.0188679429628731</v>
      </c>
      <c r="G204" s="26" t="n">
        <f aca="false">Prices!G205/Prices!G204-1</f>
        <v>-0.00467294392523354</v>
      </c>
      <c r="H204" s="26" t="n">
        <f aca="false">Prices!H205/Prices!H204-1</f>
        <v>0.0223809047619048</v>
      </c>
      <c r="I204" s="26" t="n">
        <f aca="false">Prices!I205/Prices!I204-1</f>
        <v>0.0499322003199216</v>
      </c>
      <c r="J204" s="26" t="n">
        <f aca="false">Prices!J205/Prices!J204-1</f>
        <v>0.0110128364508546</v>
      </c>
      <c r="K204" s="26" t="n">
        <f aca="false">SUMPRODUCT(B204:J204,Optimization!$C$7:$K$7)</f>
        <v>0.022867828736269</v>
      </c>
      <c r="L204" s="26" t="n">
        <f aca="false">SUMPRODUCT(B204:J204,Optimization!$C$8:$K$8)</f>
        <v>0.0201935952729255</v>
      </c>
      <c r="M204" s="26" t="n">
        <f aca="false">SUMPRODUCT(B204:J204,Optimization!$C$9:$K$9)</f>
        <v>0.0253645493171733</v>
      </c>
      <c r="N204" s="26" t="n">
        <f aca="false">SUMPRODUCT(B204:J204,Optimization!$C$10:$K$10)</f>
        <v>0.0181829981472395</v>
      </c>
      <c r="O204" s="27" t="n">
        <f aca="false">IF(AND(A204&gt;=Inputs!$C$6,A204&lt;=Inputs!$C$7),1,0)</f>
        <v>0</v>
      </c>
      <c r="P204" s="28" t="n">
        <f aca="false">P203*(1+K204)</f>
        <v>114.794513844806</v>
      </c>
      <c r="Q204" s="28" t="n">
        <f aca="false">MAX(Q203,P204)</f>
        <v>130.050976087113</v>
      </c>
      <c r="R204" s="29" t="n">
        <f aca="false">P204/Q204-1</f>
        <v>-0.117311401277664</v>
      </c>
      <c r="S204" s="26" t="n">
        <f aca="false">IF(A204=Inputs!$C$12,"",F204)</f>
        <v>0.0188679429628731</v>
      </c>
      <c r="T204" s="27" t="n">
        <f aca="false">IF(AND(A204&gt;Risk_Metrics!$C$28,P204&gt;=Risk_Metrics!$C$30),1,0)</f>
        <v>0</v>
      </c>
      <c r="U204" s="26" t="n">
        <f aca="false">IF(A204=Inputs!$C$12,"",K204)</f>
        <v>0.022867828736269</v>
      </c>
    </row>
    <row r="205" customFormat="false" ht="15" hidden="false" customHeight="false" outlineLevel="0" collapsed="false">
      <c r="A205" s="25" t="n">
        <f aca="false">Prices!A206</f>
        <v>44008</v>
      </c>
      <c r="B205" s="26" t="n">
        <f aca="false">Prices!B206/Prices!B205-1</f>
        <v>-0.0336117104963796</v>
      </c>
      <c r="C205" s="26" t="n">
        <f aca="false">Prices!C206/Prices!C205-1</f>
        <v>-0.0281817838677659</v>
      </c>
      <c r="D205" s="26" t="n">
        <f aca="false">Prices!D206/Prices!D205-1</f>
        <v>0.00244384176167367</v>
      </c>
      <c r="E205" s="26" t="n">
        <f aca="false">Prices!E206/Prices!E205-1</f>
        <v>-0.0289505662496847</v>
      </c>
      <c r="F205" s="26" t="n">
        <f aca="false">Prices!F206/Prices!F205-1</f>
        <v>-0.0391975622655375</v>
      </c>
      <c r="G205" s="26" t="n">
        <f aca="false">Prices!G206/Prices!G205-1</f>
        <v>-0.0502346971941172</v>
      </c>
      <c r="H205" s="26" t="n">
        <f aca="false">Prices!H206/Prices!H205-1</f>
        <v>-0.0293432244687111</v>
      </c>
      <c r="I205" s="26" t="n">
        <f aca="false">Prices!I206/Prices!I205-1</f>
        <v>-0.0185065700333531</v>
      </c>
      <c r="J205" s="26" t="n">
        <f aca="false">Prices!J206/Prices!J205-1</f>
        <v>-0.00678573214285716</v>
      </c>
      <c r="K205" s="26" t="n">
        <f aca="false">SUMPRODUCT(B205:J205,Optimization!$C$7:$K$7)</f>
        <v>-0.0258186672174147</v>
      </c>
      <c r="L205" s="26" t="n">
        <f aca="false">SUMPRODUCT(B205:J205,Optimization!$C$8:$K$8)</f>
        <v>-0.0108005411466642</v>
      </c>
      <c r="M205" s="26" t="n">
        <f aca="false">SUMPRODUCT(B205:J205,Optimization!$C$9:$K$9)</f>
        <v>-0.0137664096999644</v>
      </c>
      <c r="N205" s="26" t="n">
        <f aca="false">SUMPRODUCT(B205:J205,Optimization!$C$10:$K$10)</f>
        <v>-0.0102857780153676</v>
      </c>
      <c r="O205" s="27" t="n">
        <f aca="false">IF(AND(A205&gt;=Inputs!$C$6,A205&lt;=Inputs!$C$7),1,0)</f>
        <v>0</v>
      </c>
      <c r="P205" s="28" t="n">
        <f aca="false">P204*(1+K205)</f>
        <v>111.830672493462</v>
      </c>
      <c r="Q205" s="28" t="n">
        <f aca="false">MAX(Q204,P205)</f>
        <v>130.050976087113</v>
      </c>
      <c r="R205" s="29" t="n">
        <f aca="false">P205/Q205-1</f>
        <v>-0.140101244464682</v>
      </c>
      <c r="S205" s="26" t="n">
        <f aca="false">IF(A205=Inputs!$C$12,"",F205)</f>
        <v>-0.0391975622655375</v>
      </c>
      <c r="T205" s="27" t="n">
        <f aca="false">IF(AND(A205&gt;Risk_Metrics!$C$28,P205&gt;=Risk_Metrics!$C$30),1,0)</f>
        <v>0</v>
      </c>
      <c r="U205" s="26" t="n">
        <f aca="false">IF(A205=Inputs!$C$12,"",K205)</f>
        <v>-0.0258186672174147</v>
      </c>
    </row>
    <row r="206" customFormat="false" ht="15" hidden="false" customHeight="false" outlineLevel="0" collapsed="false">
      <c r="A206" s="25" t="n">
        <f aca="false">Prices!A207</f>
        <v>44011</v>
      </c>
      <c r="B206" s="26" t="n">
        <f aca="false">Prices!B207/Prices!B206-1</f>
        <v>0.0250594075381421</v>
      </c>
      <c r="C206" s="26" t="n">
        <f aca="false">Prices!C207/Prices!C206-1</f>
        <v>0.0282507400655094</v>
      </c>
      <c r="D206" s="26" t="n">
        <f aca="false">Prices!D207/Prices!D206-1</f>
        <v>-0.0131643100926379</v>
      </c>
      <c r="E206" s="26" t="n">
        <f aca="false">Prices!E207/Prices!E206-1</f>
        <v>0.0238509068322983</v>
      </c>
      <c r="F206" s="26" t="n">
        <f aca="false">Prices!F207/Prices!F206-1</f>
        <v>0.0279473389740286</v>
      </c>
      <c r="G206" s="26" t="n">
        <f aca="false">Prices!G207/Prices!G206-1</f>
        <v>0.0242214038556599</v>
      </c>
      <c r="H206" s="26" t="n">
        <f aca="false">Prices!H207/Prices!H206-1</f>
        <v>0.0393474088291748</v>
      </c>
      <c r="I206" s="26" t="n">
        <f aca="false">Prices!I207/Prices!I206-1</f>
        <v>0.00745448298332807</v>
      </c>
      <c r="J206" s="26" t="n">
        <f aca="false">Prices!J207/Prices!J206-1</f>
        <v>0.000179827403448796</v>
      </c>
      <c r="K206" s="26" t="n">
        <f aca="false">SUMPRODUCT(B206:J206,Optimization!$C$7:$K$7)</f>
        <v>0.0181274673765502</v>
      </c>
      <c r="L206" s="26" t="n">
        <f aca="false">SUMPRODUCT(B206:J206,Optimization!$C$8:$K$8)</f>
        <v>0.00247240641642453</v>
      </c>
      <c r="M206" s="26" t="n">
        <f aca="false">SUMPRODUCT(B206:J206,Optimization!$C$9:$K$9)</f>
        <v>0.00593108641743122</v>
      </c>
      <c r="N206" s="26" t="n">
        <f aca="false">SUMPRODUCT(B206:J206,Optimization!$C$10:$K$10)</f>
        <v>0.00203133139921304</v>
      </c>
      <c r="O206" s="27" t="n">
        <f aca="false">IF(AND(A206&gt;=Inputs!$C$6,A206&lt;=Inputs!$C$7),1,0)</f>
        <v>0</v>
      </c>
      <c r="P206" s="28" t="n">
        <f aca="false">P205*(1+K206)</f>
        <v>113.857879360785</v>
      </c>
      <c r="Q206" s="28" t="n">
        <f aca="false">MAX(Q205,P206)</f>
        <v>130.050976087113</v>
      </c>
      <c r="R206" s="29" t="n">
        <f aca="false">P206/Q206-1</f>
        <v>-0.12451345782658</v>
      </c>
      <c r="S206" s="26" t="n">
        <f aca="false">IF(A206=Inputs!$C$12,"",F206)</f>
        <v>0.0279473389740286</v>
      </c>
      <c r="T206" s="27" t="n">
        <f aca="false">IF(AND(A206&gt;Risk_Metrics!$C$28,P206&gt;=Risk_Metrics!$C$30),1,0)</f>
        <v>0</v>
      </c>
      <c r="U206" s="26" t="n">
        <f aca="false">IF(A206=Inputs!$C$12,"",K206)</f>
        <v>0.0181274673765502</v>
      </c>
    </row>
    <row r="207" customFormat="false" ht="15" hidden="false" customHeight="false" outlineLevel="0" collapsed="false">
      <c r="A207" s="25" t="n">
        <f aca="false">Prices!A208</f>
        <v>44012</v>
      </c>
      <c r="B207" s="26" t="n">
        <f aca="false">Prices!B208/Prices!B207-1</f>
        <v>0.00948368789286214</v>
      </c>
      <c r="C207" s="26" t="n">
        <f aca="false">Prices!C208/Prices!C207-1</f>
        <v>0.00236533842794762</v>
      </c>
      <c r="D207" s="26" t="n">
        <f aca="false">Prices!D208/Prices!D207-1</f>
        <v>0.0217391304347827</v>
      </c>
      <c r="E207" s="26" t="n">
        <f aca="false">Prices!E208/Prices!E207-1</f>
        <v>-0.00727976237029282</v>
      </c>
      <c r="F207" s="26" t="n">
        <f aca="false">Prices!F208/Prices!F207-1</f>
        <v>0.00562491776493257</v>
      </c>
      <c r="G207" s="26" t="n">
        <f aca="false">Prices!G208/Prices!G207-1</f>
        <v>-0.0106177128676503</v>
      </c>
      <c r="H207" s="26" t="n">
        <f aca="false">Prices!H208/Prices!H207-1</f>
        <v>-0.00507853185595575</v>
      </c>
      <c r="I207" s="26" t="n">
        <f aca="false">Prices!I208/Prices!I207-1</f>
        <v>-0.0191511964754143</v>
      </c>
      <c r="J207" s="26" t="n">
        <f aca="false">Prices!J208/Prices!J207-1</f>
        <v>0.0052129605390443</v>
      </c>
      <c r="K207" s="26" t="n">
        <f aca="false">SUMPRODUCT(B207:J207,Optimization!$C$7:$K$7)</f>
        <v>0.000255425721139568</v>
      </c>
      <c r="L207" s="26" t="n">
        <f aca="false">SUMPRODUCT(B207:J207,Optimization!$C$8:$K$8)</f>
        <v>0.0105151994403969</v>
      </c>
      <c r="M207" s="26" t="n">
        <f aca="false">SUMPRODUCT(B207:J207,Optimization!$C$9:$K$9)</f>
        <v>0.00719886827477225</v>
      </c>
      <c r="N207" s="26" t="n">
        <f aca="false">SUMPRODUCT(B207:J207,Optimization!$C$10:$K$10)</f>
        <v>0.0130127762637808</v>
      </c>
      <c r="O207" s="27" t="n">
        <f aca="false">IF(AND(A207&gt;=Inputs!$C$6,A207&lt;=Inputs!$C$7),1,0)</f>
        <v>0</v>
      </c>
      <c r="P207" s="28" t="n">
        <f aca="false">P206*(1+K207)</f>
        <v>113.886961591728</v>
      </c>
      <c r="Q207" s="28" t="n">
        <f aca="false">MAX(Q206,P207)</f>
        <v>130.050976087113</v>
      </c>
      <c r="R207" s="29" t="n">
        <f aca="false">P207/Q207-1</f>
        <v>-0.124289836045197</v>
      </c>
      <c r="S207" s="26" t="n">
        <f aca="false">IF(A207=Inputs!$C$12,"",F207)</f>
        <v>0.00562491776493257</v>
      </c>
      <c r="T207" s="27" t="n">
        <f aca="false">IF(AND(A207&gt;Risk_Metrics!$C$28,P207&gt;=Risk_Metrics!$C$30),1,0)</f>
        <v>0</v>
      </c>
      <c r="U207" s="26" t="n">
        <f aca="false">IF(A207=Inputs!$C$12,"",K207)</f>
        <v>0.000255425721139568</v>
      </c>
    </row>
    <row r="208" customFormat="false" ht="15" hidden="false" customHeight="false" outlineLevel="0" collapsed="false">
      <c r="A208" s="25" t="n">
        <f aca="false">Prices!A209</f>
        <v>44013</v>
      </c>
      <c r="B208" s="26" t="n">
        <f aca="false">Prices!B209/Prices!B208-1</f>
        <v>0.00187891432655873</v>
      </c>
      <c r="C208" s="26" t="n">
        <f aca="false">Prices!C209/Prices!C208-1</f>
        <v>0.0170629699956975</v>
      </c>
      <c r="D208" s="26" t="n">
        <f aca="false">Prices!D209/Prices!D208-1</f>
        <v>0.00580265957446802</v>
      </c>
      <c r="E208" s="26" t="n">
        <f aca="false">Prices!E209/Prices!E208-1</f>
        <v>0.0351991689073576</v>
      </c>
      <c r="F208" s="26" t="n">
        <f aca="false">Prices!F209/Prices!F208-1</f>
        <v>0.0127409521206987</v>
      </c>
      <c r="G208" s="26" t="n">
        <f aca="false">Prices!G209/Prices!G208-1</f>
        <v>0.021951268292683</v>
      </c>
      <c r="H208" s="26" t="n">
        <f aca="false">Prices!H209/Prices!H208-1</f>
        <v>0.00742459431204612</v>
      </c>
      <c r="I208" s="26" t="n">
        <f aca="false">Prices!I209/Prices!I208-1</f>
        <v>0.0295096901926724</v>
      </c>
      <c r="J208" s="26" t="n">
        <f aca="false">Prices!J209/Prices!J208-1</f>
        <v>-0.0246780588225344</v>
      </c>
      <c r="K208" s="26" t="n">
        <f aca="false">SUMPRODUCT(B208:J208,Optimization!$C$7:$K$7)</f>
        <v>0.0118769065444053</v>
      </c>
      <c r="L208" s="26" t="n">
        <f aca="false">SUMPRODUCT(B208:J208,Optimization!$C$8:$K$8)</f>
        <v>0.00396287938889302</v>
      </c>
      <c r="M208" s="26" t="n">
        <f aca="false">SUMPRODUCT(B208:J208,Optimization!$C$9:$K$9)</f>
        <v>0.00298836059375627</v>
      </c>
      <c r="N208" s="26" t="n">
        <f aca="false">SUMPRODUCT(B208:J208,Optimization!$C$10:$K$10)</f>
        <v>0.00301165939180835</v>
      </c>
      <c r="O208" s="27" t="n">
        <f aca="false">IF(AND(A208&gt;=Inputs!$C$6,A208&lt;=Inputs!$C$7),1,0)</f>
        <v>0</v>
      </c>
      <c r="P208" s="28" t="n">
        <f aca="false">P207*(1+K208)</f>
        <v>115.239586391179</v>
      </c>
      <c r="Q208" s="28" t="n">
        <f aca="false">MAX(Q207,P208)</f>
        <v>130.050976087113</v>
      </c>
      <c r="R208" s="29" t="n">
        <f aca="false">P208/Q208-1</f>
        <v>-0.11388910826792</v>
      </c>
      <c r="S208" s="26" t="n">
        <f aca="false">IF(A208=Inputs!$C$12,"",F208)</f>
        <v>0.0127409521206987</v>
      </c>
      <c r="T208" s="27" t="n">
        <f aca="false">IF(AND(A208&gt;Risk_Metrics!$C$28,P208&gt;=Risk_Metrics!$C$30),1,0)</f>
        <v>0</v>
      </c>
      <c r="U208" s="26" t="n">
        <f aca="false">IF(A208=Inputs!$C$12,"",K208)</f>
        <v>0.0118769065444053</v>
      </c>
    </row>
    <row r="209" customFormat="false" ht="15" hidden="false" customHeight="false" outlineLevel="0" collapsed="false">
      <c r="A209" s="25" t="n">
        <f aca="false">Prices!A210</f>
        <v>44014</v>
      </c>
      <c r="B209" s="26" t="n">
        <f aca="false">Prices!B210/Prices!B209-1</f>
        <v>0.0070848090400164</v>
      </c>
      <c r="C209" s="26" t="n">
        <f aca="false">Prices!C210/Prices!C209-1</f>
        <v>0.00303416037958804</v>
      </c>
      <c r="D209" s="26" t="n">
        <f aca="false">Prices!D210/Prices!D209-1</f>
        <v>-0.00384615403106503</v>
      </c>
      <c r="E209" s="26" t="n">
        <f aca="false">Prices!E210/Prices!E209-1</f>
        <v>0.00094453369277625</v>
      </c>
      <c r="F209" s="26" t="n">
        <f aca="false">Prices!F210/Prices!F209-1</f>
        <v>-0.0426511783017407</v>
      </c>
      <c r="G209" s="26" t="n">
        <f aca="false">Prices!G210/Prices!G209-1</f>
        <v>-0.00954658665648756</v>
      </c>
      <c r="H209" s="26" t="n">
        <f aca="false">Prices!H210/Prices!H209-1</f>
        <v>0.0161216036905392</v>
      </c>
      <c r="I209" s="26" t="n">
        <f aca="false">Prices!I210/Prices!I209-1</f>
        <v>-0.0043104273269915</v>
      </c>
      <c r="J209" s="26" t="n">
        <f aca="false">Prices!J210/Prices!J209-1</f>
        <v>0.0174184265233146</v>
      </c>
      <c r="K209" s="26" t="n">
        <f aca="false">SUMPRODUCT(B209:J209,Optimization!$C$7:$K$7)</f>
        <v>-0.00175009033222781</v>
      </c>
      <c r="L209" s="26" t="n">
        <f aca="false">SUMPRODUCT(B209:J209,Optimization!$C$8:$K$8)</f>
        <v>0.0022329632991615</v>
      </c>
      <c r="M209" s="26" t="n">
        <f aca="false">SUMPRODUCT(B209:J209,Optimization!$C$9:$K$9)</f>
        <v>0.00394277233165777</v>
      </c>
      <c r="N209" s="26" t="n">
        <f aca="false">SUMPRODUCT(B209:J209,Optimization!$C$10:$K$10)</f>
        <v>0.00215714196128251</v>
      </c>
      <c r="O209" s="27" t="n">
        <f aca="false">IF(AND(A209&gt;=Inputs!$C$6,A209&lt;=Inputs!$C$7),1,0)</f>
        <v>0</v>
      </c>
      <c r="P209" s="28" t="n">
        <f aca="false">P208*(1+K209)</f>
        <v>115.037906705146</v>
      </c>
      <c r="Q209" s="28" t="n">
        <f aca="false">MAX(Q208,P209)</f>
        <v>130.050976087113</v>
      </c>
      <c r="R209" s="29" t="n">
        <f aca="false">P209/Q209-1</f>
        <v>-0.115439882372822</v>
      </c>
      <c r="S209" s="26" t="n">
        <f aca="false">IF(A209=Inputs!$C$12,"",F209)</f>
        <v>-0.0426511783017407</v>
      </c>
      <c r="T209" s="27" t="n">
        <f aca="false">IF(AND(A209&gt;Risk_Metrics!$C$28,P209&gt;=Risk_Metrics!$C$30),1,0)</f>
        <v>0</v>
      </c>
      <c r="U209" s="26" t="n">
        <f aca="false">IF(A209=Inputs!$C$12,"",K209)</f>
        <v>-0.00175009033222781</v>
      </c>
    </row>
    <row r="210" customFormat="false" ht="15" hidden="false" customHeight="false" outlineLevel="0" collapsed="false">
      <c r="A210" s="25" t="n">
        <f aca="false">Prices!A211</f>
        <v>44015</v>
      </c>
      <c r="B210" s="26" t="n">
        <f aca="false">Prices!B211/Prices!B210-1</f>
        <v>0.00869021275852622</v>
      </c>
      <c r="C210" s="26" t="n">
        <f aca="false">Prices!C211/Prices!C210-1</f>
        <v>0.00533797134028569</v>
      </c>
      <c r="D210" s="26" t="n">
        <f aca="false">Prices!D211/Prices!D210-1</f>
        <v>0.00723947911387435</v>
      </c>
      <c r="E210" s="26" t="n">
        <f aca="false">Prices!E211/Prices!E210-1</f>
        <v>0.00731309288306425</v>
      </c>
      <c r="F210" s="26" t="n">
        <f aca="false">Prices!F211/Prices!F210-1</f>
        <v>-0.00641019854718661</v>
      </c>
      <c r="G210" s="26" t="n">
        <f aca="false">Prices!G211/Prices!G210-1</f>
        <v>0.0289156626506024</v>
      </c>
      <c r="H210" s="26" t="n">
        <f aca="false">Prices!H211/Prices!H210-1</f>
        <v>-0.00362642808823344</v>
      </c>
      <c r="I210" s="26" t="n">
        <f aca="false">Prices!I211/Prices!I210-1</f>
        <v>0.0510822976098957</v>
      </c>
      <c r="J210" s="26" t="n">
        <f aca="false">Prices!J211/Prices!J210-1</f>
        <v>-0.0041449629070115</v>
      </c>
      <c r="K210" s="26" t="n">
        <f aca="false">SUMPRODUCT(B210:J210,Optimization!$C$7:$K$7)</f>
        <v>0.0104885696459797</v>
      </c>
      <c r="L210" s="26" t="n">
        <f aca="false">SUMPRODUCT(B210:J210,Optimization!$C$8:$K$8)</f>
        <v>0.00967758464356098</v>
      </c>
      <c r="M210" s="26" t="n">
        <f aca="false">SUMPRODUCT(B210:J210,Optimization!$C$9:$K$9)</f>
        <v>0.0106003103657648</v>
      </c>
      <c r="N210" s="26" t="n">
        <f aca="false">SUMPRODUCT(B210:J210,Optimization!$C$10:$K$10)</f>
        <v>0.00711138162554334</v>
      </c>
      <c r="O210" s="27" t="n">
        <f aca="false">IF(AND(A210&gt;=Inputs!$C$6,A210&lt;=Inputs!$C$7),1,0)</f>
        <v>0</v>
      </c>
      <c r="P210" s="28" t="n">
        <f aca="false">P209*(1+K210)</f>
        <v>116.244489801551</v>
      </c>
      <c r="Q210" s="28" t="n">
        <f aca="false">MAX(Q209,P210)</f>
        <v>130.050976087113</v>
      </c>
      <c r="R210" s="29" t="n">
        <f aca="false">P210/Q210-1</f>
        <v>-0.106162111973033</v>
      </c>
      <c r="S210" s="26" t="n">
        <f aca="false">IF(A210=Inputs!$C$12,"",F210)</f>
        <v>-0.00641019854718661</v>
      </c>
      <c r="T210" s="27" t="n">
        <f aca="false">IF(AND(A210&gt;Risk_Metrics!$C$28,P210&gt;=Risk_Metrics!$C$30),1,0)</f>
        <v>0</v>
      </c>
      <c r="U210" s="26" t="n">
        <f aca="false">IF(A210=Inputs!$C$12,"",K210)</f>
        <v>0.0104885696459797</v>
      </c>
    </row>
    <row r="211" customFormat="false" ht="15" hidden="false" customHeight="false" outlineLevel="0" collapsed="false">
      <c r="A211" s="25" t="n">
        <f aca="false">Prices!A212</f>
        <v>44018</v>
      </c>
      <c r="B211" s="26" t="n">
        <f aca="false">Prices!B212/Prices!B211-1</f>
        <v>0.0256410256410256</v>
      </c>
      <c r="C211" s="26" t="n">
        <f aca="false">Prices!C212/Prices!C211-1</f>
        <v>0.00035405312241088</v>
      </c>
      <c r="D211" s="26" t="n">
        <f aca="false">Prices!D212/Prices!D211-1</f>
        <v>-0.0110206990406948</v>
      </c>
      <c r="E211" s="26" t="n">
        <f aca="false">Prices!E212/Prices!E211-1</f>
        <v>0.0128805383400343</v>
      </c>
      <c r="F211" s="26" t="n">
        <f aca="false">Prices!F212/Prices!F211-1</f>
        <v>0.0516128222952268</v>
      </c>
      <c r="G211" s="26" t="n">
        <f aca="false">Prices!G212/Prices!G211-1</f>
        <v>0.067915644028103</v>
      </c>
      <c r="H211" s="26" t="n">
        <f aca="false">Prices!H212/Prices!H211-1</f>
        <v>0.0241128298453139</v>
      </c>
      <c r="I211" s="26" t="n">
        <f aca="false">Prices!I212/Prices!I211-1</f>
        <v>-0.0102965598438705</v>
      </c>
      <c r="J211" s="26" t="n">
        <f aca="false">Prices!J212/Prices!J211-1</f>
        <v>0.023706153590523</v>
      </c>
      <c r="K211" s="26" t="n">
        <f aca="false">SUMPRODUCT(B211:J211,Optimization!$C$7:$K$7)</f>
        <v>0.0205450897753414</v>
      </c>
      <c r="L211" s="26" t="n">
        <f aca="false">SUMPRODUCT(B211:J211,Optimization!$C$8:$K$8)</f>
        <v>0.00202335718675695</v>
      </c>
      <c r="M211" s="26" t="n">
        <f aca="false">SUMPRODUCT(B211:J211,Optimization!$C$9:$K$9)</f>
        <v>0.00559472695730647</v>
      </c>
      <c r="N211" s="26" t="n">
        <f aca="false">SUMPRODUCT(B211:J211,Optimization!$C$10:$K$10)</f>
        <v>0.00219887317106397</v>
      </c>
      <c r="O211" s="27" t="n">
        <f aca="false">IF(AND(A211&gt;=Inputs!$C$6,A211&lt;=Inputs!$C$7),1,0)</f>
        <v>0</v>
      </c>
      <c r="P211" s="28" t="n">
        <f aca="false">P210*(1+K211)</f>
        <v>118.632743280412</v>
      </c>
      <c r="Q211" s="28" t="n">
        <f aca="false">MAX(Q210,P211)</f>
        <v>130.050976087113</v>
      </c>
      <c r="R211" s="29" t="n">
        <f aca="false">P211/Q211-1</f>
        <v>-0.0877981323189179</v>
      </c>
      <c r="S211" s="26" t="n">
        <f aca="false">IF(A211=Inputs!$C$12,"",F211)</f>
        <v>0.0516128222952268</v>
      </c>
      <c r="T211" s="27" t="n">
        <f aca="false">IF(AND(A211&gt;Risk_Metrics!$C$28,P211&gt;=Risk_Metrics!$C$30),1,0)</f>
        <v>0</v>
      </c>
      <c r="U211" s="26" t="n">
        <f aca="false">IF(A211=Inputs!$C$12,"",K211)</f>
        <v>0.0205450897753414</v>
      </c>
    </row>
    <row r="212" customFormat="false" ht="15" hidden="false" customHeight="false" outlineLevel="0" collapsed="false">
      <c r="A212" s="25" t="n">
        <f aca="false">Prices!A213</f>
        <v>44019</v>
      </c>
      <c r="B212" s="26" t="n">
        <f aca="false">Prices!B213/Prices!B212-1</f>
        <v>0.01739998</v>
      </c>
      <c r="C212" s="26" t="n">
        <f aca="false">Prices!C213/Prices!C212-1</f>
        <v>0.0115002653927814</v>
      </c>
      <c r="D212" s="26" t="n">
        <f aca="false">Prices!D213/Prices!D212-1</f>
        <v>-0.0024224322879085</v>
      </c>
      <c r="E212" s="26" t="n">
        <f aca="false">Prices!E213/Prices!E212-1</f>
        <v>0.0175722080924856</v>
      </c>
      <c r="F212" s="26" t="n">
        <f aca="false">Prices!F213/Prices!F212-1</f>
        <v>-0.0260736153409806</v>
      </c>
      <c r="G212" s="26" t="n">
        <f aca="false">Prices!G213/Prices!G212-1</f>
        <v>-0.0175438165589393</v>
      </c>
      <c r="H212" s="26" t="n">
        <f aca="false">Prices!H213/Prices!H212-1</f>
        <v>-0.0124389160373168</v>
      </c>
      <c r="I212" s="26" t="n">
        <f aca="false">Prices!I213/Prices!I212-1</f>
        <v>-0.0112359234827886</v>
      </c>
      <c r="J212" s="26" t="n">
        <f aca="false">Prices!J213/Prices!J212-1</f>
        <v>-0.00353546049142661</v>
      </c>
      <c r="K212" s="26" t="n">
        <f aca="false">SUMPRODUCT(B212:J212,Optimization!$C$7:$K$7)</f>
        <v>-0.00297530119045484</v>
      </c>
      <c r="L212" s="26" t="n">
        <f aca="false">SUMPRODUCT(B212:J212,Optimization!$C$8:$K$8)</f>
        <v>0.00144473377037593</v>
      </c>
      <c r="M212" s="26" t="n">
        <f aca="false">SUMPRODUCT(B212:J212,Optimization!$C$9:$K$9)</f>
        <v>0.00177479308380908</v>
      </c>
      <c r="N212" s="26" t="n">
        <f aca="false">SUMPRODUCT(B212:J212,Optimization!$C$10:$K$10)</f>
        <v>0.00254497673378061</v>
      </c>
      <c r="O212" s="27" t="n">
        <f aca="false">IF(AND(A212&gt;=Inputs!$C$6,A212&lt;=Inputs!$C$7),1,0)</f>
        <v>0</v>
      </c>
      <c r="P212" s="28" t="n">
        <f aca="false">P211*(1+K212)</f>
        <v>118.279775138103</v>
      </c>
      <c r="Q212" s="28" t="n">
        <f aca="false">MAX(Q211,P212)</f>
        <v>130.050976087113</v>
      </c>
      <c r="R212" s="29" t="n">
        <f aca="false">P212/Q212-1</f>
        <v>-0.0905122076217645</v>
      </c>
      <c r="S212" s="26" t="n">
        <f aca="false">IF(A212=Inputs!$C$12,"",F212)</f>
        <v>-0.0260736153409806</v>
      </c>
      <c r="T212" s="27" t="n">
        <f aca="false">IF(AND(A212&gt;Risk_Metrics!$C$28,P212&gt;=Risk_Metrics!$C$30),1,0)</f>
        <v>0</v>
      </c>
      <c r="U212" s="26" t="n">
        <f aca="false">IF(A212=Inputs!$C$12,"",K212)</f>
        <v>-0.00297530119045484</v>
      </c>
    </row>
    <row r="213" customFormat="false" ht="15" hidden="false" customHeight="false" outlineLevel="0" collapsed="false">
      <c r="A213" s="25" t="n">
        <f aca="false">Prices!A214</f>
        <v>44020</v>
      </c>
      <c r="B213" s="26" t="n">
        <f aca="false">Prices!B214/Prices!B213-1</f>
        <v>0.0208374488074985</v>
      </c>
      <c r="C213" s="26" t="n">
        <f aca="false">Prices!C214/Prices!C213-1</f>
        <v>0.0608710915577306</v>
      </c>
      <c r="D213" s="26" t="n">
        <f aca="false">Prices!D214/Prices!D213-1</f>
        <v>0.0199125789218066</v>
      </c>
      <c r="E213" s="26" t="n">
        <f aca="false">Prices!E214/Prices!E213-1</f>
        <v>0.00931606495414972</v>
      </c>
      <c r="F213" s="26" t="n">
        <f aca="false">Prices!F214/Prices!F213-1</f>
        <v>0.0116535487654097</v>
      </c>
      <c r="G213" s="26" t="n">
        <f aca="false">Prices!G214/Prices!G213-1</f>
        <v>0.0200892857142858</v>
      </c>
      <c r="H213" s="26" t="n">
        <f aca="false">Prices!H214/Prices!H213-1</f>
        <v>0.0188933873144399</v>
      </c>
      <c r="I213" s="26" t="n">
        <f aca="false">Prices!I214/Prices!I213-1</f>
        <v>-0.00399832492373475</v>
      </c>
      <c r="J213" s="26" t="n">
        <f aca="false">Prices!J214/Prices!J213-1</f>
        <v>0.0168529539977462</v>
      </c>
      <c r="K213" s="26" t="n">
        <f aca="false">SUMPRODUCT(B213:J213,Optimization!$C$7:$K$7)</f>
        <v>0.0193808927899258</v>
      </c>
      <c r="L213" s="26" t="n">
        <f aca="false">SUMPRODUCT(B213:J213,Optimization!$C$8:$K$8)</f>
        <v>0.0225192560951899</v>
      </c>
      <c r="M213" s="26" t="n">
        <f aca="false">SUMPRODUCT(B213:J213,Optimization!$C$9:$K$9)</f>
        <v>0.0221067948549242</v>
      </c>
      <c r="N213" s="26" t="n">
        <f aca="false">SUMPRODUCT(B213:J213,Optimization!$C$10:$K$10)</f>
        <v>0.0244261229446853</v>
      </c>
      <c r="O213" s="27" t="n">
        <f aca="false">IF(AND(A213&gt;=Inputs!$C$6,A213&lt;=Inputs!$C$7),1,0)</f>
        <v>0</v>
      </c>
      <c r="P213" s="28" t="n">
        <f aca="false">P212*(1+K213)</f>
        <v>120.572142779271</v>
      </c>
      <c r="Q213" s="28" t="n">
        <f aca="false">MAX(Q212,P213)</f>
        <v>130.050976087113</v>
      </c>
      <c r="R213" s="29" t="n">
        <f aca="false">P213/Q213-1</f>
        <v>-0.0728855222239356</v>
      </c>
      <c r="S213" s="26" t="n">
        <f aca="false">IF(A213=Inputs!$C$12,"",F213)</f>
        <v>0.0116535487654097</v>
      </c>
      <c r="T213" s="27" t="n">
        <f aca="false">IF(AND(A213&gt;Risk_Metrics!$C$28,P213&gt;=Risk_Metrics!$C$30),1,0)</f>
        <v>0</v>
      </c>
      <c r="U213" s="26" t="n">
        <f aca="false">IF(A213=Inputs!$C$12,"",K213)</f>
        <v>0.0193808927899258</v>
      </c>
    </row>
    <row r="214" customFormat="false" ht="15" hidden="false" customHeight="false" outlineLevel="0" collapsed="false">
      <c r="A214" s="25" t="n">
        <f aca="false">Prices!A215</f>
        <v>44021</v>
      </c>
      <c r="B214" s="26" t="n">
        <f aca="false">Prices!B215/Prices!B214-1</f>
        <v>0.0032735990756787</v>
      </c>
      <c r="C214" s="26" t="n">
        <f aca="false">Prices!C215/Prices!C214-1</f>
        <v>-0.0290189306693264</v>
      </c>
      <c r="D214" s="26" t="n">
        <f aca="false">Prices!D215/Prices!D214-1</f>
        <v>-0.0171429047619048</v>
      </c>
      <c r="E214" s="26" t="n">
        <f aca="false">Prices!E215/Prices!E214-1</f>
        <v>-0.0245384072282038</v>
      </c>
      <c r="F214" s="26" t="n">
        <f aca="false">Prices!F215/Prices!F214-1</f>
        <v>0.10118310276838</v>
      </c>
      <c r="G214" s="26" t="n">
        <f aca="false">Prices!G215/Prices!G214-1</f>
        <v>0.0227571553610502</v>
      </c>
      <c r="H214" s="26" t="n">
        <f aca="false">Prices!H215/Prices!H214-1</f>
        <v>-0.0225166004415011</v>
      </c>
      <c r="I214" s="26" t="n">
        <f aca="false">Prices!I215/Prices!I214-1</f>
        <v>-0.00697234155153359</v>
      </c>
      <c r="J214" s="26" t="n">
        <f aca="false">Prices!J215/Prices!J214-1</f>
        <v>-0.0157013607815771</v>
      </c>
      <c r="K214" s="26" t="n">
        <f aca="false">SUMPRODUCT(B214:J214,Optimization!$C$7:$K$7)</f>
        <v>0.00125814575234026</v>
      </c>
      <c r="L214" s="26" t="n">
        <f aca="false">SUMPRODUCT(B214:J214,Optimization!$C$8:$K$8)</f>
        <v>-0.0142410188325451</v>
      </c>
      <c r="M214" s="26" t="n">
        <f aca="false">SUMPRODUCT(B214:J214,Optimization!$C$9:$K$9)</f>
        <v>-0.0132067354638573</v>
      </c>
      <c r="N214" s="26" t="n">
        <f aca="false">SUMPRODUCT(B214:J214,Optimization!$C$10:$K$10)</f>
        <v>-0.0145782162091146</v>
      </c>
      <c r="O214" s="27" t="n">
        <f aca="false">IF(AND(A214&gt;=Inputs!$C$6,A214&lt;=Inputs!$C$7),1,0)</f>
        <v>0</v>
      </c>
      <c r="P214" s="28" t="n">
        <f aca="false">P213*(1+K214)</f>
        <v>120.723840108559</v>
      </c>
      <c r="Q214" s="28" t="n">
        <f aca="false">MAX(Q213,P214)</f>
        <v>130.050976087113</v>
      </c>
      <c r="R214" s="29" t="n">
        <f aca="false">P214/Q214-1</f>
        <v>-0.0717190770817886</v>
      </c>
      <c r="S214" s="26" t="n">
        <f aca="false">IF(A214=Inputs!$C$12,"",F214)</f>
        <v>0.10118310276838</v>
      </c>
      <c r="T214" s="27" t="n">
        <f aca="false">IF(AND(A214&gt;Risk_Metrics!$C$28,P214&gt;=Risk_Metrics!$C$30),1,0)</f>
        <v>0</v>
      </c>
      <c r="U214" s="26" t="n">
        <f aca="false">IF(A214=Inputs!$C$12,"",K214)</f>
        <v>0.00125814575234026</v>
      </c>
    </row>
    <row r="215" customFormat="false" ht="15" hidden="false" customHeight="false" outlineLevel="0" collapsed="false">
      <c r="A215" s="25" t="n">
        <f aca="false">Prices!A216</f>
        <v>44022</v>
      </c>
      <c r="B215" s="26" t="n">
        <f aca="false">Prices!B216/Prices!B215-1</f>
        <v>0.0038387909343105</v>
      </c>
      <c r="C215" s="26" t="n">
        <f aca="false">Prices!C216/Prices!C215-1</f>
        <v>0.0179997462047756</v>
      </c>
      <c r="D215" s="26" t="n">
        <f aca="false">Prices!D216/Prices!D215-1</f>
        <v>-0.00920532990335898</v>
      </c>
      <c r="E215" s="26" t="n">
        <f aca="false">Prices!E216/Prices!E215-1</f>
        <v>0.00484650335349612</v>
      </c>
      <c r="F215" s="26" t="n">
        <f aca="false">Prices!F216/Prices!F215-1</f>
        <v>-0.00593725203301931</v>
      </c>
      <c r="G215" s="26" t="n">
        <f aca="false">Prices!G216/Prices!G215-1</f>
        <v>0.00128365420266774</v>
      </c>
      <c r="H215" s="26" t="n">
        <f aca="false">Prices!H216/Prices!H215-1</f>
        <v>0.0167118797069503</v>
      </c>
      <c r="I215" s="26" t="n">
        <f aca="false">Prices!I216/Prices!I215-1</f>
        <v>0.0140425928567332</v>
      </c>
      <c r="J215" s="26" t="n">
        <f aca="false">Prices!J216/Prices!J215-1</f>
        <v>0.00974836971812731</v>
      </c>
      <c r="K215" s="26" t="n">
        <f aca="false">SUMPRODUCT(B215:J215,Optimization!$C$7:$K$7)</f>
        <v>0.00592543944896472</v>
      </c>
      <c r="L215" s="26" t="n">
        <f aca="false">SUMPRODUCT(B215:J215,Optimization!$C$8:$K$8)</f>
        <v>0.001817152569687</v>
      </c>
      <c r="M215" s="26" t="n">
        <f aca="false">SUMPRODUCT(B215:J215,Optimization!$C$9:$K$9)</f>
        <v>0.00474912818400294</v>
      </c>
      <c r="N215" s="26" t="n">
        <f aca="false">SUMPRODUCT(B215:J215,Optimization!$C$10:$K$10)</f>
        <v>0.000473625134884661</v>
      </c>
      <c r="O215" s="27" t="n">
        <f aca="false">IF(AND(A215&gt;=Inputs!$C$6,A215&lt;=Inputs!$C$7),1,0)</f>
        <v>0</v>
      </c>
      <c r="P215" s="28" t="n">
        <f aca="false">P214*(1+K215)</f>
        <v>121.439181913169</v>
      </c>
      <c r="Q215" s="28" t="n">
        <f aca="false">MAX(Q214,P215)</f>
        <v>130.050976087113</v>
      </c>
      <c r="R215" s="29" t="n">
        <f aca="false">P215/Q215-1</f>
        <v>-0.0662186046814077</v>
      </c>
      <c r="S215" s="26" t="n">
        <f aca="false">IF(A215=Inputs!$C$12,"",F215)</f>
        <v>-0.00593725203301931</v>
      </c>
      <c r="T215" s="27" t="n">
        <f aca="false">IF(AND(A215&gt;Risk_Metrics!$C$28,P215&gt;=Risk_Metrics!$C$30),1,0)</f>
        <v>0</v>
      </c>
      <c r="U215" s="26" t="n">
        <f aca="false">IF(A215=Inputs!$C$12,"",K215)</f>
        <v>0.00592543944896472</v>
      </c>
    </row>
    <row r="216" customFormat="false" ht="15" hidden="false" customHeight="false" outlineLevel="0" collapsed="false">
      <c r="A216" s="25" t="n">
        <f aca="false">Prices!A217</f>
        <v>44025</v>
      </c>
      <c r="B216" s="26" t="n">
        <f aca="false">Prices!B217/Prices!B216-1</f>
        <v>0.0128107459428441</v>
      </c>
      <c r="C216" s="26" t="n">
        <f aca="false">Prices!C217/Prices!C216-1</f>
        <v>-0.00100088403666776</v>
      </c>
      <c r="D216" s="26" t="n">
        <f aca="false">Prices!D217/Prices!D216-1</f>
        <v>-0.0210269427370688</v>
      </c>
      <c r="E216" s="26" t="n">
        <f aca="false">Prices!E217/Prices!E216-1</f>
        <v>-0.0330731044310265</v>
      </c>
      <c r="F216" s="26" t="n">
        <f aca="false">Prices!F217/Prices!F216-1</f>
        <v>-0.0287258075242395</v>
      </c>
      <c r="G216" s="26" t="n">
        <f aca="false">Prices!G217/Prices!G216-1</f>
        <v>-0.0205128205128203</v>
      </c>
      <c r="H216" s="26" t="n">
        <f aca="false">Prices!H217/Prices!H216-1</f>
        <v>-0.015548645046646</v>
      </c>
      <c r="I216" s="26" t="n">
        <f aca="false">Prices!I217/Prices!I216-1</f>
        <v>-0.0142677990339003</v>
      </c>
      <c r="J216" s="26" t="n">
        <f aca="false">Prices!J217/Prices!J216-1</f>
        <v>0.0119361240664186</v>
      </c>
      <c r="K216" s="26" t="n">
        <f aca="false">SUMPRODUCT(B216:J216,Optimization!$C$7:$K$7)</f>
        <v>-0.0121565703681229</v>
      </c>
      <c r="L216" s="26" t="n">
        <f aca="false">SUMPRODUCT(B216:J216,Optimization!$C$8:$K$8)</f>
        <v>-0.00699355976856589</v>
      </c>
      <c r="M216" s="26" t="n">
        <f aca="false">SUMPRODUCT(B216:J216,Optimization!$C$9:$K$9)</f>
        <v>-0.00335255031386357</v>
      </c>
      <c r="N216" s="26" t="n">
        <f aca="false">SUMPRODUCT(B216:J216,Optimization!$C$10:$K$10)</f>
        <v>-0.00716308870608002</v>
      </c>
      <c r="O216" s="27" t="n">
        <f aca="false">IF(AND(A216&gt;=Inputs!$C$6,A216&lt;=Inputs!$C$7),1,0)</f>
        <v>0</v>
      </c>
      <c r="P216" s="28" t="n">
        <f aca="false">P215*(1+K216)</f>
        <v>119.962897952794</v>
      </c>
      <c r="Q216" s="28" t="n">
        <f aca="false">MAX(Q215,P216)</f>
        <v>130.050976087113</v>
      </c>
      <c r="R216" s="29" t="n">
        <f aca="false">P216/Q216-1</f>
        <v>-0.0775701839220421</v>
      </c>
      <c r="S216" s="26" t="n">
        <f aca="false">IF(A216=Inputs!$C$12,"",F216)</f>
        <v>-0.0287258075242395</v>
      </c>
      <c r="T216" s="27" t="n">
        <f aca="false">IF(AND(A216&gt;Risk_Metrics!$C$28,P216&gt;=Risk_Metrics!$C$30),1,0)</f>
        <v>0</v>
      </c>
      <c r="U216" s="26" t="n">
        <f aca="false">IF(A216=Inputs!$C$12,"",K216)</f>
        <v>-0.0121565703681229</v>
      </c>
    </row>
    <row r="217" customFormat="false" ht="15" hidden="false" customHeight="false" outlineLevel="0" collapsed="false">
      <c r="A217" s="25" t="n">
        <f aca="false">Prices!A218</f>
        <v>44026</v>
      </c>
      <c r="B217" s="26" t="n">
        <f aca="false">Prices!B218/Prices!B217-1</f>
        <v>-0.00887296566220575</v>
      </c>
      <c r="C217" s="26" t="n">
        <f aca="false">Prices!C218/Prices!C217-1</f>
        <v>0.0208715648834792</v>
      </c>
      <c r="D217" s="26" t="n">
        <f aca="false">Prices!D218/Prices!D217-1</f>
        <v>0.0189810189810189</v>
      </c>
      <c r="E217" s="26" t="n">
        <f aca="false">Prices!E218/Prices!E217-1</f>
        <v>0.042755441461066</v>
      </c>
      <c r="F217" s="26" t="n">
        <f aca="false">Prices!F218/Prices!F217-1</f>
        <v>0.0146412732650572</v>
      </c>
      <c r="G217" s="26" t="n">
        <f aca="false">Prices!G218/Prices!G217-1</f>
        <v>-0.00218145724258301</v>
      </c>
      <c r="H217" s="26" t="n">
        <f aca="false">Prices!H218/Prices!H217-1</f>
        <v>0.0333935018050542</v>
      </c>
      <c r="I217" s="26" t="n">
        <f aca="false">Prices!I218/Prices!I217-1</f>
        <v>0.0134100125260292</v>
      </c>
      <c r="J217" s="26" t="n">
        <f aca="false">Prices!J218/Prices!J217-1</f>
        <v>0.0702514979964788</v>
      </c>
      <c r="K217" s="26" t="n">
        <f aca="false">SUMPRODUCT(B217:J217,Optimization!$C$7:$K$7)</f>
        <v>0.0225833208903772</v>
      </c>
      <c r="L217" s="26" t="n">
        <f aca="false">SUMPRODUCT(B217:J217,Optimization!$C$8:$K$8)</f>
        <v>0.0227775190873121</v>
      </c>
      <c r="M217" s="26" t="n">
        <f aca="false">SUMPRODUCT(B217:J217,Optimization!$C$9:$K$9)</f>
        <v>0.0251420410190695</v>
      </c>
      <c r="N217" s="26" t="n">
        <f aca="false">SUMPRODUCT(B217:J217,Optimization!$C$10:$K$10)</f>
        <v>0.0216348290099167</v>
      </c>
      <c r="O217" s="27" t="n">
        <f aca="false">IF(AND(A217&gt;=Inputs!$C$6,A217&lt;=Inputs!$C$7),1,0)</f>
        <v>0</v>
      </c>
      <c r="P217" s="28" t="n">
        <f aca="false">P216*(1+K217)</f>
        <v>122.672058572202</v>
      </c>
      <c r="Q217" s="28" t="n">
        <f aca="false">MAX(Q216,P217)</f>
        <v>130.050976087113</v>
      </c>
      <c r="R217" s="29" t="n">
        <f aca="false">P217/Q217-1</f>
        <v>-0.056738655386702</v>
      </c>
      <c r="S217" s="26" t="n">
        <f aca="false">IF(A217=Inputs!$C$12,"",F217)</f>
        <v>0.0146412732650572</v>
      </c>
      <c r="T217" s="27" t="n">
        <f aca="false">IF(AND(A217&gt;Risk_Metrics!$C$28,P217&gt;=Risk_Metrics!$C$30),1,0)</f>
        <v>0</v>
      </c>
      <c r="U217" s="26" t="n">
        <f aca="false">IF(A217=Inputs!$C$12,"",K217)</f>
        <v>0.0225833208903772</v>
      </c>
    </row>
    <row r="218" customFormat="false" ht="15" hidden="false" customHeight="false" outlineLevel="0" collapsed="false">
      <c r="A218" s="25" t="n">
        <f aca="false">Prices!A219</f>
        <v>44027</v>
      </c>
      <c r="B218" s="26" t="n">
        <f aca="false">Prices!B219/Prices!B218-1</f>
        <v>0.00876188571428571</v>
      </c>
      <c r="C218" s="26" t="n">
        <f aca="false">Prices!C219/Prices!C218-1</f>
        <v>0.0122669289630486</v>
      </c>
      <c r="D218" s="26" t="n">
        <f aca="false">Prices!D219/Prices!D218-1</f>
        <v>0.0274509313725491</v>
      </c>
      <c r="E218" s="26" t="n">
        <f aca="false">Prices!E219/Prices!E218-1</f>
        <v>0.0191343954836265</v>
      </c>
      <c r="F218" s="26" t="n">
        <f aca="false">Prices!F219/Prices!F218-1</f>
        <v>0.0187590372074795</v>
      </c>
      <c r="G218" s="26" t="n">
        <f aca="false">Prices!G219/Prices!G218-1</f>
        <v>-0.00524709203117213</v>
      </c>
      <c r="H218" s="26" t="n">
        <f aca="false">Prices!H219/Prices!H218-1</f>
        <v>0.0192139737991266</v>
      </c>
      <c r="I218" s="26" t="n">
        <f aca="false">Prices!I219/Prices!I218-1</f>
        <v>-0.0138626727940979</v>
      </c>
      <c r="J218" s="26" t="n">
        <f aca="false">Prices!J219/Prices!J218-1</f>
        <v>0.00145867096501329</v>
      </c>
      <c r="K218" s="26" t="n">
        <f aca="false">SUMPRODUCT(B218:J218,Optimization!$C$7:$K$7)</f>
        <v>0.00977067318665102</v>
      </c>
      <c r="L218" s="26" t="n">
        <f aca="false">SUMPRODUCT(B218:J218,Optimization!$C$8:$K$8)</f>
        <v>0.0141569661732969</v>
      </c>
      <c r="M218" s="26" t="n">
        <f aca="false">SUMPRODUCT(B218:J218,Optimization!$C$9:$K$9)</f>
        <v>0.0101179739523218</v>
      </c>
      <c r="N218" s="26" t="n">
        <f aca="false">SUMPRODUCT(B218:J218,Optimization!$C$10:$K$10)</f>
        <v>0.0167507604015322</v>
      </c>
      <c r="O218" s="27" t="n">
        <f aca="false">IF(AND(A218&gt;=Inputs!$C$6,A218&lt;=Inputs!$C$7),1,0)</f>
        <v>0</v>
      </c>
      <c r="P218" s="28" t="n">
        <f aca="false">P217*(1+K218)</f>
        <v>123.870647165645</v>
      </c>
      <c r="Q218" s="28" t="n">
        <f aca="false">MAX(Q217,P218)</f>
        <v>130.050976087113</v>
      </c>
      <c r="R218" s="29" t="n">
        <f aca="false">P218/Q218-1</f>
        <v>-0.0475223570588846</v>
      </c>
      <c r="S218" s="26" t="n">
        <f aca="false">IF(A218=Inputs!$C$12,"",F218)</f>
        <v>0.0187590372074795</v>
      </c>
      <c r="T218" s="27" t="n">
        <f aca="false">IF(AND(A218&gt;Risk_Metrics!$C$28,P218&gt;=Risk_Metrics!$C$30),1,0)</f>
        <v>0</v>
      </c>
      <c r="U218" s="26" t="n">
        <f aca="false">IF(A218=Inputs!$C$12,"",K218)</f>
        <v>0.00977067318665102</v>
      </c>
    </row>
    <row r="219" customFormat="false" ht="15" hidden="false" customHeight="false" outlineLevel="0" collapsed="false">
      <c r="A219" s="25" t="n">
        <f aca="false">Prices!A220</f>
        <v>44028</v>
      </c>
      <c r="B219" s="26" t="n">
        <f aca="false">Prices!B220/Prices!B219-1</f>
        <v>0.0101963936970617</v>
      </c>
      <c r="C219" s="26" t="n">
        <f aca="false">Prices!C220/Prices!C219-1</f>
        <v>-0.00630145449837405</v>
      </c>
      <c r="D219" s="26" t="n">
        <f aca="false">Prices!D220/Prices!D219-1</f>
        <v>-0.0133587315533746</v>
      </c>
      <c r="E219" s="26" t="n">
        <f aca="false">Prices!E220/Prices!E219-1</f>
        <v>-0.00335274906782512</v>
      </c>
      <c r="F219" s="26" t="n">
        <f aca="false">Prices!F220/Prices!F219-1</f>
        <v>-0.0164306164403437</v>
      </c>
      <c r="G219" s="26" t="n">
        <f aca="false">Prices!G220/Prices!G219-1</f>
        <v>-0.00967028571428574</v>
      </c>
      <c r="H219" s="26" t="n">
        <f aca="false">Prices!H220/Prices!H219-1</f>
        <v>-0.0265638817480719</v>
      </c>
      <c r="I219" s="26" t="n">
        <f aca="false">Prices!I220/Prices!I219-1</f>
        <v>-0.00788069150729986</v>
      </c>
      <c r="J219" s="26" t="n">
        <f aca="false">Prices!J220/Prices!J219-1</f>
        <v>-0.0270270589573222</v>
      </c>
      <c r="K219" s="26" t="n">
        <f aca="false">SUMPRODUCT(B219:J219,Optimization!$C$7:$K$7)</f>
        <v>-0.0111543417544262</v>
      </c>
      <c r="L219" s="26" t="n">
        <f aca="false">SUMPRODUCT(B219:J219,Optimization!$C$8:$K$8)</f>
        <v>-0.0104601193163077</v>
      </c>
      <c r="M219" s="26" t="n">
        <f aca="false">SUMPRODUCT(B219:J219,Optimization!$C$9:$K$9)</f>
        <v>-0.010375983273238</v>
      </c>
      <c r="N219" s="26" t="n">
        <f aca="false">SUMPRODUCT(B219:J219,Optimization!$C$10:$K$10)</f>
        <v>-0.0100153730695579</v>
      </c>
      <c r="O219" s="27" t="n">
        <f aca="false">IF(AND(A219&gt;=Inputs!$C$6,A219&lt;=Inputs!$C$7),1,0)</f>
        <v>0</v>
      </c>
      <c r="P219" s="28" t="n">
        <f aca="false">P218*(1+K219)</f>
        <v>122.488951633817</v>
      </c>
      <c r="Q219" s="28" t="n">
        <f aca="false">MAX(Q218,P219)</f>
        <v>130.050976087113</v>
      </c>
      <c r="R219" s="29" t="n">
        <f aca="false">P219/Q219-1</f>
        <v>-0.0581466182017002</v>
      </c>
      <c r="S219" s="26" t="n">
        <f aca="false">IF(A219=Inputs!$C$12,"",F219)</f>
        <v>-0.0164306164403437</v>
      </c>
      <c r="T219" s="27" t="n">
        <f aca="false">IF(AND(A219&gt;Risk_Metrics!$C$28,P219&gt;=Risk_Metrics!$C$30),1,0)</f>
        <v>0</v>
      </c>
      <c r="U219" s="26" t="n">
        <f aca="false">IF(A219=Inputs!$C$12,"",K219)</f>
        <v>-0.0111543417544262</v>
      </c>
    </row>
    <row r="220" customFormat="false" ht="15" hidden="false" customHeight="false" outlineLevel="0" collapsed="false">
      <c r="A220" s="25" t="n">
        <f aca="false">Prices!A221</f>
        <v>44029</v>
      </c>
      <c r="B220" s="26" t="n">
        <f aca="false">Prices!B221/Prices!B220-1</f>
        <v>-0.0177570280373832</v>
      </c>
      <c r="C220" s="26" t="n">
        <f aca="false">Prices!C221/Prices!C220-1</f>
        <v>0.0388617073170732</v>
      </c>
      <c r="D220" s="26" t="n">
        <f aca="false">Prices!D221/Prices!D220-1</f>
        <v>0.0125725822050289</v>
      </c>
      <c r="E220" s="26" t="n">
        <f aca="false">Prices!E221/Prices!E220-1</f>
        <v>0.0305001345593181</v>
      </c>
      <c r="F220" s="26" t="n">
        <f aca="false">Prices!F221/Prices!F220-1</f>
        <v>0.0195851919651855</v>
      </c>
      <c r="G220" s="26" t="n">
        <f aca="false">Prices!G221/Prices!G220-1</f>
        <v>0.0106524185240826</v>
      </c>
      <c r="H220" s="26" t="n">
        <f aca="false">Prices!H221/Prices!H220-1</f>
        <v>0.000880325742971921</v>
      </c>
      <c r="I220" s="26" t="n">
        <f aca="false">Prices!I221/Prices!I220-1</f>
        <v>0.0523829580447441</v>
      </c>
      <c r="J220" s="26" t="n">
        <f aca="false">Prices!J221/Prices!J220-1</f>
        <v>0.0153027613989147</v>
      </c>
      <c r="K220" s="26" t="n">
        <f aca="false">SUMPRODUCT(B220:J220,Optimization!$C$7:$K$7)</f>
        <v>0.0181090057466595</v>
      </c>
      <c r="L220" s="26" t="n">
        <f aca="false">SUMPRODUCT(B220:J220,Optimization!$C$8:$K$8)</f>
        <v>0.0156283507309906</v>
      </c>
      <c r="M220" s="26" t="n">
        <f aca="false">SUMPRODUCT(B220:J220,Optimization!$C$9:$K$9)</f>
        <v>0.0169443695267236</v>
      </c>
      <c r="N220" s="26" t="n">
        <f aca="false">SUMPRODUCT(B220:J220,Optimization!$C$10:$K$10)</f>
        <v>0.0126135544199374</v>
      </c>
      <c r="O220" s="27" t="n">
        <f aca="false">IF(AND(A220&gt;=Inputs!$C$6,A220&lt;=Inputs!$C$7),1,0)</f>
        <v>0</v>
      </c>
      <c r="P220" s="28" t="n">
        <f aca="false">P219*(1+K220)</f>
        <v>124.707104762856</v>
      </c>
      <c r="Q220" s="28" t="n">
        <f aca="false">MAX(Q219,P220)</f>
        <v>130.050976087113</v>
      </c>
      <c r="R220" s="29" t="n">
        <f aca="false">P220/Q220-1</f>
        <v>-0.041090589898204</v>
      </c>
      <c r="S220" s="26" t="n">
        <f aca="false">IF(A220=Inputs!$C$12,"",F220)</f>
        <v>0.0195851919651855</v>
      </c>
      <c r="T220" s="27" t="n">
        <f aca="false">IF(AND(A220&gt;Risk_Metrics!$C$28,P220&gt;=Risk_Metrics!$C$30),1,0)</f>
        <v>0</v>
      </c>
      <c r="U220" s="26" t="n">
        <f aca="false">IF(A220=Inputs!$C$12,"",K220)</f>
        <v>0.0181090057466595</v>
      </c>
    </row>
    <row r="221" customFormat="false" ht="15" hidden="false" customHeight="false" outlineLevel="0" collapsed="false">
      <c r="A221" s="25" t="n">
        <f aca="false">Prices!A222</f>
        <v>44032</v>
      </c>
      <c r="B221" s="26" t="n">
        <f aca="false">Prices!B222/Prices!B221-1</f>
        <v>0.0523311142213343</v>
      </c>
      <c r="C221" s="26" t="n">
        <f aca="false">Prices!C222/Prices!C221-1</f>
        <v>0.054938179287696</v>
      </c>
      <c r="D221" s="26" t="n">
        <f aca="false">Prices!D222/Prices!D221-1</f>
        <v>0.0157592638128337</v>
      </c>
      <c r="E221" s="26" t="n">
        <f aca="false">Prices!E222/Prices!E221-1</f>
        <v>0.00565828061679485</v>
      </c>
      <c r="F221" s="26" t="n">
        <f aca="false">Prices!F222/Prices!F221-1</f>
        <v>-0.00197728429080912</v>
      </c>
      <c r="G221" s="26" t="n">
        <f aca="false">Prices!G222/Prices!G221-1</f>
        <v>0.0184453667105842</v>
      </c>
      <c r="H221" s="26" t="n">
        <f aca="false">Prices!H222/Prices!H221-1</f>
        <v>0</v>
      </c>
      <c r="I221" s="26" t="n">
        <f aca="false">Prices!I222/Prices!I221-1</f>
        <v>0.0483476167260719</v>
      </c>
      <c r="J221" s="26" t="n">
        <f aca="false">Prices!J222/Prices!J221-1</f>
        <v>-0.0039318806695301</v>
      </c>
      <c r="K221" s="26" t="n">
        <f aca="false">SUMPRODUCT(B221:J221,Optimization!$C$7:$K$7)</f>
        <v>0.0210634062683306</v>
      </c>
      <c r="L221" s="26" t="n">
        <f aca="false">SUMPRODUCT(B221:J221,Optimization!$C$8:$K$8)</f>
        <v>0.0265712923574549</v>
      </c>
      <c r="M221" s="26" t="n">
        <f aca="false">SUMPRODUCT(B221:J221,Optimization!$C$9:$K$9)</f>
        <v>0.0281717680924128</v>
      </c>
      <c r="N221" s="26" t="n">
        <f aca="false">SUMPRODUCT(B221:J221,Optimization!$C$10:$K$10)</f>
        <v>0.0259167356704862</v>
      </c>
      <c r="O221" s="27" t="n">
        <f aca="false">IF(AND(A221&gt;=Inputs!$C$6,A221&lt;=Inputs!$C$7),1,0)</f>
        <v>0</v>
      </c>
      <c r="P221" s="28" t="n">
        <f aca="false">P220*(1+K221)</f>
        <v>127.333861175024</v>
      </c>
      <c r="Q221" s="28" t="n">
        <f aca="false">MAX(Q220,P221)</f>
        <v>130.050976087113</v>
      </c>
      <c r="R221" s="29" t="n">
        <f aca="false">P221/Q221-1</f>
        <v>-0.0208926914187046</v>
      </c>
      <c r="S221" s="26" t="n">
        <f aca="false">IF(A221=Inputs!$C$12,"",F221)</f>
        <v>-0.00197728429080912</v>
      </c>
      <c r="T221" s="27" t="n">
        <f aca="false">IF(AND(A221&gt;Risk_Metrics!$C$28,P221&gt;=Risk_Metrics!$C$30),1,0)</f>
        <v>0</v>
      </c>
      <c r="U221" s="26" t="n">
        <f aca="false">IF(A221=Inputs!$C$12,"",K221)</f>
        <v>0.0210634062683306</v>
      </c>
    </row>
    <row r="222" customFormat="false" ht="15" hidden="false" customHeight="false" outlineLevel="0" collapsed="false">
      <c r="A222" s="25" t="n">
        <f aca="false">Prices!A223</f>
        <v>44033</v>
      </c>
      <c r="B222" s="26" t="n">
        <f aca="false">Prices!B223/Prices!B222-1</f>
        <v>-0.00976493688544189</v>
      </c>
      <c r="C222" s="26" t="n">
        <f aca="false">Prices!C223/Prices!C222-1</f>
        <v>-0.0188426720209697</v>
      </c>
      <c r="D222" s="26" t="n">
        <f aca="false">Prices!D223/Prices!D222-1</f>
        <v>-0.0131640808650683</v>
      </c>
      <c r="E222" s="26" t="n">
        <f aca="false">Prices!E223/Prices!E222-1</f>
        <v>0.0147154298791481</v>
      </c>
      <c r="F222" s="26" t="n">
        <f aca="false">Prices!F223/Prices!F222-1</f>
        <v>0.00877434708767688</v>
      </c>
      <c r="G222" s="26" t="n">
        <f aca="false">Prices!G223/Prices!G222-1</f>
        <v>-0.00689952536008942</v>
      </c>
      <c r="H222" s="26" t="n">
        <f aca="false">Prices!H223/Prices!H222-1</f>
        <v>0.0277045294635006</v>
      </c>
      <c r="I222" s="26" t="n">
        <f aca="false">Prices!I223/Prices!I222-1</f>
        <v>-0.00739438759088218</v>
      </c>
      <c r="J222" s="26" t="n">
        <f aca="false">Prices!J223/Prices!J222-1</f>
        <v>-0.018092072665988</v>
      </c>
      <c r="K222" s="26" t="n">
        <f aca="false">SUMPRODUCT(B222:J222,Optimization!$C$7:$K$7)</f>
        <v>-0.00255148543979043</v>
      </c>
      <c r="L222" s="26" t="n">
        <f aca="false">SUMPRODUCT(B222:J222,Optimization!$C$8:$K$8)</f>
        <v>-0.0136134807167411</v>
      </c>
      <c r="M222" s="26" t="n">
        <f aca="false">SUMPRODUCT(B222:J222,Optimization!$C$9:$K$9)</f>
        <v>-0.0136783538303256</v>
      </c>
      <c r="N222" s="26" t="n">
        <f aca="false">SUMPRODUCT(B222:J222,Optimization!$C$10:$K$10)</f>
        <v>-0.0138632681669821</v>
      </c>
      <c r="O222" s="27" t="n">
        <f aca="false">IF(AND(A222&gt;=Inputs!$C$6,A222&lt;=Inputs!$C$7),1,0)</f>
        <v>0</v>
      </c>
      <c r="P222" s="28" t="n">
        <f aca="false">P221*(1+K222)</f>
        <v>127.008970682243</v>
      </c>
      <c r="Q222" s="28" t="n">
        <f aca="false">MAX(Q221,P222)</f>
        <v>130.050976087113</v>
      </c>
      <c r="R222" s="29" t="n">
        <f aca="false">P222/Q222-1</f>
        <v>-0.0233908694605423</v>
      </c>
      <c r="S222" s="26" t="n">
        <f aca="false">IF(A222=Inputs!$C$12,"",F222)</f>
        <v>0.00877434708767688</v>
      </c>
      <c r="T222" s="27" t="n">
        <f aca="false">IF(AND(A222&gt;Risk_Metrics!$C$28,P222&gt;=Risk_Metrics!$C$30),1,0)</f>
        <v>0</v>
      </c>
      <c r="U222" s="26" t="n">
        <f aca="false">IF(A222=Inputs!$C$12,"",K222)</f>
        <v>-0.00255148543979043</v>
      </c>
    </row>
    <row r="223" customFormat="false" ht="15" hidden="false" customHeight="false" outlineLevel="0" collapsed="false">
      <c r="A223" s="25" t="n">
        <f aca="false">Prices!A224</f>
        <v>44034</v>
      </c>
      <c r="B223" s="26" t="n">
        <f aca="false">Prices!B224/Prices!B223-1</f>
        <v>-0.0158874914495066</v>
      </c>
      <c r="C223" s="26" t="n">
        <f aca="false">Prices!C224/Prices!C223-1</f>
        <v>0.00861943155329548</v>
      </c>
      <c r="D223" s="26" t="n">
        <f aca="false">Prices!D224/Prices!D223-1</f>
        <v>0.00666979514054322</v>
      </c>
      <c r="E223" s="26" t="n">
        <f aca="false">Prices!E224/Prices!E223-1</f>
        <v>-0.0106632546526606</v>
      </c>
      <c r="F223" s="26" t="n">
        <f aca="false">Prices!F224/Prices!F223-1</f>
        <v>0.0269360087565482</v>
      </c>
      <c r="G223" s="26" t="n">
        <f aca="false">Prices!G224/Prices!G223-1</f>
        <v>-0.0373426384132591</v>
      </c>
      <c r="H223" s="26" t="n">
        <f aca="false">Prices!H224/Prices!H223-1</f>
        <v>-0.0136928535005197</v>
      </c>
      <c r="I223" s="26" t="n">
        <f aca="false">Prices!I224/Prices!I223-1</f>
        <v>0.00333268020717004</v>
      </c>
      <c r="J223" s="26" t="n">
        <f aca="false">Prices!J224/Prices!J223-1</f>
        <v>-0.00770517575033214</v>
      </c>
      <c r="K223" s="26" t="n">
        <f aca="false">SUMPRODUCT(B223:J223,Optimization!$C$7:$K$7)</f>
        <v>-0.00441483312319125</v>
      </c>
      <c r="L223" s="26" t="n">
        <f aca="false">SUMPRODUCT(B223:J223,Optimization!$C$8:$K$8)</f>
        <v>0.00067848545631598</v>
      </c>
      <c r="M223" s="26" t="n">
        <f aca="false">SUMPRODUCT(B223:J223,Optimization!$C$9:$K$9)</f>
        <v>-0.000931754181812579</v>
      </c>
      <c r="N223" s="26" t="n">
        <f aca="false">SUMPRODUCT(B223:J223,Optimization!$C$10:$K$10)</f>
        <v>0.000695567842675621</v>
      </c>
      <c r="O223" s="27" t="n">
        <f aca="false">IF(AND(A223&gt;=Inputs!$C$6,A223&lt;=Inputs!$C$7),1,0)</f>
        <v>0</v>
      </c>
      <c r="P223" s="28" t="n">
        <f aca="false">P222*(1+K223)</f>
        <v>126.448247271533</v>
      </c>
      <c r="Q223" s="28" t="n">
        <f aca="false">MAX(Q222,P223)</f>
        <v>130.050976087113</v>
      </c>
      <c r="R223" s="29" t="n">
        <f aca="false">P223/Q223-1</f>
        <v>-0.0277024357984589</v>
      </c>
      <c r="S223" s="26" t="n">
        <f aca="false">IF(A223=Inputs!$C$12,"",F223)</f>
        <v>0.0269360087565482</v>
      </c>
      <c r="T223" s="27" t="n">
        <f aca="false">IF(AND(A223&gt;Risk_Metrics!$C$28,P223&gt;=Risk_Metrics!$C$30),1,0)</f>
        <v>0</v>
      </c>
      <c r="U223" s="26" t="n">
        <f aca="false">IF(A223=Inputs!$C$12,"",K223)</f>
        <v>-0.00441483312319125</v>
      </c>
    </row>
    <row r="224" customFormat="false" ht="15" hidden="false" customHeight="false" outlineLevel="0" collapsed="false">
      <c r="A224" s="25" t="n">
        <f aca="false">Prices!A225</f>
        <v>44035</v>
      </c>
      <c r="B224" s="26" t="n">
        <f aca="false">Prices!B225/Prices!B224-1</f>
        <v>-0.0378549088486716</v>
      </c>
      <c r="C224" s="26" t="n">
        <f aca="false">Prices!C225/Prices!C224-1</f>
        <v>-0.0176911838773258</v>
      </c>
      <c r="D224" s="26" t="n">
        <f aca="false">Prices!D225/Prices!D224-1</f>
        <v>0.0108850928009983</v>
      </c>
      <c r="E224" s="26" t="n">
        <f aca="false">Prices!E225/Prices!E224-1</f>
        <v>-0.0109937057769716</v>
      </c>
      <c r="F224" s="26" t="n">
        <f aca="false">Prices!F225/Prices!F224-1</f>
        <v>-0.0229507772048393</v>
      </c>
      <c r="G224" s="26" t="n">
        <f aca="false">Prices!G225/Prices!G224-1</f>
        <v>-0.0162382047812359</v>
      </c>
      <c r="H224" s="26" t="n">
        <f aca="false">Prices!H225/Prices!H224-1</f>
        <v>-0.0208242525303363</v>
      </c>
      <c r="I224" s="26" t="n">
        <f aca="false">Prices!I225/Prices!I224-1</f>
        <v>-0.0173896219863081</v>
      </c>
      <c r="J224" s="26" t="n">
        <f aca="false">Prices!J225/Prices!J224-1</f>
        <v>-0.00658345690130124</v>
      </c>
      <c r="K224" s="26" t="n">
        <f aca="false">SUMPRODUCT(B224:J224,Optimization!$C$7:$K$7)</f>
        <v>-0.0155156687895546</v>
      </c>
      <c r="L224" s="26" t="n">
        <f aca="false">SUMPRODUCT(B224:J224,Optimization!$C$8:$K$8)</f>
        <v>-0.00616913495550344</v>
      </c>
      <c r="M224" s="26" t="n">
        <f aca="false">SUMPRODUCT(B224:J224,Optimization!$C$9:$K$9)</f>
        <v>-0.0102483234257864</v>
      </c>
      <c r="N224" s="26" t="n">
        <f aca="false">SUMPRODUCT(B224:J224,Optimization!$C$10:$K$10)</f>
        <v>-0.00528820396086557</v>
      </c>
      <c r="O224" s="27" t="n">
        <f aca="false">IF(AND(A224&gt;=Inputs!$C$6,A224&lt;=Inputs!$C$7),1,0)</f>
        <v>0</v>
      </c>
      <c r="P224" s="28" t="n">
        <f aca="false">P223*(1+K224)</f>
        <v>124.486318147848</v>
      </c>
      <c r="Q224" s="28" t="n">
        <f aca="false">MAX(Q223,P224)</f>
        <v>130.050976087113</v>
      </c>
      <c r="R224" s="29" t="n">
        <f aca="false">P224/Q224-1</f>
        <v>-0.0427882827695006</v>
      </c>
      <c r="S224" s="26" t="n">
        <f aca="false">IF(A224=Inputs!$C$12,"",F224)</f>
        <v>-0.0229507772048393</v>
      </c>
      <c r="T224" s="27" t="n">
        <f aca="false">IF(AND(A224&gt;Risk_Metrics!$C$28,P224&gt;=Risk_Metrics!$C$30),1,0)</f>
        <v>0</v>
      </c>
      <c r="U224" s="26" t="n">
        <f aca="false">IF(A224=Inputs!$C$12,"",K224)</f>
        <v>-0.0155156687895546</v>
      </c>
    </row>
    <row r="225" customFormat="false" ht="15" hidden="false" customHeight="false" outlineLevel="0" collapsed="false">
      <c r="A225" s="25" t="n">
        <f aca="false">Prices!A226</f>
        <v>44036</v>
      </c>
      <c r="B225" s="26" t="n">
        <f aca="false">Prices!B226/Prices!B225-1</f>
        <v>-0.0106075028199615</v>
      </c>
      <c r="C225" s="26" t="n">
        <f aca="false">Prices!C226/Prices!C225-1</f>
        <v>-0.00259464285714295</v>
      </c>
      <c r="D225" s="26" t="n">
        <f aca="false">Prices!D226/Prices!D225-1</f>
        <v>0.0088950370367491</v>
      </c>
      <c r="E225" s="26" t="n">
        <f aca="false">Prices!E226/Prices!E225-1</f>
        <v>-0.0257192670941746</v>
      </c>
      <c r="F225" s="26" t="n">
        <f aca="false">Prices!F226/Prices!F225-1</f>
        <v>-0.0064317791803179</v>
      </c>
      <c r="G225" s="26" t="n">
        <f aca="false">Prices!G226/Prices!G225-1</f>
        <v>-0.0201741412276086</v>
      </c>
      <c r="H225" s="26" t="n">
        <f aca="false">Prices!H226/Prices!H225-1</f>
        <v>0.00708905626938416</v>
      </c>
      <c r="I225" s="26" t="n">
        <f aca="false">Prices!I226/Prices!I225-1</f>
        <v>0.00954463084196666</v>
      </c>
      <c r="J225" s="26" t="n">
        <f aca="false">Prices!J226/Prices!J225-1</f>
        <v>-0.00424808850460789</v>
      </c>
      <c r="K225" s="26" t="n">
        <f aca="false">SUMPRODUCT(B225:J225,Optimization!$C$7:$K$7)</f>
        <v>-0.00491629972619039</v>
      </c>
      <c r="L225" s="26" t="n">
        <f aca="false">SUMPRODUCT(B225:J225,Optimization!$C$8:$K$8)</f>
        <v>0.00223108979765145</v>
      </c>
      <c r="M225" s="26" t="n">
        <f aca="false">SUMPRODUCT(B225:J225,Optimization!$C$9:$K$9)</f>
        <v>0.000653613596398826</v>
      </c>
      <c r="N225" s="26" t="n">
        <f aca="false">SUMPRODUCT(B225:J225,Optimization!$C$10:$K$10)</f>
        <v>0.0019338822159663</v>
      </c>
      <c r="O225" s="27" t="n">
        <f aca="false">IF(AND(A225&gt;=Inputs!$C$6,A225&lt;=Inputs!$C$7),1,0)</f>
        <v>0</v>
      </c>
      <c r="P225" s="28" t="n">
        <f aca="false">P224*(1+K225)</f>
        <v>123.874306096023</v>
      </c>
      <c r="Q225" s="28" t="n">
        <f aca="false">MAX(Q224,P225)</f>
        <v>130.050976087113</v>
      </c>
      <c r="R225" s="29" t="n">
        <f aca="false">P225/Q225-1</f>
        <v>-0.0474942224728271</v>
      </c>
      <c r="S225" s="26" t="n">
        <f aca="false">IF(A225=Inputs!$C$12,"",F225)</f>
        <v>-0.0064317791803179</v>
      </c>
      <c r="T225" s="27" t="n">
        <f aca="false">IF(AND(A225&gt;Risk_Metrics!$C$28,P225&gt;=Risk_Metrics!$C$30),1,0)</f>
        <v>0</v>
      </c>
      <c r="U225" s="26" t="n">
        <f aca="false">IF(A225=Inputs!$C$12,"",K225)</f>
        <v>-0.00491629972619039</v>
      </c>
    </row>
    <row r="226" customFormat="false" ht="15" hidden="false" customHeight="false" outlineLevel="0" collapsed="false">
      <c r="A226" s="25" t="n">
        <f aca="false">Prices!A227</f>
        <v>44039</v>
      </c>
      <c r="B226" s="26" t="n">
        <f aca="false">Prices!B227/Prices!B226-1</f>
        <v>-0.00974658888394908</v>
      </c>
      <c r="C226" s="26" t="n">
        <f aca="false">Prices!C227/Prices!C226-1</f>
        <v>0.0134659374669617</v>
      </c>
      <c r="D226" s="26" t="n">
        <f aca="false">Prices!D227/Prices!D226-1</f>
        <v>-0.00510431578210291</v>
      </c>
      <c r="E226" s="26" t="n">
        <f aca="false">Prices!E227/Prices!E226-1</f>
        <v>0.0158836461770995</v>
      </c>
      <c r="F226" s="26" t="n">
        <f aca="false">Prices!F227/Prices!F226-1</f>
        <v>-0.0129468013006802</v>
      </c>
      <c r="G226" s="26" t="n">
        <f aca="false">Prices!G227/Prices!G226-1</f>
        <v>-0.00514744945496248</v>
      </c>
      <c r="H226" s="26" t="n">
        <f aca="false">Prices!H227/Prices!H226-1</f>
        <v>0.0206775626924769</v>
      </c>
      <c r="I226" s="26" t="n">
        <f aca="false">Prices!I227/Prices!I226-1</f>
        <v>-0.0118179742384897</v>
      </c>
      <c r="J226" s="26" t="n">
        <f aca="false">Prices!J227/Prices!J226-1</f>
        <v>0.0472696432515236</v>
      </c>
      <c r="K226" s="26" t="n">
        <f aca="false">SUMPRODUCT(B226:J226,Optimization!$C$7:$K$7)</f>
        <v>0.0058370733253197</v>
      </c>
      <c r="L226" s="26" t="n">
        <f aca="false">SUMPRODUCT(B226:J226,Optimization!$C$8:$K$8)</f>
        <v>0.00457568467014085</v>
      </c>
      <c r="M226" s="26" t="n">
        <f aca="false">SUMPRODUCT(B226:J226,Optimization!$C$9:$K$9)</f>
        <v>0.0078782088992751</v>
      </c>
      <c r="N226" s="26" t="n">
        <f aca="false">SUMPRODUCT(B226:J226,Optimization!$C$10:$K$10)</f>
        <v>0.00409682015639899</v>
      </c>
      <c r="O226" s="27" t="n">
        <f aca="false">IF(AND(A226&gt;=Inputs!$C$6,A226&lt;=Inputs!$C$7),1,0)</f>
        <v>0</v>
      </c>
      <c r="P226" s="28" t="n">
        <f aca="false">P225*(1+K226)</f>
        <v>124.597369503829</v>
      </c>
      <c r="Q226" s="28" t="n">
        <f aca="false">MAX(Q225,P226)</f>
        <v>130.050976087113</v>
      </c>
      <c r="R226" s="29" t="n">
        <f aca="false">P226/Q226-1</f>
        <v>-0.0419343764066104</v>
      </c>
      <c r="S226" s="26" t="n">
        <f aca="false">IF(A226=Inputs!$C$12,"",F226)</f>
        <v>-0.0129468013006802</v>
      </c>
      <c r="T226" s="27" t="n">
        <f aca="false">IF(AND(A226&gt;Risk_Metrics!$C$28,P226&gt;=Risk_Metrics!$C$30),1,0)</f>
        <v>0</v>
      </c>
      <c r="U226" s="26" t="n">
        <f aca="false">IF(A226=Inputs!$C$12,"",K226)</f>
        <v>0.0058370733253197</v>
      </c>
    </row>
    <row r="227" customFormat="false" ht="15" hidden="false" customHeight="false" outlineLevel="0" collapsed="false">
      <c r="A227" s="25" t="n">
        <f aca="false">Prices!A228</f>
        <v>44040</v>
      </c>
      <c r="B227" s="26" t="n">
        <f aca="false">Prices!B228/Prices!B227-1</f>
        <v>-0.00590549224223413</v>
      </c>
      <c r="C227" s="26" t="n">
        <f aca="false">Prices!C228/Prices!C227-1</f>
        <v>-0.0150988378408224</v>
      </c>
      <c r="D227" s="26" t="n">
        <f aca="false">Prices!D228/Prices!D227-1</f>
        <v>-0.0116604472173298</v>
      </c>
      <c r="E227" s="26" t="n">
        <f aca="false">Prices!E228/Prices!E227-1</f>
        <v>-0.0114512442193349</v>
      </c>
      <c r="F227" s="26" t="n">
        <f aca="false">Prices!F228/Prices!F227-1</f>
        <v>-0.00998004967447863</v>
      </c>
      <c r="G227" s="26" t="n">
        <f aca="false">Prices!G228/Prices!G227-1</f>
        <v>0.01552210724365</v>
      </c>
      <c r="H227" s="26" t="n">
        <f aca="false">Prices!H228/Prices!H227-1</f>
        <v>-0.0172414647740748</v>
      </c>
      <c r="I227" s="26" t="n">
        <f aca="false">Prices!I228/Prices!I227-1</f>
        <v>-0.0115606998655495</v>
      </c>
      <c r="J227" s="26" t="n">
        <f aca="false">Prices!J228/Prices!J227-1</f>
        <v>-0.0167834286586838</v>
      </c>
      <c r="K227" s="26" t="n">
        <f aca="false">SUMPRODUCT(B227:J227,Optimization!$C$7:$K$7)</f>
        <v>-0.00935106191653978</v>
      </c>
      <c r="L227" s="26" t="n">
        <f aca="false">SUMPRODUCT(B227:J227,Optimization!$C$8:$K$8)</f>
        <v>-0.0120418728542341</v>
      </c>
      <c r="M227" s="26" t="n">
        <f aca="false">SUMPRODUCT(B227:J227,Optimization!$C$9:$K$9)</f>
        <v>-0.012266490229783</v>
      </c>
      <c r="N227" s="26" t="n">
        <f aca="false">SUMPRODUCT(B227:J227,Optimization!$C$10:$K$10)</f>
        <v>-0.0118613070110534</v>
      </c>
      <c r="O227" s="27" t="n">
        <f aca="false">IF(AND(A227&gt;=Inputs!$C$6,A227&lt;=Inputs!$C$7),1,0)</f>
        <v>0</v>
      </c>
      <c r="P227" s="28" t="n">
        <f aca="false">P226*(1+K227)</f>
        <v>123.432251786961</v>
      </c>
      <c r="Q227" s="28" t="n">
        <f aca="false">MAX(Q226,P227)</f>
        <v>130.050976087113</v>
      </c>
      <c r="R227" s="29" t="n">
        <f aca="false">P227/Q227-1</f>
        <v>-0.0508933073729404</v>
      </c>
      <c r="S227" s="26" t="n">
        <f aca="false">IF(A227=Inputs!$C$12,"",F227)</f>
        <v>-0.00998004967447863</v>
      </c>
      <c r="T227" s="27" t="n">
        <f aca="false">IF(AND(A227&gt;Risk_Metrics!$C$28,P227&gt;=Risk_Metrics!$C$30),1,0)</f>
        <v>0</v>
      </c>
      <c r="U227" s="26" t="n">
        <f aca="false">IF(A227=Inputs!$C$12,"",K227)</f>
        <v>-0.00935106191653978</v>
      </c>
    </row>
    <row r="228" customFormat="false" ht="15" hidden="false" customHeight="false" outlineLevel="0" collapsed="false">
      <c r="A228" s="25" t="n">
        <f aca="false">Prices!A229</f>
        <v>44041</v>
      </c>
      <c r="B228" s="26" t="n">
        <f aca="false">Prices!B229/Prices!B228-1</f>
        <v>0.0324752277227725</v>
      </c>
      <c r="C228" s="26" t="n">
        <f aca="false">Prices!C229/Prices!C228-1</f>
        <v>-0.00919826738622509</v>
      </c>
      <c r="D228" s="26" t="n">
        <f aca="false">Prices!D229/Prices!D228-1</f>
        <v>-0.00660698411481897</v>
      </c>
      <c r="E228" s="26" t="n">
        <f aca="false">Prices!E229/Prices!E228-1</f>
        <v>0.00400982410358264</v>
      </c>
      <c r="F228" s="26" t="n">
        <f aca="false">Prices!F229/Prices!F228-1</f>
        <v>0.00288021604175004</v>
      </c>
      <c r="G228" s="26" t="n">
        <f aca="false">Prices!G229/Prices!G228-1</f>
        <v>0.0143584993052339</v>
      </c>
      <c r="H228" s="26" t="n">
        <f aca="false">Prices!H229/Prices!H228-1</f>
        <v>0.0162281147468473</v>
      </c>
      <c r="I228" s="26" t="n">
        <f aca="false">Prices!I229/Prices!I228-1</f>
        <v>0.0371042473027665</v>
      </c>
      <c r="J228" s="26" t="n">
        <f aca="false">Prices!J229/Prices!J228-1</f>
        <v>0.0432549055353</v>
      </c>
      <c r="K228" s="26" t="n">
        <f aca="false">SUMPRODUCT(B228:J228,Optimization!$C$7:$K$7)</f>
        <v>0.0149450870285787</v>
      </c>
      <c r="L228" s="26" t="n">
        <f aca="false">SUMPRODUCT(B228:J228,Optimization!$C$8:$K$8)</f>
        <v>0.0117538370053381</v>
      </c>
      <c r="M228" s="26" t="n">
        <f aca="false">SUMPRODUCT(B228:J228,Optimization!$C$9:$K$9)</f>
        <v>0.0176910886501631</v>
      </c>
      <c r="N228" s="26" t="n">
        <f aca="false">SUMPRODUCT(B228:J228,Optimization!$C$10:$K$10)</f>
        <v>0.00886504948879113</v>
      </c>
      <c r="O228" s="27" t="n">
        <f aca="false">IF(AND(A228&gt;=Inputs!$C$6,A228&lt;=Inputs!$C$7),1,0)</f>
        <v>0</v>
      </c>
      <c r="P228" s="28" t="n">
        <f aca="false">P227*(1+K228)</f>
        <v>125.27695753205</v>
      </c>
      <c r="Q228" s="28" t="n">
        <f aca="false">MAX(Q227,P228)</f>
        <v>130.050976087113</v>
      </c>
      <c r="R228" s="29" t="n">
        <f aca="false">P228/Q228-1</f>
        <v>-0.0367088252522225</v>
      </c>
      <c r="S228" s="26" t="n">
        <f aca="false">IF(A228=Inputs!$C$12,"",F228)</f>
        <v>0.00288021604175004</v>
      </c>
      <c r="T228" s="27" t="n">
        <f aca="false">IF(AND(A228&gt;Risk_Metrics!$C$28,P228&gt;=Risk_Metrics!$C$30),1,0)</f>
        <v>0</v>
      </c>
      <c r="U228" s="26" t="n">
        <f aca="false">IF(A228=Inputs!$C$12,"",K228)</f>
        <v>0.0149450870285787</v>
      </c>
    </row>
    <row r="229" customFormat="false" ht="15" hidden="false" customHeight="false" outlineLevel="0" collapsed="false">
      <c r="A229" s="25" t="n">
        <f aca="false">Prices!A230</f>
        <v>44042</v>
      </c>
      <c r="B229" s="26" t="n">
        <f aca="false">Prices!B230/Prices!B229-1</f>
        <v>-0.00287681248325311</v>
      </c>
      <c r="C229" s="26" t="n">
        <f aca="false">Prices!C230/Prices!C229-1</f>
        <v>-0.000309422873424392</v>
      </c>
      <c r="D229" s="26" t="n">
        <f aca="false">Prices!D230/Prices!D229-1</f>
        <v>0.0114015207316638</v>
      </c>
      <c r="E229" s="26" t="n">
        <f aca="false">Prices!E230/Prices!E229-1</f>
        <v>0.108497869980031</v>
      </c>
      <c r="F229" s="26" t="n">
        <f aca="false">Prices!F230/Prices!F229-1</f>
        <v>0.00574380209297276</v>
      </c>
      <c r="G229" s="26" t="n">
        <f aca="false">Prices!G230/Prices!G229-1</f>
        <v>-0.0136986301369861</v>
      </c>
      <c r="H229" s="26" t="n">
        <f aca="false">Prices!H230/Prices!H229-1</f>
        <v>-0.015105740181269</v>
      </c>
      <c r="I229" s="26" t="n">
        <f aca="false">Prices!I230/Prices!I229-1</f>
        <v>-0.0112774707398393</v>
      </c>
      <c r="J229" s="26" t="n">
        <f aca="false">Prices!J230/Prices!J229-1</f>
        <v>-0.0266878629596844</v>
      </c>
      <c r="K229" s="26" t="n">
        <f aca="false">SUMPRODUCT(B229:J229,Optimization!$C$7:$K$7)</f>
        <v>0.00618747260335682</v>
      </c>
      <c r="L229" s="26" t="n">
        <f aca="false">SUMPRODUCT(B229:J229,Optimization!$C$8:$K$8)</f>
        <v>-0.000902740926118032</v>
      </c>
      <c r="M229" s="26" t="n">
        <f aca="false">SUMPRODUCT(B229:J229,Optimization!$C$9:$K$9)</f>
        <v>-0.00482895259785507</v>
      </c>
      <c r="N229" s="26" t="n">
        <f aca="false">SUMPRODUCT(B229:J229,Optimization!$C$10:$K$10)</f>
        <v>0.00084372209445502</v>
      </c>
      <c r="O229" s="27" t="n">
        <f aca="false">IF(AND(A229&gt;=Inputs!$C$6,A229&lt;=Inputs!$C$7),1,0)</f>
        <v>0</v>
      </c>
      <c r="P229" s="28" t="n">
        <f aca="false">P228*(1+K229)</f>
        <v>126.052105274612</v>
      </c>
      <c r="Q229" s="28" t="n">
        <f aca="false">MAX(Q228,P229)</f>
        <v>130.050976087113</v>
      </c>
      <c r="R229" s="29" t="n">
        <f aca="false">P229/Q229-1</f>
        <v>-0.0307484874994152</v>
      </c>
      <c r="S229" s="26" t="n">
        <f aca="false">IF(A229=Inputs!$C$12,"",F229)</f>
        <v>0.00574380209297276</v>
      </c>
      <c r="T229" s="27" t="n">
        <f aca="false">IF(AND(A229&gt;Risk_Metrics!$C$28,P229&gt;=Risk_Metrics!$C$30),1,0)</f>
        <v>0</v>
      </c>
      <c r="U229" s="26" t="n">
        <f aca="false">IF(A229=Inputs!$C$12,"",K229)</f>
        <v>0.00618747260335682</v>
      </c>
    </row>
    <row r="230" customFormat="false" ht="15" hidden="false" customHeight="false" outlineLevel="0" collapsed="false">
      <c r="A230" s="25" t="n">
        <f aca="false">Prices!A231</f>
        <v>44043</v>
      </c>
      <c r="B230" s="26" t="n">
        <f aca="false">Prices!B231/Prices!B230-1</f>
        <v>0.0148104629809402</v>
      </c>
      <c r="C230" s="26" t="n">
        <f aca="false">Prices!C231/Prices!C230-1</f>
        <v>-0.0181086980636327</v>
      </c>
      <c r="D230" s="26" t="n">
        <f aca="false">Prices!D231/Prices!D230-1</f>
        <v>-0.0244246583173012</v>
      </c>
      <c r="E230" s="26" t="n">
        <f aca="false">Prices!E231/Prices!E230-1</f>
        <v>0.01921535266644</v>
      </c>
      <c r="F230" s="26" t="n">
        <f aca="false">Prices!F231/Prices!F230-1</f>
        <v>-0.026270722445082</v>
      </c>
      <c r="G230" s="26" t="n">
        <f aca="false">Prices!G231/Prices!G230-1</f>
        <v>-0.0212963425925927</v>
      </c>
      <c r="H230" s="26" t="n">
        <f aca="false">Prices!H231/Prices!H230-1</f>
        <v>-0.0271691060473269</v>
      </c>
      <c r="I230" s="26" t="n">
        <f aca="false">Prices!I231/Prices!I230-1</f>
        <v>0.000589960573755155</v>
      </c>
      <c r="J230" s="26" t="n">
        <f aca="false">Prices!J231/Prices!J230-1</f>
        <v>-0.00913988901583152</v>
      </c>
      <c r="K230" s="26" t="n">
        <f aca="false">SUMPRODUCT(B230:J230,Optimization!$C$7:$K$7)</f>
        <v>-0.0101992933622924</v>
      </c>
      <c r="L230" s="26" t="n">
        <f aca="false">SUMPRODUCT(B230:J230,Optimization!$C$8:$K$8)</f>
        <v>-0.0124441779811789</v>
      </c>
      <c r="M230" s="26" t="n">
        <f aca="false">SUMPRODUCT(B230:J230,Optimization!$C$9:$K$9)</f>
        <v>-0.00932206114036802</v>
      </c>
      <c r="N230" s="26" t="n">
        <f aca="false">SUMPRODUCT(B230:J230,Optimization!$C$10:$K$10)</f>
        <v>-0.0134456593973047</v>
      </c>
      <c r="O230" s="27" t="n">
        <f aca="false">IF(AND(A230&gt;=Inputs!$C$6,A230&lt;=Inputs!$C$7),1,0)</f>
        <v>0</v>
      </c>
      <c r="P230" s="28" t="n">
        <f aca="false">P229*(1+K230)</f>
        <v>124.766462873981</v>
      </c>
      <c r="Q230" s="28" t="n">
        <f aca="false">MAX(Q229,P230)</f>
        <v>130.050976087113</v>
      </c>
      <c r="R230" s="29" t="n">
        <f aca="false">P230/Q230-1</f>
        <v>-0.0406341680172544</v>
      </c>
      <c r="S230" s="26" t="n">
        <f aca="false">IF(A230=Inputs!$C$12,"",F230)</f>
        <v>-0.026270722445082</v>
      </c>
      <c r="T230" s="27" t="n">
        <f aca="false">IF(AND(A230&gt;Risk_Metrics!$C$28,P230&gt;=Risk_Metrics!$C$30),1,0)</f>
        <v>0</v>
      </c>
      <c r="U230" s="26" t="n">
        <f aca="false">IF(A230=Inputs!$C$12,"",K230)</f>
        <v>-0.0101992933622924</v>
      </c>
    </row>
    <row r="231" customFormat="false" ht="15" hidden="false" customHeight="false" outlineLevel="0" collapsed="false">
      <c r="A231" s="25" t="n">
        <f aca="false">Prices!A232</f>
        <v>44046</v>
      </c>
      <c r="B231" s="26" t="n">
        <f aca="false">Prices!B232/Prices!B231-1</f>
        <v>0.0121304780944078</v>
      </c>
      <c r="C231" s="26" t="n">
        <f aca="false">Prices!C232/Prices!C231-1</f>
        <v>0.00709326945439059</v>
      </c>
      <c r="D231" s="26" t="n">
        <f aca="false">Prices!D232/Prices!D231-1</f>
        <v>0.00481468464130952</v>
      </c>
      <c r="E231" s="26" t="n">
        <f aca="false">Prices!E232/Prices!E231-1</f>
        <v>-0.0123722903524074</v>
      </c>
      <c r="F231" s="26" t="n">
        <f aca="false">Prices!F232/Prices!F231-1</f>
        <v>0.00850448374306989</v>
      </c>
      <c r="G231" s="26" t="n">
        <f aca="false">Prices!G232/Prices!G231-1</f>
        <v>-0.0264900201745516</v>
      </c>
      <c r="H231" s="26" t="n">
        <f aca="false">Prices!H232/Prices!H231-1</f>
        <v>-0.0180181072964817</v>
      </c>
      <c r="I231" s="26" t="n">
        <f aca="false">Prices!I232/Prices!I231-1</f>
        <v>-0.0163129089407092</v>
      </c>
      <c r="J231" s="26" t="n">
        <f aca="false">Prices!J232/Prices!J231-1</f>
        <v>-0.00741230452005115</v>
      </c>
      <c r="K231" s="26" t="n">
        <f aca="false">SUMPRODUCT(B231:J231,Optimization!$C$7:$K$7)</f>
        <v>-0.00534030170566925</v>
      </c>
      <c r="L231" s="26" t="n">
        <f aca="false">SUMPRODUCT(B231:J231,Optimization!$C$8:$K$8)</f>
        <v>0.00214776370028391</v>
      </c>
      <c r="M231" s="26" t="n">
        <f aca="false">SUMPRODUCT(B231:J231,Optimization!$C$9:$K$9)</f>
        <v>0.000795289293300992</v>
      </c>
      <c r="N231" s="26" t="n">
        <f aca="false">SUMPRODUCT(B231:J231,Optimization!$C$10:$K$10)</f>
        <v>0.0038833516725881</v>
      </c>
      <c r="O231" s="27" t="n">
        <f aca="false">IF(AND(A231&gt;=Inputs!$C$6,A231&lt;=Inputs!$C$7),1,0)</f>
        <v>0</v>
      </c>
      <c r="P231" s="28" t="n">
        <f aca="false">P230*(1+K231)</f>
        <v>124.100172319485</v>
      </c>
      <c r="Q231" s="28" t="n">
        <f aca="false">MAX(Q230,P231)</f>
        <v>130.050976087113</v>
      </c>
      <c r="R231" s="29" t="n">
        <f aca="false">P231/Q231-1</f>
        <v>-0.0457574710061526</v>
      </c>
      <c r="S231" s="26" t="n">
        <f aca="false">IF(A231=Inputs!$C$12,"",F231)</f>
        <v>0.00850448374306989</v>
      </c>
      <c r="T231" s="27" t="n">
        <f aca="false">IF(AND(A231&gt;Risk_Metrics!$C$28,P231&gt;=Risk_Metrics!$C$30),1,0)</f>
        <v>0</v>
      </c>
      <c r="U231" s="26" t="n">
        <f aca="false">IF(A231=Inputs!$C$12,"",K231)</f>
        <v>-0.00534030170566925</v>
      </c>
    </row>
    <row r="232" customFormat="false" ht="15" hidden="false" customHeight="false" outlineLevel="0" collapsed="false">
      <c r="A232" s="25" t="n">
        <f aca="false">Prices!A233</f>
        <v>44047</v>
      </c>
      <c r="B232" s="26" t="n">
        <f aca="false">Prices!B233/Prices!B232-1</f>
        <v>-0.0337079388124367</v>
      </c>
      <c r="C232" s="26" t="n">
        <f aca="false">Prices!C233/Prices!C232-1</f>
        <v>-0.0104866654004278</v>
      </c>
      <c r="D232" s="26" t="n">
        <f aca="false">Prices!D233/Prices!D232-1</f>
        <v>-0.000958361238219241</v>
      </c>
      <c r="E232" s="26" t="n">
        <f aca="false">Prices!E233/Prices!E232-1</f>
        <v>-0.00775500084002778</v>
      </c>
      <c r="F232" s="26" t="n">
        <f aca="false">Prices!F233/Prices!F232-1</f>
        <v>-0.00843276740972476</v>
      </c>
      <c r="G232" s="26" t="n">
        <f aca="false">Prices!G233/Prices!G232-1</f>
        <v>-0.0136054907677357</v>
      </c>
      <c r="H232" s="26" t="n">
        <f aca="false">Prices!H233/Prices!H232-1</f>
        <v>-0.000917339491621094</v>
      </c>
      <c r="I232" s="26" t="n">
        <f aca="false">Prices!I233/Prices!I232-1</f>
        <v>0.0017981715858193</v>
      </c>
      <c r="J232" s="26" t="n">
        <f aca="false">Prices!J233/Prices!J232-1</f>
        <v>0.00730174269172723</v>
      </c>
      <c r="K232" s="26" t="n">
        <f aca="false">SUMPRODUCT(B232:J232,Optimization!$C$7:$K$7)</f>
        <v>-0.00741818329807183</v>
      </c>
      <c r="L232" s="26" t="n">
        <f aca="false">SUMPRODUCT(B232:J232,Optimization!$C$8:$K$8)</f>
        <v>-0.00570014502875288</v>
      </c>
      <c r="M232" s="26" t="n">
        <f aca="false">SUMPRODUCT(B232:J232,Optimization!$C$9:$K$9)</f>
        <v>-0.00613045275313598</v>
      </c>
      <c r="N232" s="26" t="n">
        <f aca="false">SUMPRODUCT(B232:J232,Optimization!$C$10:$K$10)</f>
        <v>-0.00678118955937689</v>
      </c>
      <c r="O232" s="27" t="n">
        <f aca="false">IF(AND(A232&gt;=Inputs!$C$6,A232&lt;=Inputs!$C$7),1,0)</f>
        <v>0</v>
      </c>
      <c r="P232" s="28" t="n">
        <f aca="false">P231*(1+K232)</f>
        <v>123.179574493897</v>
      </c>
      <c r="Q232" s="28" t="n">
        <f aca="false">MAX(Q231,P232)</f>
        <v>130.050976087113</v>
      </c>
      <c r="R232" s="29" t="n">
        <f aca="false">P232/Q232-1</f>
        <v>-0.0528362169970447</v>
      </c>
      <c r="S232" s="26" t="n">
        <f aca="false">IF(A232=Inputs!$C$12,"",F232)</f>
        <v>-0.00843276740972476</v>
      </c>
      <c r="T232" s="27" t="n">
        <f aca="false">IF(AND(A232&gt;Risk_Metrics!$C$28,P232&gt;=Risk_Metrics!$C$30),1,0)</f>
        <v>0</v>
      </c>
      <c r="U232" s="26" t="n">
        <f aca="false">IF(A232=Inputs!$C$12,"",K232)</f>
        <v>-0.00741818329807183</v>
      </c>
    </row>
    <row r="233" customFormat="false" ht="15" hidden="false" customHeight="false" outlineLevel="0" collapsed="false">
      <c r="A233" s="25" t="n">
        <f aca="false">Prices!A234</f>
        <v>44048</v>
      </c>
      <c r="B233" s="26" t="n">
        <f aca="false">Prices!B234/Prices!B233-1</f>
        <v>0.028294632879637</v>
      </c>
      <c r="C233" s="26" t="n">
        <f aca="false">Prices!C234/Prices!C233-1</f>
        <v>0.00442891476023677</v>
      </c>
      <c r="D233" s="26" t="n">
        <f aca="false">Prices!D234/Prices!D233-1</f>
        <v>0.0911270983213428</v>
      </c>
      <c r="E233" s="26" t="n">
        <f aca="false">Prices!E234/Prices!E233-1</f>
        <v>0.022244407926076</v>
      </c>
      <c r="F233" s="26" t="n">
        <f aca="false">Prices!F234/Prices!F233-1</f>
        <v>0.00263928706859851</v>
      </c>
      <c r="G233" s="26" t="n">
        <f aca="false">Prices!G234/Prices!G233-1</f>
        <v>0.0802956197189961</v>
      </c>
      <c r="H233" s="26" t="n">
        <f aca="false">Prices!H234/Prices!H233-1</f>
        <v>0.0642791063232735</v>
      </c>
      <c r="I233" s="26" t="n">
        <f aca="false">Prices!I234/Prices!I233-1</f>
        <v>0.0127642686582132</v>
      </c>
      <c r="J233" s="26" t="n">
        <f aca="false">Prices!J234/Prices!J233-1</f>
        <v>0.0245469188707261</v>
      </c>
      <c r="K233" s="26" t="n">
        <f aca="false">SUMPRODUCT(B233:J233,Optimization!$C$7:$K$7)</f>
        <v>0.0367355838363444</v>
      </c>
      <c r="L233" s="26" t="n">
        <f aca="false">SUMPRODUCT(B233:J233,Optimization!$C$8:$K$8)</f>
        <v>0.0512198105501992</v>
      </c>
      <c r="M233" s="26" t="n">
        <f aca="false">SUMPRODUCT(B233:J233,Optimization!$C$9:$K$9)</f>
        <v>0.0406035808374638</v>
      </c>
      <c r="N233" s="26" t="n">
        <f aca="false">SUMPRODUCT(B233:J233,Optimization!$C$10:$K$10)</f>
        <v>0.0554416721195328</v>
      </c>
      <c r="O233" s="27" t="n">
        <f aca="false">IF(AND(A233&gt;=Inputs!$C$6,A233&lt;=Inputs!$C$7),1,0)</f>
        <v>0</v>
      </c>
      <c r="P233" s="28" t="n">
        <f aca="false">P232*(1+K233)</f>
        <v>127.704648079643</v>
      </c>
      <c r="Q233" s="28" t="n">
        <f aca="false">MAX(Q232,P233)</f>
        <v>130.050976087113</v>
      </c>
      <c r="R233" s="29" t="n">
        <f aca="false">P233/Q233-1</f>
        <v>-0.0180416024397905</v>
      </c>
      <c r="S233" s="26" t="n">
        <f aca="false">IF(A233=Inputs!$C$12,"",F233)</f>
        <v>0.00263928706859851</v>
      </c>
      <c r="T233" s="27" t="n">
        <f aca="false">IF(AND(A233&gt;Risk_Metrics!$C$28,P233&gt;=Risk_Metrics!$C$30),1,0)</f>
        <v>0</v>
      </c>
      <c r="U233" s="26" t="n">
        <f aca="false">IF(A233=Inputs!$C$12,"",K233)</f>
        <v>0.0367355838363444</v>
      </c>
    </row>
    <row r="234" customFormat="false" ht="15" hidden="false" customHeight="false" outlineLevel="0" collapsed="false">
      <c r="A234" s="25" t="n">
        <f aca="false">Prices!A235</f>
        <v>44049</v>
      </c>
      <c r="B234" s="26" t="n">
        <f aca="false">Prices!B235/Prices!B234-1</f>
        <v>0.0327930261441194</v>
      </c>
      <c r="C234" s="26" t="n">
        <f aca="false">Prices!C235/Prices!C234-1</f>
        <v>0.00866144909169919</v>
      </c>
      <c r="D234" s="26" t="n">
        <f aca="false">Prices!D235/Prices!D234-1</f>
        <v>0.0250549450549451</v>
      </c>
      <c r="E234" s="26" t="n">
        <f aca="false">Prices!E235/Prices!E234-1</f>
        <v>0.0121545388023736</v>
      </c>
      <c r="F234" s="26" t="n">
        <f aca="false">Prices!F235/Prices!F234-1</f>
        <v>0.0105293582752575</v>
      </c>
      <c r="G234" s="26" t="n">
        <f aca="false">Prices!G235/Prices!G234-1</f>
        <v>0.0766074327405382</v>
      </c>
      <c r="H234" s="26" t="n">
        <f aca="false">Prices!H235/Prices!H234-1</f>
        <v>0.00172558239861953</v>
      </c>
      <c r="I234" s="26" t="n">
        <f aca="false">Prices!I235/Prices!I234-1</f>
        <v>0.00196931712014004</v>
      </c>
      <c r="J234" s="26" t="n">
        <f aca="false">Prices!J235/Prices!J234-1</f>
        <v>-0.00578866386539101</v>
      </c>
      <c r="K234" s="26" t="n">
        <f aca="false">SUMPRODUCT(B234:J234,Optimization!$C$7:$K$7)</f>
        <v>0.0181896650847002</v>
      </c>
      <c r="L234" s="26" t="n">
        <f aca="false">SUMPRODUCT(B234:J234,Optimization!$C$8:$K$8)</f>
        <v>0.0167526214994042</v>
      </c>
      <c r="M234" s="26" t="n">
        <f aca="false">SUMPRODUCT(B234:J234,Optimization!$C$9:$K$9)</f>
        <v>0.0137905020611256</v>
      </c>
      <c r="N234" s="26" t="n">
        <f aca="false">SUMPRODUCT(B234:J234,Optimization!$C$10:$K$10)</f>
        <v>0.018817392231575</v>
      </c>
      <c r="O234" s="27" t="n">
        <f aca="false">IF(AND(A234&gt;=Inputs!$C$6,A234&lt;=Inputs!$C$7),1,0)</f>
        <v>0</v>
      </c>
      <c r="P234" s="28" t="n">
        <f aca="false">P233*(1+K234)</f>
        <v>130.027552857971</v>
      </c>
      <c r="Q234" s="28" t="n">
        <f aca="false">MAX(Q233,P234)</f>
        <v>130.050976087113</v>
      </c>
      <c r="R234" s="29" t="n">
        <f aca="false">P234/Q234-1</f>
        <v>-0.00018010806106139</v>
      </c>
      <c r="S234" s="26" t="n">
        <f aca="false">IF(A234=Inputs!$C$12,"",F234)</f>
        <v>0.0105293582752575</v>
      </c>
      <c r="T234" s="27" t="n">
        <f aca="false">IF(AND(A234&gt;Risk_Metrics!$C$28,P234&gt;=Risk_Metrics!$C$30),1,0)</f>
        <v>0</v>
      </c>
      <c r="U234" s="26" t="n">
        <f aca="false">IF(A234=Inputs!$C$12,"",K234)</f>
        <v>0.0181896650847002</v>
      </c>
    </row>
    <row r="235" customFormat="false" ht="15" hidden="false" customHeight="false" outlineLevel="0" collapsed="false">
      <c r="A235" s="25" t="n">
        <f aca="false">Prices!A236</f>
        <v>44050</v>
      </c>
      <c r="B235" s="26" t="n">
        <f aca="false">Prices!B236/Prices!B235-1</f>
        <v>0</v>
      </c>
      <c r="C235" s="26" t="n">
        <f aca="false">Prices!C236/Prices!C235-1</f>
        <v>-0.0234192037470726</v>
      </c>
      <c r="D235" s="26" t="n">
        <f aca="false">Prices!D236/Prices!D235-1</f>
        <v>-0.0107204116638079</v>
      </c>
      <c r="E235" s="26" t="n">
        <f aca="false">Prices!E236/Prices!E235-1</f>
        <v>-0.015882238700712</v>
      </c>
      <c r="F235" s="26" t="n">
        <f aca="false">Prices!F236/Prices!F235-1</f>
        <v>-0.00173656900332231</v>
      </c>
      <c r="G235" s="26" t="n">
        <f aca="false">Prices!G236/Prices!G235-1</f>
        <v>-0.0343075800801533</v>
      </c>
      <c r="H235" s="26" t="n">
        <f aca="false">Prices!H236/Prices!H235-1</f>
        <v>-0.0185184331833951</v>
      </c>
      <c r="I235" s="26" t="n">
        <f aca="false">Prices!I236/Prices!I235-1</f>
        <v>-0.0290880353569731</v>
      </c>
      <c r="J235" s="26" t="n">
        <f aca="false">Prices!J236/Prices!J235-1</f>
        <v>-0.0223192779453574</v>
      </c>
      <c r="K235" s="26" t="n">
        <f aca="false">SUMPRODUCT(B235:J235,Optimization!$C$7:$K$7)</f>
        <v>-0.0173324166311993</v>
      </c>
      <c r="L235" s="26" t="n">
        <f aca="false">SUMPRODUCT(B235:J235,Optimization!$C$8:$K$8)</f>
        <v>-0.0144265413426944</v>
      </c>
      <c r="M235" s="26" t="n">
        <f aca="false">SUMPRODUCT(B235:J235,Optimization!$C$9:$K$9)</f>
        <v>-0.0157819747261795</v>
      </c>
      <c r="N235" s="26" t="n">
        <f aca="false">SUMPRODUCT(B235:J235,Optimization!$C$10:$K$10)</f>
        <v>-0.0129206526222654</v>
      </c>
      <c r="O235" s="27" t="n">
        <f aca="false">IF(AND(A235&gt;=Inputs!$C$6,A235&lt;=Inputs!$C$7),1,0)</f>
        <v>0</v>
      </c>
      <c r="P235" s="28" t="n">
        <f aca="false">P234*(1+K235)</f>
        <v>127.773861138301</v>
      </c>
      <c r="Q235" s="28" t="n">
        <f aca="false">MAX(Q234,P235)</f>
        <v>130.050976087113</v>
      </c>
      <c r="R235" s="29" t="n">
        <f aca="false">P235/Q235-1</f>
        <v>-0.0175094029843078</v>
      </c>
      <c r="S235" s="26" t="n">
        <f aca="false">IF(A235=Inputs!$C$12,"",F235)</f>
        <v>-0.00173656900332231</v>
      </c>
      <c r="T235" s="27" t="n">
        <f aca="false">IF(AND(A235&gt;Risk_Metrics!$C$28,P235&gt;=Risk_Metrics!$C$30),1,0)</f>
        <v>0</v>
      </c>
      <c r="U235" s="26" t="n">
        <f aca="false">IF(A235=Inputs!$C$12,"",K235)</f>
        <v>-0.0173324166311993</v>
      </c>
    </row>
    <row r="236" customFormat="false" ht="15" hidden="false" customHeight="false" outlineLevel="0" collapsed="false">
      <c r="A236" s="25" t="n">
        <f aca="false">Prices!A237</f>
        <v>44053</v>
      </c>
      <c r="B236" s="26" t="n">
        <f aca="false">Prices!B237/Prices!B236-1</f>
        <v>-0.0151459491814954</v>
      </c>
      <c r="C236" s="26" t="n">
        <f aca="false">Prices!C237/Prices!C236-1</f>
        <v>-0.00479616306954445</v>
      </c>
      <c r="D236" s="26" t="n">
        <f aca="false">Prices!D237/Prices!D236-1</f>
        <v>0.00996961421759868</v>
      </c>
      <c r="E236" s="26" t="n">
        <f aca="false">Prices!E237/Prices!E236-1</f>
        <v>0.00196809679259791</v>
      </c>
      <c r="F236" s="26" t="n">
        <f aca="false">Prices!F237/Prices!F236-1</f>
        <v>-0.0147868920981168</v>
      </c>
      <c r="G236" s="26" t="n">
        <f aca="false">Prices!G237/Prices!G236-1</f>
        <v>-0.000877105301627434</v>
      </c>
      <c r="H236" s="26" t="n">
        <f aca="false">Prices!H237/Prices!H236-1</f>
        <v>0.028960068935495</v>
      </c>
      <c r="I236" s="26" t="n">
        <f aca="false">Prices!I237/Prices!I236-1</f>
        <v>-0.0060729034922169</v>
      </c>
      <c r="J236" s="26" t="n">
        <f aca="false">Prices!J237/Prices!J236-1</f>
        <v>0.0289495445996766</v>
      </c>
      <c r="K236" s="26" t="n">
        <f aca="false">SUMPRODUCT(B236:J236,Optimization!$C$7:$K$7)</f>
        <v>0.0031298123780408</v>
      </c>
      <c r="L236" s="26" t="n">
        <f aca="false">SUMPRODUCT(B236:J236,Optimization!$C$8:$K$8)</f>
        <v>0.00565444041054551</v>
      </c>
      <c r="M236" s="26" t="n">
        <f aca="false">SUMPRODUCT(B236:J236,Optimization!$C$9:$K$9)</f>
        <v>0.00529362219711847</v>
      </c>
      <c r="N236" s="26" t="n">
        <f aca="false">SUMPRODUCT(B236:J236,Optimization!$C$10:$K$10)</f>
        <v>0.00569413108277306</v>
      </c>
      <c r="O236" s="27" t="n">
        <f aca="false">IF(AND(A236&gt;=Inputs!$C$6,A236&lt;=Inputs!$C$7),1,0)</f>
        <v>0</v>
      </c>
      <c r="P236" s="28" t="n">
        <f aca="false">P235*(1+K236)</f>
        <v>128.173769350482</v>
      </c>
      <c r="Q236" s="28" t="n">
        <f aca="false">MAX(Q235,P236)</f>
        <v>130.050976087113</v>
      </c>
      <c r="R236" s="29" t="n">
        <f aca="false">P236/Q236-1</f>
        <v>-0.0144343917524595</v>
      </c>
      <c r="S236" s="26" t="n">
        <f aca="false">IF(A236=Inputs!$C$12,"",F236)</f>
        <v>-0.0147868920981168</v>
      </c>
      <c r="T236" s="27" t="n">
        <f aca="false">IF(AND(A236&gt;Risk_Metrics!$C$28,P236&gt;=Risk_Metrics!$C$30),1,0)</f>
        <v>0</v>
      </c>
      <c r="U236" s="26" t="n">
        <f aca="false">IF(A236=Inputs!$C$12,"",K236)</f>
        <v>0.0031298123780408</v>
      </c>
    </row>
    <row r="237" customFormat="false" ht="15" hidden="false" customHeight="false" outlineLevel="0" collapsed="false">
      <c r="A237" s="25" t="n">
        <f aca="false">Prices!A238</f>
        <v>44054</v>
      </c>
      <c r="B237" s="26" t="n">
        <f aca="false">Prices!B238/Prices!B237-1</f>
        <v>0.0324254209296753</v>
      </c>
      <c r="C237" s="26" t="n">
        <f aca="false">Prices!C238/Prices!C237-1</f>
        <v>-0.0226505542168676</v>
      </c>
      <c r="D237" s="26" t="n">
        <f aca="false">Prices!D238/Prices!D237-1</f>
        <v>0.0283261814732267</v>
      </c>
      <c r="E237" s="26" t="n">
        <f aca="false">Prices!E238/Prices!E237-1</f>
        <v>-0.00235708112355137</v>
      </c>
      <c r="F237" s="26" t="n">
        <f aca="false">Prices!F238/Prices!F237-1</f>
        <v>0.0203060413402594</v>
      </c>
      <c r="G237" s="26" t="n">
        <f aca="false">Prices!G238/Prices!G237-1</f>
        <v>0.0399473204588534</v>
      </c>
      <c r="H237" s="26" t="n">
        <f aca="false">Prices!H238/Prices!H237-1</f>
        <v>-0.0157782935702221</v>
      </c>
      <c r="I237" s="26" t="n">
        <f aca="false">Prices!I238/Prices!I237-1</f>
        <v>0.00692462257531656</v>
      </c>
      <c r="J237" s="26" t="n">
        <f aca="false">Prices!J238/Prices!J237-1</f>
        <v>-0.03086819886064</v>
      </c>
      <c r="K237" s="26" t="n">
        <f aca="false">SUMPRODUCT(B237:J237,Optimization!$C$7:$K$7)</f>
        <v>0.00625282877845004</v>
      </c>
      <c r="L237" s="26" t="n">
        <f aca="false">SUMPRODUCT(B237:J237,Optimization!$C$8:$K$8)</f>
        <v>0.0104311636296401</v>
      </c>
      <c r="M237" s="26" t="n">
        <f aca="false">SUMPRODUCT(B237:J237,Optimization!$C$9:$K$9)</f>
        <v>0.00503097858924628</v>
      </c>
      <c r="N237" s="26" t="n">
        <f aca="false">SUMPRODUCT(B237:J237,Optimization!$C$10:$K$10)</f>
        <v>0.0125643896529095</v>
      </c>
      <c r="O237" s="27" t="n">
        <f aca="false">IF(AND(A237&gt;=Inputs!$C$6,A237&lt;=Inputs!$C$7),1,0)</f>
        <v>0</v>
      </c>
      <c r="P237" s="28" t="n">
        <f aca="false">P236*(1+K237)</f>
        <v>128.975217984119</v>
      </c>
      <c r="Q237" s="28" t="n">
        <f aca="false">MAX(Q236,P237)</f>
        <v>130.050976087113</v>
      </c>
      <c r="R237" s="29" t="n">
        <f aca="false">P237/Q237-1</f>
        <v>-0.00827181875415872</v>
      </c>
      <c r="S237" s="26" t="n">
        <f aca="false">IF(A237=Inputs!$C$12,"",F237)</f>
        <v>0.0203060413402594</v>
      </c>
      <c r="T237" s="27" t="n">
        <f aca="false">IF(AND(A237&gt;Risk_Metrics!$C$28,P237&gt;=Risk_Metrics!$C$30),1,0)</f>
        <v>0</v>
      </c>
      <c r="U237" s="26" t="n">
        <f aca="false">IF(A237=Inputs!$C$12,"",K237)</f>
        <v>0.00625282877845004</v>
      </c>
    </row>
    <row r="238" customFormat="false" ht="15" hidden="false" customHeight="false" outlineLevel="0" collapsed="false">
      <c r="A238" s="25" t="n">
        <f aca="false">Prices!A239</f>
        <v>44055</v>
      </c>
      <c r="B238" s="26" t="n">
        <f aca="false">Prices!B239/Prices!B238-1</f>
        <v>-0.0145369882531051</v>
      </c>
      <c r="C238" s="26" t="n">
        <f aca="false">Prices!C239/Prices!C238-1</f>
        <v>0.010848076388162</v>
      </c>
      <c r="D238" s="26" t="n">
        <f aca="false">Prices!D239/Prices!D238-1</f>
        <v>0.0233723298569419</v>
      </c>
      <c r="E238" s="26" t="n">
        <f aca="false">Prices!E239/Prices!E238-1</f>
        <v>-0.00669423101606148</v>
      </c>
      <c r="F238" s="26" t="n">
        <f aca="false">Prices!F239/Prices!F238-1</f>
        <v>0.0135564546380027</v>
      </c>
      <c r="G238" s="26" t="n">
        <f aca="false">Prices!G239/Prices!G238-1</f>
        <v>-0.0113972557451558</v>
      </c>
      <c r="H238" s="26" t="n">
        <f aca="false">Prices!H239/Prices!H238-1</f>
        <v>0.0173310225303294</v>
      </c>
      <c r="I238" s="26" t="n">
        <f aca="false">Prices!I239/Prices!I238-1</f>
        <v>-0.0317556403753923</v>
      </c>
      <c r="J238" s="26" t="n">
        <f aca="false">Prices!J239/Prices!J238-1</f>
        <v>0.0202389021273872</v>
      </c>
      <c r="K238" s="26" t="n">
        <f aca="false">SUMPRODUCT(B238:J238,Optimization!$C$7:$K$7)</f>
        <v>0.00232918557234539</v>
      </c>
      <c r="L238" s="26" t="n">
        <f aca="false">SUMPRODUCT(B238:J238,Optimization!$C$8:$K$8)</f>
        <v>0.00981893236053537</v>
      </c>
      <c r="M238" s="26" t="n">
        <f aca="false">SUMPRODUCT(B238:J238,Optimization!$C$9:$K$9)</f>
        <v>0.00624694176187964</v>
      </c>
      <c r="N238" s="26" t="n">
        <f aca="false">SUMPRODUCT(B238:J238,Optimization!$C$10:$K$10)</f>
        <v>0.0124957816675998</v>
      </c>
      <c r="O238" s="27" t="n">
        <f aca="false">IF(AND(A238&gt;=Inputs!$C$6,A238&lt;=Inputs!$C$7),1,0)</f>
        <v>0</v>
      </c>
      <c r="P238" s="28" t="n">
        <f aca="false">P237*(1+K238)</f>
        <v>129.275625201038</v>
      </c>
      <c r="Q238" s="28" t="n">
        <f aca="false">MAX(Q237,P238)</f>
        <v>130.050976087113</v>
      </c>
      <c r="R238" s="29" t="n">
        <f aca="false">P238/Q238-1</f>
        <v>-0.00596189978271267</v>
      </c>
      <c r="S238" s="26" t="n">
        <f aca="false">IF(A238=Inputs!$C$12,"",F238)</f>
        <v>0.0135564546380027</v>
      </c>
      <c r="T238" s="27" t="n">
        <f aca="false">IF(AND(A238&gt;Risk_Metrics!$C$28,P238&gt;=Risk_Metrics!$C$30),1,0)</f>
        <v>0</v>
      </c>
      <c r="U238" s="26" t="n">
        <f aca="false">IF(A238=Inputs!$C$12,"",K238)</f>
        <v>0.00232918557234539</v>
      </c>
    </row>
    <row r="239" customFormat="false" ht="15" hidden="false" customHeight="false" outlineLevel="0" collapsed="false">
      <c r="A239" s="25" t="n">
        <f aca="false">Prices!A240</f>
        <v>44056</v>
      </c>
      <c r="B239" s="26" t="n">
        <f aca="false">Prices!B240/Prices!B239-1</f>
        <v>0.0107448552176288</v>
      </c>
      <c r="C239" s="26" t="n">
        <f aca="false">Prices!C240/Prices!C239-1</f>
        <v>-0.0138212195121952</v>
      </c>
      <c r="D239" s="26" t="n">
        <f aca="false">Prices!D240/Prices!D239-1</f>
        <v>0.0297716150081566</v>
      </c>
      <c r="E239" s="26" t="n">
        <f aca="false">Prices!E240/Prices!E239-1</f>
        <v>-0.0283449151963346</v>
      </c>
      <c r="F239" s="26" t="n">
        <f aca="false">Prices!F240/Prices!F239-1</f>
        <v>0.00455320293316386</v>
      </c>
      <c r="G239" s="26" t="n">
        <f aca="false">Prices!G240/Prices!G239-1</f>
        <v>-0.0593509393680616</v>
      </c>
      <c r="H239" s="26" t="n">
        <f aca="false">Prices!H240/Prices!H239-1</f>
        <v>-0.0272572402044293</v>
      </c>
      <c r="I239" s="26" t="n">
        <f aca="false">Prices!I240/Prices!I239-1</f>
        <v>-0.0171296942347683</v>
      </c>
      <c r="J239" s="26" t="n">
        <f aca="false">Prices!J240/Prices!J239-1</f>
        <v>-0.0186992195121951</v>
      </c>
      <c r="K239" s="26" t="n">
        <f aca="false">SUMPRODUCT(B239:J239,Optimization!$C$7:$K$7)</f>
        <v>-0.0132815060965594</v>
      </c>
      <c r="L239" s="26" t="n">
        <f aca="false">SUMPRODUCT(B239:J239,Optimization!$C$8:$K$8)</f>
        <v>0.00845762689737995</v>
      </c>
      <c r="M239" s="26" t="n">
        <f aca="false">SUMPRODUCT(B239:J239,Optimization!$C$9:$K$9)</f>
        <v>0.00223945840211001</v>
      </c>
      <c r="N239" s="26" t="n">
        <f aca="false">SUMPRODUCT(B239:J239,Optimization!$C$10:$K$10)</f>
        <v>0.0115916717988573</v>
      </c>
      <c r="O239" s="27" t="n">
        <f aca="false">IF(AND(A239&gt;=Inputs!$C$6,A239&lt;=Inputs!$C$7),1,0)</f>
        <v>0</v>
      </c>
      <c r="P239" s="28" t="n">
        <f aca="false">P238*(1+K239)</f>
        <v>127.558650196794</v>
      </c>
      <c r="Q239" s="28" t="n">
        <f aca="false">MAX(Q238,P239)</f>
        <v>130.050976087113</v>
      </c>
      <c r="R239" s="29" t="n">
        <f aca="false">P239/Q239-1</f>
        <v>-0.0191642228709609</v>
      </c>
      <c r="S239" s="26" t="n">
        <f aca="false">IF(A239=Inputs!$C$12,"",F239)</f>
        <v>0.00455320293316386</v>
      </c>
      <c r="T239" s="27" t="n">
        <f aca="false">IF(AND(A239&gt;Risk_Metrics!$C$28,P239&gt;=Risk_Metrics!$C$30),1,0)</f>
        <v>0</v>
      </c>
      <c r="U239" s="26" t="n">
        <f aca="false">IF(A239=Inputs!$C$12,"",K239)</f>
        <v>-0.0132815060965594</v>
      </c>
    </row>
    <row r="240" customFormat="false" ht="15" hidden="false" customHeight="false" outlineLevel="0" collapsed="false">
      <c r="A240" s="25" t="n">
        <f aca="false">Prices!A241</f>
        <v>44057</v>
      </c>
      <c r="B240" s="26" t="n">
        <f aca="false">Prices!B241/Prices!B240-1</f>
        <v>0</v>
      </c>
      <c r="C240" s="26" t="n">
        <f aca="false">Prices!C241/Prices!C240-1</f>
        <v>-0.00131891189768441</v>
      </c>
      <c r="D240" s="26" t="n">
        <f aca="false">Prices!D241/Prices!D240-1</f>
        <v>-0.00396039603960396</v>
      </c>
      <c r="E240" s="26" t="n">
        <f aca="false">Prices!E241/Prices!E240-1</f>
        <v>0.0114239494084047</v>
      </c>
      <c r="F240" s="26" t="n">
        <f aca="false">Prices!F241/Prices!F240-1</f>
        <v>-0.0300283405639846</v>
      </c>
      <c r="G240" s="26" t="n">
        <f aca="false">Prices!G241/Prices!G240-1</f>
        <v>0.0290512469790629</v>
      </c>
      <c r="H240" s="26" t="n">
        <f aca="false">Prices!H241/Prices!H240-1</f>
        <v>-0.00744308231173374</v>
      </c>
      <c r="I240" s="26" t="n">
        <f aca="false">Prices!I241/Prices!I240-1</f>
        <v>0.0116897092894623</v>
      </c>
      <c r="J240" s="26" t="n">
        <f aca="false">Prices!J241/Prices!J240-1</f>
        <v>0.0165700088341345</v>
      </c>
      <c r="K240" s="26" t="n">
        <f aca="false">SUMPRODUCT(B240:J240,Optimization!$C$7:$K$7)</f>
        <v>0.00288713152200642</v>
      </c>
      <c r="L240" s="26" t="n">
        <f aca="false">SUMPRODUCT(B240:J240,Optimization!$C$8:$K$8)</f>
        <v>0.00194656821257529</v>
      </c>
      <c r="M240" s="26" t="n">
        <f aca="false">SUMPRODUCT(B240:J240,Optimization!$C$9:$K$9)</f>
        <v>0.00398241980509109</v>
      </c>
      <c r="N240" s="26" t="n">
        <f aca="false">SUMPRODUCT(B240:J240,Optimization!$C$10:$K$10)</f>
        <v>0.000681452359254583</v>
      </c>
      <c r="O240" s="27" t="n">
        <f aca="false">IF(AND(A240&gt;=Inputs!$C$6,A240&lt;=Inputs!$C$7),1,0)</f>
        <v>0</v>
      </c>
      <c r="P240" s="28" t="n">
        <f aca="false">P239*(1+K240)</f>
        <v>127.926928796681</v>
      </c>
      <c r="Q240" s="28" t="n">
        <f aca="false">MAX(Q239,P240)</f>
        <v>130.050976087113</v>
      </c>
      <c r="R240" s="29" t="n">
        <f aca="false">P240/Q240-1</f>
        <v>-0.0163324209808999</v>
      </c>
      <c r="S240" s="26" t="n">
        <f aca="false">IF(A240=Inputs!$C$12,"",F240)</f>
        <v>-0.0300283405639846</v>
      </c>
      <c r="T240" s="27" t="n">
        <f aca="false">IF(AND(A240&gt;Risk_Metrics!$C$28,P240&gt;=Risk_Metrics!$C$30),1,0)</f>
        <v>0</v>
      </c>
      <c r="U240" s="26" t="n">
        <f aca="false">IF(A240=Inputs!$C$12,"",K240)</f>
        <v>0.00288713152200642</v>
      </c>
    </row>
    <row r="241" customFormat="false" ht="15" hidden="false" customHeight="false" outlineLevel="0" collapsed="false">
      <c r="A241" s="25" t="n">
        <f aca="false">Prices!A242</f>
        <v>44060</v>
      </c>
      <c r="B241" s="26" t="n">
        <f aca="false">Prices!B242/Prices!B241-1</f>
        <v>-0.0473874054054054</v>
      </c>
      <c r="C241" s="26" t="n">
        <f aca="false">Prices!C242/Prices!C241-1</f>
        <v>-0.0407792946617486</v>
      </c>
      <c r="D241" s="26" t="n">
        <f aca="false">Prices!D242/Prices!D241-1</f>
        <v>0.0246520874751492</v>
      </c>
      <c r="E241" s="26" t="n">
        <f aca="false">Prices!E242/Prices!E241-1</f>
        <v>-0.0375151457234713</v>
      </c>
      <c r="F241" s="26" t="n">
        <f aca="false">Prices!F242/Prices!F241-1</f>
        <v>-0.0327102479566578</v>
      </c>
      <c r="G241" s="26" t="n">
        <f aca="false">Prices!G242/Prices!G241-1</f>
        <v>-0.0361711513012792</v>
      </c>
      <c r="H241" s="26" t="n">
        <f aca="false">Prices!H242/Prices!H241-1</f>
        <v>-0.00308778120864583</v>
      </c>
      <c r="I241" s="26" t="n">
        <f aca="false">Prices!I242/Prices!I241-1</f>
        <v>-0.0140757183145853</v>
      </c>
      <c r="J241" s="26" t="n">
        <f aca="false">Prices!J242/Prices!J241-1</f>
        <v>0.0143439613478065</v>
      </c>
      <c r="K241" s="26" t="n">
        <f aca="false">SUMPRODUCT(B241:J241,Optimization!$C$7:$K$7)</f>
        <v>-0.0191922995276486</v>
      </c>
      <c r="L241" s="26" t="n">
        <f aca="false">SUMPRODUCT(B241:J241,Optimization!$C$8:$K$8)</f>
        <v>-0.000708808707764447</v>
      </c>
      <c r="M241" s="26" t="n">
        <f aca="false">SUMPRODUCT(B241:J241,Optimization!$C$9:$K$9)</f>
        <v>-0.00601822080393075</v>
      </c>
      <c r="N241" s="26" t="n">
        <f aca="false">SUMPRODUCT(B241:J241,Optimization!$C$10:$K$10)</f>
        <v>-5.92345517022841E-005</v>
      </c>
      <c r="O241" s="27" t="n">
        <f aca="false">IF(AND(A241&gt;=Inputs!$C$6,A241&lt;=Inputs!$C$7),1,0)</f>
        <v>0</v>
      </c>
      <c r="P241" s="28" t="n">
        <f aca="false">P240*(1+K241)</f>
        <v>125.471716861563</v>
      </c>
      <c r="Q241" s="28" t="n">
        <f aca="false">MAX(Q240,P241)</f>
        <v>130.050976087113</v>
      </c>
      <c r="R241" s="29" t="n">
        <f aca="false">P241/Q241-1</f>
        <v>-0.0352112637930715</v>
      </c>
      <c r="S241" s="26" t="n">
        <f aca="false">IF(A241=Inputs!$C$12,"",F241)</f>
        <v>-0.0327102479566578</v>
      </c>
      <c r="T241" s="27" t="n">
        <f aca="false">IF(AND(A241&gt;Risk_Metrics!$C$28,P241&gt;=Risk_Metrics!$C$30),1,0)</f>
        <v>0</v>
      </c>
      <c r="U241" s="26" t="n">
        <f aca="false">IF(A241=Inputs!$C$12,"",K241)</f>
        <v>-0.0191922995276486</v>
      </c>
    </row>
    <row r="242" customFormat="false" ht="15" hidden="false" customHeight="false" outlineLevel="0" collapsed="false">
      <c r="A242" s="25" t="n">
        <f aca="false">Prices!A243</f>
        <v>44061</v>
      </c>
      <c r="B242" s="26" t="n">
        <f aca="false">Prices!B243/Prices!B242-1</f>
        <v>0.061849821483825</v>
      </c>
      <c r="C242" s="26" t="n">
        <f aca="false">Prices!C243/Prices!C242-1</f>
        <v>0.0636832863393584</v>
      </c>
      <c r="D242" s="26" t="n">
        <f aca="false">Prices!D243/Prices!D242-1</f>
        <v>0.00388051998447803</v>
      </c>
      <c r="E242" s="26" t="n">
        <f aca="false">Prices!E243/Prices!E242-1</f>
        <v>0.0393964157712401</v>
      </c>
      <c r="F242" s="26" t="n">
        <f aca="false">Prices!F243/Prices!F242-1</f>
        <v>0.0169081498454569</v>
      </c>
      <c r="G242" s="26" t="n">
        <f aca="false">Prices!G243/Prices!G242-1</f>
        <v>-0.000457665903890181</v>
      </c>
      <c r="H242" s="26" t="n">
        <f aca="false">Prices!H243/Prices!H242-1</f>
        <v>0.0185840707964602</v>
      </c>
      <c r="I242" s="26" t="n">
        <f aca="false">Prices!I243/Prices!I242-1</f>
        <v>0.0326017761766242</v>
      </c>
      <c r="J242" s="26" t="n">
        <f aca="false">Prices!J243/Prices!J242-1</f>
        <v>0.0133376345813916</v>
      </c>
      <c r="K242" s="26" t="n">
        <f aca="false">SUMPRODUCT(B242:J242,Optimization!$C$7:$K$7)</f>
        <v>0.0277537787861049</v>
      </c>
      <c r="L242" s="26" t="n">
        <f aca="false">SUMPRODUCT(B242:J242,Optimization!$C$8:$K$8)</f>
        <v>0.0251696525419063</v>
      </c>
      <c r="M242" s="26" t="n">
        <f aca="false">SUMPRODUCT(B242:J242,Optimization!$C$9:$K$9)</f>
        <v>0.0294900733662125</v>
      </c>
      <c r="N242" s="26" t="n">
        <f aca="false">SUMPRODUCT(B242:J242,Optimization!$C$10:$K$10)</f>
        <v>0.0248355570932077</v>
      </c>
      <c r="O242" s="27" t="n">
        <f aca="false">IF(AND(A242&gt;=Inputs!$C$6,A242&lt;=Inputs!$C$7),1,0)</f>
        <v>0</v>
      </c>
      <c r="P242" s="28" t="n">
        <f aca="false">P241*(1+K242)</f>
        <v>128.954031135252</v>
      </c>
      <c r="Q242" s="28" t="n">
        <f aca="false">MAX(Q241,P242)</f>
        <v>130.050976087113</v>
      </c>
      <c r="R242" s="29" t="n">
        <f aca="false">P242/Q242-1</f>
        <v>-0.00843473063305877</v>
      </c>
      <c r="S242" s="26" t="n">
        <f aca="false">IF(A242=Inputs!$C$12,"",F242)</f>
        <v>0.0169081498454569</v>
      </c>
      <c r="T242" s="27" t="n">
        <f aca="false">IF(AND(A242&gt;Risk_Metrics!$C$28,P242&gt;=Risk_Metrics!$C$30),1,0)</f>
        <v>0</v>
      </c>
      <c r="U242" s="26" t="n">
        <f aca="false">IF(A242=Inputs!$C$12,"",K242)</f>
        <v>0.0277537787861049</v>
      </c>
    </row>
    <row r="243" customFormat="false" ht="15" hidden="false" customHeight="false" outlineLevel="0" collapsed="false">
      <c r="A243" s="25" t="n">
        <f aca="false">Prices!A244</f>
        <v>44062</v>
      </c>
      <c r="B243" s="26" t="n">
        <f aca="false">Prices!B244/Prices!B243-1</f>
        <v>-0.0381189711100637</v>
      </c>
      <c r="C243" s="26" t="n">
        <f aca="false">Prices!C244/Prices!C243-1</f>
        <v>-0.0360841262135923</v>
      </c>
      <c r="D243" s="26" t="n">
        <f aca="false">Prices!D244/Prices!D243-1</f>
        <v>-0.00386551975780747</v>
      </c>
      <c r="E243" s="26" t="n">
        <f aca="false">Prices!E244/Prices!E243-1</f>
        <v>-0.0118951617699661</v>
      </c>
      <c r="F243" s="26" t="n">
        <f aca="false">Prices!F244/Prices!F243-1</f>
        <v>-0.0276127710546583</v>
      </c>
      <c r="G243" s="26" t="n">
        <f aca="false">Prices!G244/Prices!G243-1</f>
        <v>-0.0128205586080585</v>
      </c>
      <c r="H243" s="26" t="n">
        <f aca="false">Prices!H244/Prices!H243-1</f>
        <v>-0.00564730668983493</v>
      </c>
      <c r="I243" s="26" t="n">
        <f aca="false">Prices!I244/Prices!I243-1</f>
        <v>-0.0423028960321992</v>
      </c>
      <c r="J243" s="26" t="n">
        <f aca="false">Prices!J244/Prices!J243-1</f>
        <v>-0.0106248333234247</v>
      </c>
      <c r="K243" s="26" t="n">
        <f aca="false">SUMPRODUCT(B243:J243,Optimization!$C$7:$K$7)</f>
        <v>-0.0209969049510672</v>
      </c>
      <c r="L243" s="26" t="n">
        <f aca="false">SUMPRODUCT(B243:J243,Optimization!$C$8:$K$8)</f>
        <v>-0.0183571409834902</v>
      </c>
      <c r="M243" s="26" t="n">
        <f aca="false">SUMPRODUCT(B243:J243,Optimization!$C$9:$K$9)</f>
        <v>-0.021778878091352</v>
      </c>
      <c r="N243" s="26" t="n">
        <f aca="false">SUMPRODUCT(B243:J243,Optimization!$C$10:$K$10)</f>
        <v>-0.0167494558937023</v>
      </c>
      <c r="O243" s="27" t="n">
        <f aca="false">IF(AND(A243&gt;=Inputs!$C$6,A243&lt;=Inputs!$C$7),1,0)</f>
        <v>0</v>
      </c>
      <c r="P243" s="28" t="n">
        <f aca="false">P242*(1+K243)</f>
        <v>126.246395600448</v>
      </c>
      <c r="Q243" s="28" t="n">
        <f aca="false">MAX(Q242,P243)</f>
        <v>130.050976087113</v>
      </c>
      <c r="R243" s="29" t="n">
        <f aca="false">P243/Q243-1</f>
        <v>-0.0292545323467358</v>
      </c>
      <c r="S243" s="26" t="n">
        <f aca="false">IF(A243=Inputs!$C$12,"",F243)</f>
        <v>-0.0276127710546583</v>
      </c>
      <c r="T243" s="27" t="n">
        <f aca="false">IF(AND(A243&gt;Risk_Metrics!$C$28,P243&gt;=Risk_Metrics!$C$30),1,0)</f>
        <v>0</v>
      </c>
      <c r="U243" s="26" t="n">
        <f aca="false">IF(A243=Inputs!$C$12,"",K243)</f>
        <v>-0.0209969049510672</v>
      </c>
    </row>
    <row r="244" customFormat="false" ht="15" hidden="false" customHeight="false" outlineLevel="0" collapsed="false">
      <c r="A244" s="25" t="n">
        <f aca="false">Prices!A245</f>
        <v>44063</v>
      </c>
      <c r="B244" s="26" t="n">
        <f aca="false">Prices!B245/Prices!B244-1</f>
        <v>-0.0161110925925926</v>
      </c>
      <c r="C244" s="26" t="n">
        <f aca="false">Prices!C245/Prices!C244-1</f>
        <v>0.0464999488584865</v>
      </c>
      <c r="D244" s="26" t="n">
        <f aca="false">Prices!D245/Prices!D244-1</f>
        <v>0.0159099728366316</v>
      </c>
      <c r="E244" s="26" t="n">
        <f aca="false">Prices!E245/Prices!E244-1</f>
        <v>0.0189757404193323</v>
      </c>
      <c r="F244" s="26" t="n">
        <f aca="false">Prices!F245/Prices!F244-1</f>
        <v>0.00702291354650675</v>
      </c>
      <c r="G244" s="26" t="n">
        <f aca="false">Prices!G245/Prices!G244-1</f>
        <v>0.0389610871503285</v>
      </c>
      <c r="H244" s="26" t="n">
        <f aca="false">Prices!H245/Prices!H244-1</f>
        <v>-0.00698990856225024</v>
      </c>
      <c r="I244" s="26" t="n">
        <f aca="false">Prices!I245/Prices!I244-1</f>
        <v>0.00732598489924841</v>
      </c>
      <c r="J244" s="26" t="n">
        <f aca="false">Prices!J245/Prices!J244-1</f>
        <v>0.00897582960371568</v>
      </c>
      <c r="K244" s="26" t="n">
        <f aca="false">SUMPRODUCT(B244:J244,Optimization!$C$7:$K$7)</f>
        <v>0.0133967195732674</v>
      </c>
      <c r="L244" s="26" t="n">
        <f aca="false">SUMPRODUCT(B244:J244,Optimization!$C$8:$K$8)</f>
        <v>0.012873579369479</v>
      </c>
      <c r="M244" s="26" t="n">
        <f aca="false">SUMPRODUCT(B244:J244,Optimization!$C$9:$K$9)</f>
        <v>0.01171731236029</v>
      </c>
      <c r="N244" s="26" t="n">
        <f aca="false">SUMPRODUCT(B244:J244,Optimization!$C$10:$K$10)</f>
        <v>0.0131095322888674</v>
      </c>
      <c r="O244" s="27" t="n">
        <f aca="false">IF(AND(A244&gt;=Inputs!$C$6,A244&lt;=Inputs!$C$7),1,0)</f>
        <v>0</v>
      </c>
      <c r="P244" s="28" t="n">
        <f aca="false">P243*(1+K244)</f>
        <v>127.937683159443</v>
      </c>
      <c r="Q244" s="28" t="n">
        <f aca="false">MAX(Q243,P244)</f>
        <v>130.050976087113</v>
      </c>
      <c r="R244" s="29" t="n">
        <f aca="false">P244/Q244-1</f>
        <v>-0.0162497275395647</v>
      </c>
      <c r="S244" s="26" t="n">
        <f aca="false">IF(A244=Inputs!$C$12,"",F244)</f>
        <v>0.00702291354650675</v>
      </c>
      <c r="T244" s="27" t="n">
        <f aca="false">IF(AND(A244&gt;Risk_Metrics!$C$28,P244&gt;=Risk_Metrics!$C$30),1,0)</f>
        <v>0</v>
      </c>
      <c r="U244" s="26" t="n">
        <f aca="false">IF(A244=Inputs!$C$12,"",K244)</f>
        <v>0.0133967195732674</v>
      </c>
    </row>
    <row r="245" customFormat="false" ht="15" hidden="false" customHeight="false" outlineLevel="0" collapsed="false">
      <c r="A245" s="25" t="n">
        <f aca="false">Prices!A246</f>
        <v>44064</v>
      </c>
      <c r="B245" s="26" t="n">
        <f aca="false">Prices!B246/Prices!B245-1</f>
        <v>0.00131752303185539</v>
      </c>
      <c r="C245" s="26" t="n">
        <f aca="false">Prices!C246/Prices!C245-1</f>
        <v>-0.021976274207109</v>
      </c>
      <c r="D245" s="26" t="n">
        <f aca="false">Prices!D246/Prices!D245-1</f>
        <v>-0.00267375859434682</v>
      </c>
      <c r="E245" s="26" t="n">
        <f aca="false">Prices!E246/Prices!E245-1</f>
        <v>-0.0194232683104378</v>
      </c>
      <c r="F245" s="26" t="n">
        <f aca="false">Prices!F246/Prices!F245-1</f>
        <v>0.00121281486644986</v>
      </c>
      <c r="G245" s="26" t="n">
        <f aca="false">Prices!G246/Prices!G245-1</f>
        <v>-0.0111607142857143</v>
      </c>
      <c r="H245" s="26" t="n">
        <f aca="false">Prices!H246/Prices!H245-1</f>
        <v>-0.00747914650241965</v>
      </c>
      <c r="I245" s="26" t="n">
        <f aca="false">Prices!I246/Prices!I245-1</f>
        <v>-0.0117647238267301</v>
      </c>
      <c r="J245" s="26" t="n">
        <f aca="false">Prices!J246/Prices!J245-1</f>
        <v>-0.0119142174437773</v>
      </c>
      <c r="K245" s="26" t="n">
        <f aca="false">SUMPRODUCT(B245:J245,Optimization!$C$7:$K$7)</f>
        <v>-0.00931797391913664</v>
      </c>
      <c r="L245" s="26" t="n">
        <f aca="false">SUMPRODUCT(B245:J245,Optimization!$C$8:$K$8)</f>
        <v>-0.00698784171524067</v>
      </c>
      <c r="M245" s="26" t="n">
        <f aca="false">SUMPRODUCT(B245:J245,Optimization!$C$9:$K$9)</f>
        <v>-0.00814008260180878</v>
      </c>
      <c r="N245" s="26" t="n">
        <f aca="false">SUMPRODUCT(B245:J245,Optimization!$C$10:$K$10)</f>
        <v>-0.00630537955900233</v>
      </c>
      <c r="O245" s="27" t="n">
        <f aca="false">IF(AND(A245&gt;=Inputs!$C$6,A245&lt;=Inputs!$C$7),1,0)</f>
        <v>0</v>
      </c>
      <c r="P245" s="28" t="n">
        <f aca="false">P244*(1+K245)</f>
        <v>126.745563164488</v>
      </c>
      <c r="Q245" s="28" t="n">
        <f aca="false">MAX(Q244,P245)</f>
        <v>130.050976087113</v>
      </c>
      <c r="R245" s="29" t="n">
        <f aca="false">P245/Q245-1</f>
        <v>-0.0254162869212947</v>
      </c>
      <c r="S245" s="26" t="n">
        <f aca="false">IF(A245=Inputs!$C$12,"",F245)</f>
        <v>0.00121281486644986</v>
      </c>
      <c r="T245" s="27" t="n">
        <f aca="false">IF(AND(A245&gt;Risk_Metrics!$C$28,P245&gt;=Risk_Metrics!$C$30),1,0)</f>
        <v>0</v>
      </c>
      <c r="U245" s="26" t="n">
        <f aca="false">IF(A245=Inputs!$C$12,"",K245)</f>
        <v>-0.00931797391913664</v>
      </c>
    </row>
    <row r="246" customFormat="false" ht="15" hidden="false" customHeight="false" outlineLevel="0" collapsed="false">
      <c r="A246" s="25" t="n">
        <f aca="false">Prices!A247</f>
        <v>44067</v>
      </c>
      <c r="B246" s="26" t="n">
        <f aca="false">Prices!B247/Prices!B246-1</f>
        <v>-0.00375941722256734</v>
      </c>
      <c r="C246" s="26" t="n">
        <f aca="false">Prices!C247/Prices!C246-1</f>
        <v>-0.0011481875955982</v>
      </c>
      <c r="D246" s="26" t="n">
        <f aca="false">Prices!D247/Prices!D246-1</f>
        <v>0.0180007270011211</v>
      </c>
      <c r="E246" s="26" t="n">
        <f aca="false">Prices!E247/Prices!E246-1</f>
        <v>0.00142944657076871</v>
      </c>
      <c r="F246" s="26" t="n">
        <f aca="false">Prices!F247/Prices!F246-1</f>
        <v>-0.0066625684457079</v>
      </c>
      <c r="G246" s="26" t="n">
        <f aca="false">Prices!G247/Prices!G246-1</f>
        <v>-0.00270880361173809</v>
      </c>
      <c r="H246" s="26" t="n">
        <f aca="false">Prices!H247/Prices!H246-1</f>
        <v>0.0181737596708227</v>
      </c>
      <c r="I246" s="26" t="n">
        <f aca="false">Prices!I247/Prices!I246-1</f>
        <v>-0.00735928512808304</v>
      </c>
      <c r="J246" s="26" t="n">
        <f aca="false">Prices!J247/Prices!J246-1</f>
        <v>0.0122186171669032</v>
      </c>
      <c r="K246" s="26" t="n">
        <f aca="false">SUMPRODUCT(B246:J246,Optimization!$C$7:$K$7)</f>
        <v>0.0031315876006579</v>
      </c>
      <c r="L246" s="26" t="n">
        <f aca="false">SUMPRODUCT(B246:J246,Optimization!$C$8:$K$8)</f>
        <v>0.00862722163414634</v>
      </c>
      <c r="M246" s="26" t="n">
        <f aca="false">SUMPRODUCT(B246:J246,Optimization!$C$9:$K$9)</f>
        <v>0.00632784334701517</v>
      </c>
      <c r="N246" s="26" t="n">
        <f aca="false">SUMPRODUCT(B246:J246,Optimization!$C$10:$K$10)</f>
        <v>0.00974546070378166</v>
      </c>
      <c r="O246" s="27" t="n">
        <f aca="false">IF(AND(A246&gt;=Inputs!$C$6,A246&lt;=Inputs!$C$7),1,0)</f>
        <v>0</v>
      </c>
      <c r="P246" s="28" t="n">
        <f aca="false">P245*(1+K246)</f>
        <v>127.142477998533</v>
      </c>
      <c r="Q246" s="28" t="n">
        <f aca="false">MAX(Q245,P246)</f>
        <v>130.050976087113</v>
      </c>
      <c r="R246" s="29" t="n">
        <f aca="false">P246/Q246-1</f>
        <v>-0.0223642926496144</v>
      </c>
      <c r="S246" s="26" t="n">
        <f aca="false">IF(A246=Inputs!$C$12,"",F246)</f>
        <v>-0.0066625684457079</v>
      </c>
      <c r="T246" s="27" t="n">
        <f aca="false">IF(AND(A246&gt;Risk_Metrics!$C$28,P246&gt;=Risk_Metrics!$C$30),1,0)</f>
        <v>0</v>
      </c>
      <c r="U246" s="26" t="n">
        <f aca="false">IF(A246=Inputs!$C$12,"",K246)</f>
        <v>0.0031315876006579</v>
      </c>
    </row>
    <row r="247" customFormat="false" ht="15" hidden="false" customHeight="false" outlineLevel="0" collapsed="false">
      <c r="A247" s="25" t="n">
        <f aca="false">Prices!A248</f>
        <v>44068</v>
      </c>
      <c r="B247" s="26" t="n">
        <f aca="false">Prices!B248/Prices!B247-1</f>
        <v>0.0188679245283019</v>
      </c>
      <c r="C247" s="26" t="n">
        <f aca="false">Prices!C248/Prices!C247-1</f>
        <v>0.0155994096354388</v>
      </c>
      <c r="D247" s="26" t="n">
        <f aca="false">Prices!D248/Prices!D247-1</f>
        <v>-0.0169300601956357</v>
      </c>
      <c r="E247" s="26" t="n">
        <f aca="false">Prices!E248/Prices!E247-1</f>
        <v>0.00265083599814786</v>
      </c>
      <c r="F247" s="26" t="n">
        <f aca="false">Prices!F248/Prices!F247-1</f>
        <v>0.00609750545261534</v>
      </c>
      <c r="G247" s="26" t="n">
        <f aca="false">Prices!G248/Prices!G247-1</f>
        <v>-0.0208239474875509</v>
      </c>
      <c r="H247" s="26" t="n">
        <f aca="false">Prices!H248/Prices!H247-1</f>
        <v>-0.0043534176906147</v>
      </c>
      <c r="I247" s="26" t="n">
        <f aca="false">Prices!I248/Prices!I247-1</f>
        <v>-0.00675969188168613</v>
      </c>
      <c r="J247" s="26" t="n">
        <f aca="false">Prices!J248/Prices!J247-1</f>
        <v>-0.0212833548488462</v>
      </c>
      <c r="K247" s="26" t="n">
        <f aca="false">SUMPRODUCT(B247:J247,Optimization!$C$7:$K$7)</f>
        <v>-0.00299275516553664</v>
      </c>
      <c r="L247" s="26" t="n">
        <f aca="false">SUMPRODUCT(B247:J247,Optimization!$C$8:$K$8)</f>
        <v>-0.00678964965846487</v>
      </c>
      <c r="M247" s="26" t="n">
        <f aca="false">SUMPRODUCT(B247:J247,Optimization!$C$9:$K$9)</f>
        <v>-0.0051191651529934</v>
      </c>
      <c r="N247" s="26" t="n">
        <f aca="false">SUMPRODUCT(B247:J247,Optimization!$C$10:$K$10)</f>
        <v>-0.00636326765782437</v>
      </c>
      <c r="O247" s="27" t="n">
        <f aca="false">IF(AND(A247&gt;=Inputs!$C$6,A247&lt;=Inputs!$C$7),1,0)</f>
        <v>0</v>
      </c>
      <c r="P247" s="28" t="n">
        <f aca="false">P246*(1+K247)</f>
        <v>126.761971690744</v>
      </c>
      <c r="Q247" s="28" t="n">
        <f aca="false">MAX(Q246,P247)</f>
        <v>130.050976087113</v>
      </c>
      <c r="R247" s="29" t="n">
        <f aca="false">P247/Q247-1</f>
        <v>-0.0252901169628003</v>
      </c>
      <c r="S247" s="26" t="n">
        <f aca="false">IF(A247=Inputs!$C$12,"",F247)</f>
        <v>0.00609750545261534</v>
      </c>
      <c r="T247" s="27" t="n">
        <f aca="false">IF(AND(A247&gt;Risk_Metrics!$C$28,P247&gt;=Risk_Metrics!$C$30),1,0)</f>
        <v>0</v>
      </c>
      <c r="U247" s="26" t="n">
        <f aca="false">IF(A247=Inputs!$C$12,"",K247)</f>
        <v>-0.00299275516553664</v>
      </c>
    </row>
    <row r="248" customFormat="false" ht="15" hidden="false" customHeight="false" outlineLevel="0" collapsed="false">
      <c r="A248" s="25" t="n">
        <f aca="false">Prices!A249</f>
        <v>44069</v>
      </c>
      <c r="B248" s="26" t="n">
        <f aca="false">Prices!B249/Prices!B248-1</f>
        <v>0.00314811111111113</v>
      </c>
      <c r="C248" s="26" t="n">
        <f aca="false">Prices!C249/Prices!C248-1</f>
        <v>-0.0218270489599507</v>
      </c>
      <c r="D248" s="26" t="n">
        <f aca="false">Prices!D249/Prices!D248-1</f>
        <v>0.00191354771961527</v>
      </c>
      <c r="E248" s="26" t="n">
        <f aca="false">Prices!E249/Prices!E248-1</f>
        <v>-0.0152532037930935</v>
      </c>
      <c r="F248" s="26" t="n">
        <f aca="false">Prices!F249/Prices!F248-1</f>
        <v>-0.0266666986575493</v>
      </c>
      <c r="G248" s="26" t="n">
        <f aca="false">Prices!G249/Prices!G248-1</f>
        <v>-0.00554780423244583</v>
      </c>
      <c r="H248" s="26" t="n">
        <f aca="false">Prices!H249/Prices!H248-1</f>
        <v>-0.0284215991070572</v>
      </c>
      <c r="I248" s="26" t="n">
        <f aca="false">Prices!I249/Prices!I248-1</f>
        <v>-0.0186607671473459</v>
      </c>
      <c r="J248" s="26" t="n">
        <f aca="false">Prices!J249/Prices!J248-1</f>
        <v>0.00210972090408501</v>
      </c>
      <c r="K248" s="26" t="n">
        <f aca="false">SUMPRODUCT(B248:J248,Optimization!$C$7:$K$7)</f>
        <v>-0.0121339713514034</v>
      </c>
      <c r="L248" s="26" t="n">
        <f aca="false">SUMPRODUCT(B248:J248,Optimization!$C$8:$K$8)</f>
        <v>-0.00298822030637488</v>
      </c>
      <c r="M248" s="26" t="n">
        <f aca="false">SUMPRODUCT(B248:J248,Optimization!$C$9:$K$9)</f>
        <v>-0.00417094029175443</v>
      </c>
      <c r="N248" s="26" t="n">
        <f aca="false">SUMPRODUCT(B248:J248,Optimization!$C$10:$K$10)</f>
        <v>-0.00183782326515555</v>
      </c>
      <c r="O248" s="27" t="n">
        <f aca="false">IF(AND(A248&gt;=Inputs!$C$6,A248&lt;=Inputs!$C$7),1,0)</f>
        <v>0</v>
      </c>
      <c r="P248" s="28" t="n">
        <f aca="false">P247*(1+K248)</f>
        <v>125.223845557801</v>
      </c>
      <c r="Q248" s="28" t="n">
        <f aca="false">MAX(Q247,P248)</f>
        <v>130.050976087113</v>
      </c>
      <c r="R248" s="29" t="n">
        <f aca="false">P248/Q248-1</f>
        <v>-0.0371172187595035</v>
      </c>
      <c r="S248" s="26" t="n">
        <f aca="false">IF(A248=Inputs!$C$12,"",F248)</f>
        <v>-0.0266666986575493</v>
      </c>
      <c r="T248" s="27" t="n">
        <f aca="false">IF(AND(A248&gt;Risk_Metrics!$C$28,P248&gt;=Risk_Metrics!$C$30),1,0)</f>
        <v>0</v>
      </c>
      <c r="U248" s="26" t="n">
        <f aca="false">IF(A248=Inputs!$C$12,"",K248)</f>
        <v>-0.0121339713514034</v>
      </c>
    </row>
    <row r="249" customFormat="false" ht="15" hidden="false" customHeight="false" outlineLevel="0" collapsed="false">
      <c r="A249" s="25" t="n">
        <f aca="false">Prices!A250</f>
        <v>44070</v>
      </c>
      <c r="B249" s="26" t="n">
        <f aca="false">Prices!B250/Prices!B249-1</f>
        <v>0.0116300724249612</v>
      </c>
      <c r="C249" s="26" t="n">
        <f aca="false">Prices!C250/Prices!C249-1</f>
        <v>-0.00363639681442629</v>
      </c>
      <c r="D249" s="26" t="n">
        <f aca="false">Prices!D250/Prices!D249-1</f>
        <v>-0.00381970970206269</v>
      </c>
      <c r="E249" s="26" t="n">
        <f aca="false">Prices!E250/Prices!E249-1</f>
        <v>0.0142503723358269</v>
      </c>
      <c r="F249" s="26" t="n">
        <f aca="false">Prices!F250/Prices!F249-1</f>
        <v>0.00747203750721703</v>
      </c>
      <c r="G249" s="26" t="n">
        <f aca="false">Prices!G250/Prices!G249-1</f>
        <v>-0.000464900046490024</v>
      </c>
      <c r="H249" s="26" t="n">
        <f aca="false">Prices!H250/Prices!H249-1</f>
        <v>-0.00315027016877911</v>
      </c>
      <c r="I249" s="26" t="n">
        <f aca="false">Prices!I250/Prices!I249-1</f>
        <v>-0.0129754223521862</v>
      </c>
      <c r="J249" s="26" t="n">
        <f aca="false">Prices!J250/Prices!J249-1</f>
        <v>-0.0155465425101216</v>
      </c>
      <c r="K249" s="26" t="n">
        <f aca="false">SUMPRODUCT(B249:J249,Optimization!$C$7:$K$7)</f>
        <v>-0.000693417702895636</v>
      </c>
      <c r="L249" s="26" t="n">
        <f aca="false">SUMPRODUCT(B249:J249,Optimization!$C$8:$K$8)</f>
        <v>-0.00421560679074088</v>
      </c>
      <c r="M249" s="26" t="n">
        <f aca="false">SUMPRODUCT(B249:J249,Optimization!$C$9:$K$9)</f>
        <v>-0.00487851822768729</v>
      </c>
      <c r="N249" s="26" t="n">
        <f aca="false">SUMPRODUCT(B249:J249,Optimization!$C$10:$K$10)</f>
        <v>-0.00309671436529158</v>
      </c>
      <c r="O249" s="27" t="n">
        <f aca="false">IF(AND(A249&gt;=Inputs!$C$6,A249&lt;=Inputs!$C$7),1,0)</f>
        <v>0</v>
      </c>
      <c r="P249" s="28" t="n">
        <f aca="false">P248*(1+K249)</f>
        <v>125.137013126466</v>
      </c>
      <c r="Q249" s="28" t="n">
        <f aca="false">MAX(Q248,P249)</f>
        <v>130.050976087113</v>
      </c>
      <c r="R249" s="29" t="n">
        <f aca="false">P249/Q249-1</f>
        <v>-0.0377848987258291</v>
      </c>
      <c r="S249" s="26" t="n">
        <f aca="false">IF(A249=Inputs!$C$12,"",F249)</f>
        <v>0.00747203750721703</v>
      </c>
      <c r="T249" s="27" t="n">
        <f aca="false">IF(AND(A249&gt;Risk_Metrics!$C$28,P249&gt;=Risk_Metrics!$C$30),1,0)</f>
        <v>0</v>
      </c>
      <c r="U249" s="26" t="n">
        <f aca="false">IF(A249=Inputs!$C$12,"",K249)</f>
        <v>-0.000693417702895636</v>
      </c>
    </row>
    <row r="250" customFormat="false" ht="15" hidden="false" customHeight="false" outlineLevel="0" collapsed="false">
      <c r="A250" s="25" t="n">
        <f aca="false">Prices!A251</f>
        <v>44071</v>
      </c>
      <c r="B250" s="26" t="n">
        <f aca="false">Prices!B251/Prices!B250-1</f>
        <v>0.0412409131613305</v>
      </c>
      <c r="C250" s="26" t="n">
        <f aca="false">Prices!C251/Prices!C250-1</f>
        <v>0.0122761122943671</v>
      </c>
      <c r="D250" s="26" t="n">
        <f aca="false">Prices!D251/Prices!D250-1</f>
        <v>0.00345092024539895</v>
      </c>
      <c r="E250" s="26" t="n">
        <f aca="false">Prices!E251/Prices!E250-1</f>
        <v>0.0181225612273965</v>
      </c>
      <c r="F250" s="26" t="n">
        <f aca="false">Prices!F251/Prices!F250-1</f>
        <v>0.0262669902141335</v>
      </c>
      <c r="G250" s="26" t="n">
        <f aca="false">Prices!G251/Prices!G250-1</f>
        <v>0.0051163255813953</v>
      </c>
      <c r="H250" s="26" t="n">
        <f aca="false">Prices!H251/Prices!H250-1</f>
        <v>0.0176072686230249</v>
      </c>
      <c r="I250" s="26" t="n">
        <f aca="false">Prices!I251/Prices!I250-1</f>
        <v>0.015412488510026</v>
      </c>
      <c r="J250" s="26" t="n">
        <f aca="false">Prices!J251/Prices!J250-1</f>
        <v>0.00509947351374462</v>
      </c>
      <c r="K250" s="26" t="n">
        <f aca="false">SUMPRODUCT(B250:J250,Optimization!$C$7:$K$7)</f>
        <v>0.0160658948189797</v>
      </c>
      <c r="L250" s="26" t="n">
        <f aca="false">SUMPRODUCT(B250:J250,Optimization!$C$8:$K$8)</f>
        <v>0.0119861361540886</v>
      </c>
      <c r="M250" s="26" t="n">
        <f aca="false">SUMPRODUCT(B250:J250,Optimization!$C$9:$K$9)</f>
        <v>0.0137704322066828</v>
      </c>
      <c r="N250" s="26" t="n">
        <f aca="false">SUMPRODUCT(B250:J250,Optimization!$C$10:$K$10)</f>
        <v>0.0120511552237965</v>
      </c>
      <c r="O250" s="27" t="n">
        <f aca="false">IF(AND(A250&gt;=Inputs!$C$6,A250&lt;=Inputs!$C$7),1,0)</f>
        <v>0</v>
      </c>
      <c r="P250" s="28" t="n">
        <f aca="false">P249*(1+K250)</f>
        <v>127.147451217317</v>
      </c>
      <c r="Q250" s="28" t="n">
        <f aca="false">MAX(Q249,P250)</f>
        <v>130.050976087113</v>
      </c>
      <c r="R250" s="29" t="n">
        <f aca="false">P250/Q250-1</f>
        <v>-0.0223260521155243</v>
      </c>
      <c r="S250" s="26" t="n">
        <f aca="false">IF(A250=Inputs!$C$12,"",F250)</f>
        <v>0.0262669902141335</v>
      </c>
      <c r="T250" s="27" t="n">
        <f aca="false">IF(AND(A250&gt;Risk_Metrics!$C$28,P250&gt;=Risk_Metrics!$C$30),1,0)</f>
        <v>0</v>
      </c>
      <c r="U250" s="26" t="n">
        <f aca="false">IF(A250=Inputs!$C$12,"",K250)</f>
        <v>0.0160658948189797</v>
      </c>
    </row>
    <row r="251" customFormat="false" ht="15" hidden="false" customHeight="false" outlineLevel="0" collapsed="false">
      <c r="A251" s="25" t="n">
        <f aca="false">Prices!A252</f>
        <v>44074</v>
      </c>
      <c r="B251" s="26" t="n">
        <f aca="false">Prices!B252/Prices!B251-1</f>
        <v>-0.0164739218984591</v>
      </c>
      <c r="C251" s="26" t="n">
        <f aca="false">Prices!C252/Prices!C251-1</f>
        <v>-0.0363815142576204</v>
      </c>
      <c r="D251" s="26" t="n">
        <f aca="false">Prices!D252/Prices!D251-1</f>
        <v>-0.0160489109667559</v>
      </c>
      <c r="E251" s="26" t="n">
        <f aca="false">Prices!E252/Prices!E251-1</f>
        <v>-0.0354000000000001</v>
      </c>
      <c r="F251" s="26" t="n">
        <f aca="false">Prices!F252/Prices!F251-1</f>
        <v>-0.0283047122340827</v>
      </c>
      <c r="G251" s="26" t="n">
        <f aca="false">Prices!G252/Prices!G251-1</f>
        <v>-0.0365571940510322</v>
      </c>
      <c r="H251" s="26" t="n">
        <f aca="false">Prices!H252/Prices!H251-1</f>
        <v>-0.0288377094570671</v>
      </c>
      <c r="I251" s="26" t="n">
        <f aca="false">Prices!I252/Prices!I251-1</f>
        <v>-0.0256696291841786</v>
      </c>
      <c r="J251" s="26" t="n">
        <f aca="false">Prices!J252/Prices!J251-1</f>
        <v>-0.0232405572255502</v>
      </c>
      <c r="K251" s="26" t="n">
        <f aca="false">SUMPRODUCT(B251:J251,Optimization!$C$7:$K$7)</f>
        <v>-0.0274349054749718</v>
      </c>
      <c r="L251" s="26" t="n">
        <f aca="false">SUMPRODUCT(B251:J251,Optimization!$C$8:$K$8)</f>
        <v>-0.0209039715689979</v>
      </c>
      <c r="M251" s="26" t="n">
        <f aca="false">SUMPRODUCT(B251:J251,Optimization!$C$9:$K$9)</f>
        <v>-0.0221084500411618</v>
      </c>
      <c r="N251" s="26" t="n">
        <f aca="false">SUMPRODUCT(B251:J251,Optimization!$C$10:$K$10)</f>
        <v>-0.0203249761815559</v>
      </c>
      <c r="O251" s="27" t="n">
        <f aca="false">IF(AND(A251&gt;=Inputs!$C$6,A251&lt;=Inputs!$C$7),1,0)</f>
        <v>0</v>
      </c>
      <c r="P251" s="28" t="n">
        <f aca="false">P250*(1+K251)</f>
        <v>123.659172911787</v>
      </c>
      <c r="Q251" s="28" t="n">
        <f aca="false">MAX(Q250,P251)</f>
        <v>130.050976087113</v>
      </c>
      <c r="R251" s="29" t="n">
        <f aca="false">P251/Q251-1</f>
        <v>-0.0491484444610775</v>
      </c>
      <c r="S251" s="26" t="n">
        <f aca="false">IF(A251=Inputs!$C$12,"",F251)</f>
        <v>-0.0283047122340827</v>
      </c>
      <c r="T251" s="27" t="n">
        <f aca="false">IF(AND(A251&gt;Risk_Metrics!$C$28,P251&gt;=Risk_Metrics!$C$30),1,0)</f>
        <v>0</v>
      </c>
      <c r="U251" s="26" t="n">
        <f aca="false">IF(A251=Inputs!$C$12,"",K251)</f>
        <v>-0.0274349054749718</v>
      </c>
    </row>
    <row r="252" customFormat="false" ht="15" hidden="false" customHeight="false" outlineLevel="0" collapsed="false">
      <c r="A252" s="25" t="n">
        <f aca="false">Prices!A253</f>
        <v>44075</v>
      </c>
      <c r="B252" s="26" t="n">
        <f aca="false">Prices!B253/Prices!B252-1</f>
        <v>0.0490021391482918</v>
      </c>
      <c r="C252" s="26" t="n">
        <f aca="false">Prices!C253/Prices!C252-1</f>
        <v>0.0212584693877551</v>
      </c>
      <c r="D252" s="26" t="n">
        <f aca="false">Prices!D253/Prices!D252-1</f>
        <v>0.0132038834951456</v>
      </c>
      <c r="E252" s="26" t="n">
        <f aca="false">Prices!E253/Prices!E252-1</f>
        <v>0.0449927845739166</v>
      </c>
      <c r="F252" s="26" t="n">
        <f aca="false">Prices!F253/Prices!F252-1</f>
        <v>0.0226215953103461</v>
      </c>
      <c r="G252" s="26" t="n">
        <f aca="false">Prices!G253/Prices!G252-1</f>
        <v>0.0600384245917387</v>
      </c>
      <c r="H252" s="26" t="n">
        <f aca="false">Prices!H253/Prices!H252-1</f>
        <v>0.044769394461827</v>
      </c>
      <c r="I252" s="26" t="n">
        <f aca="false">Prices!I253/Prices!I252-1</f>
        <v>0.0123710990623775</v>
      </c>
      <c r="J252" s="26" t="n">
        <f aca="false">Prices!J253/Prices!J252-1</f>
        <v>0.0348525134048259</v>
      </c>
      <c r="K252" s="26" t="n">
        <f aca="false">SUMPRODUCT(B252:J252,Optimization!$C$7:$K$7)</f>
        <v>0.0336789226040249</v>
      </c>
      <c r="L252" s="26" t="n">
        <f aca="false">SUMPRODUCT(B252:J252,Optimization!$C$8:$K$8)</f>
        <v>0.0233648579163388</v>
      </c>
      <c r="M252" s="26" t="n">
        <f aca="false">SUMPRODUCT(B252:J252,Optimization!$C$9:$K$9)</f>
        <v>0.0258652556484963</v>
      </c>
      <c r="N252" s="26" t="n">
        <f aca="false">SUMPRODUCT(B252:J252,Optimization!$C$10:$K$10)</f>
        <v>0.0238333999335318</v>
      </c>
      <c r="O252" s="27" t="n">
        <f aca="false">IF(AND(A252&gt;=Inputs!$C$6,A252&lt;=Inputs!$C$7),1,0)</f>
        <v>0</v>
      </c>
      <c r="P252" s="28" t="n">
        <f aca="false">P251*(1+K252)</f>
        <v>127.82388062556</v>
      </c>
      <c r="Q252" s="28" t="n">
        <f aca="false">MAX(Q251,P252)</f>
        <v>130.050976087113</v>
      </c>
      <c r="R252" s="29" t="n">
        <f aca="false">P252/Q252-1</f>
        <v>-0.0171247885141655</v>
      </c>
      <c r="S252" s="26" t="n">
        <f aca="false">IF(A252=Inputs!$C$12,"",F252)</f>
        <v>0.0226215953103461</v>
      </c>
      <c r="T252" s="27" t="n">
        <f aca="false">IF(AND(A252&gt;Risk_Metrics!$C$28,P252&gt;=Risk_Metrics!$C$30),1,0)</f>
        <v>0</v>
      </c>
      <c r="U252" s="26" t="n">
        <f aca="false">IF(A252=Inputs!$C$12,"",K252)</f>
        <v>0.0336789226040249</v>
      </c>
    </row>
    <row r="253" customFormat="false" ht="15" hidden="false" customHeight="false" outlineLevel="0" collapsed="false">
      <c r="A253" s="25" t="n">
        <f aca="false">Prices!A254</f>
        <v>44076</v>
      </c>
      <c r="B253" s="26" t="n">
        <f aca="false">Prices!B254/Prices!B253-1</f>
        <v>0.00883302206273195</v>
      </c>
      <c r="C253" s="26" t="n">
        <f aca="false">Prices!C254/Prices!C253-1</f>
        <v>-0.00133218988616801</v>
      </c>
      <c r="D253" s="26" t="n">
        <f aca="false">Prices!D254/Prices!D253-1</f>
        <v>-0.0268302414718283</v>
      </c>
      <c r="E253" s="26" t="n">
        <f aca="false">Prices!E254/Prices!E253-1</f>
        <v>0.0128967653612395</v>
      </c>
      <c r="F253" s="26" t="n">
        <f aca="false">Prices!F254/Prices!F253-1</f>
        <v>-0.0133333341432291</v>
      </c>
      <c r="G253" s="26" t="n">
        <f aca="false">Prices!G254/Prices!G253-1</f>
        <v>-0.00543719981875845</v>
      </c>
      <c r="H253" s="26" t="n">
        <f aca="false">Prices!H254/Prices!H253-1</f>
        <v>-0.00306086562917063</v>
      </c>
      <c r="I253" s="26" t="n">
        <f aca="false">Prices!I254/Prices!I253-1</f>
        <v>-0.000452526434374656</v>
      </c>
      <c r="J253" s="26" t="n">
        <f aca="false">Prices!J254/Prices!J253-1</f>
        <v>-0.00712432017889642</v>
      </c>
      <c r="K253" s="26" t="n">
        <f aca="false">SUMPRODUCT(B253:J253,Optimization!$C$7:$K$7)</f>
        <v>-0.00398232112649491</v>
      </c>
      <c r="L253" s="26" t="n">
        <f aca="false">SUMPRODUCT(B253:J253,Optimization!$C$8:$K$8)</f>
        <v>-0.0120467880012703</v>
      </c>
      <c r="M253" s="26" t="n">
        <f aca="false">SUMPRODUCT(B253:J253,Optimization!$C$9:$K$9)</f>
        <v>-0.00833842927812891</v>
      </c>
      <c r="N253" s="26" t="n">
        <f aca="false">SUMPRODUCT(B253:J253,Optimization!$C$10:$K$10)</f>
        <v>-0.0131439480380464</v>
      </c>
      <c r="O253" s="27" t="n">
        <f aca="false">IF(AND(A253&gt;=Inputs!$C$6,A253&lt;=Inputs!$C$7),1,0)</f>
        <v>0</v>
      </c>
      <c r="P253" s="28" t="n">
        <f aca="false">P252*(1+K253)</f>
        <v>127.314844885275</v>
      </c>
      <c r="Q253" s="28" t="n">
        <f aca="false">MAX(Q252,P253)</f>
        <v>130.050976087113</v>
      </c>
      <c r="R253" s="29" t="n">
        <f aca="false">P253/Q253-1</f>
        <v>-0.0210389132335737</v>
      </c>
      <c r="S253" s="26" t="n">
        <f aca="false">IF(A253=Inputs!$C$12,"",F253)</f>
        <v>-0.0133333341432291</v>
      </c>
      <c r="T253" s="27" t="n">
        <f aca="false">IF(AND(A253&gt;Risk_Metrics!$C$28,P253&gt;=Risk_Metrics!$C$30),1,0)</f>
        <v>0</v>
      </c>
      <c r="U253" s="26" t="n">
        <f aca="false">IF(A253=Inputs!$C$12,"",K253)</f>
        <v>-0.00398232112649491</v>
      </c>
    </row>
    <row r="254" customFormat="false" ht="15" hidden="false" customHeight="false" outlineLevel="0" collapsed="false">
      <c r="A254" s="25" t="n">
        <f aca="false">Prices!A255</f>
        <v>44077</v>
      </c>
      <c r="B254" s="26" t="n">
        <f aca="false">Prices!B255/Prices!B254-1</f>
        <v>-0.0205421960017208</v>
      </c>
      <c r="C254" s="26" t="n">
        <f aca="false">Prices!C255/Prices!C254-1</f>
        <v>-0.0358512756378188</v>
      </c>
      <c r="D254" s="26" t="n">
        <f aca="false">Prices!D255/Prices!D254-1</f>
        <v>-0.0114217806782898</v>
      </c>
      <c r="E254" s="26" t="n">
        <f aca="false">Prices!E255/Prices!E254-1</f>
        <v>-0.00705191003039984</v>
      </c>
      <c r="F254" s="26" t="n">
        <f aca="false">Prices!F255/Prices!F254-1</f>
        <v>-0.0522113529970142</v>
      </c>
      <c r="G254" s="26" t="n">
        <f aca="false">Prices!G255/Prices!G254-1</f>
        <v>-0.0127563092138355</v>
      </c>
      <c r="H254" s="26" t="n">
        <f aca="false">Prices!H255/Prices!H254-1</f>
        <v>0.00350877208371814</v>
      </c>
      <c r="I254" s="26" t="n">
        <f aca="false">Prices!I255/Prices!I254-1</f>
        <v>-0.00611278990036179</v>
      </c>
      <c r="J254" s="26" t="n">
        <f aca="false">Prices!J255/Prices!J254-1</f>
        <v>-0.0326157860404436</v>
      </c>
      <c r="K254" s="26" t="n">
        <f aca="false">SUMPRODUCT(B254:J254,Optimization!$C$7:$K$7)</f>
        <v>-0.0194505142684629</v>
      </c>
      <c r="L254" s="26" t="n">
        <f aca="false">SUMPRODUCT(B254:J254,Optimization!$C$8:$K$8)</f>
        <v>-0.0190109365456667</v>
      </c>
      <c r="M254" s="26" t="n">
        <f aca="false">SUMPRODUCT(B254:J254,Optimization!$C$9:$K$9)</f>
        <v>-0.0209046795834414</v>
      </c>
      <c r="N254" s="26" t="n">
        <f aca="false">SUMPRODUCT(B254:J254,Optimization!$C$10:$K$10)</f>
        <v>-0.0193401078686089</v>
      </c>
      <c r="O254" s="27" t="n">
        <f aca="false">IF(AND(A254&gt;=Inputs!$C$6,A254&lt;=Inputs!$C$7),1,0)</f>
        <v>0</v>
      </c>
      <c r="P254" s="28" t="n">
        <f aca="false">P253*(1+K254)</f>
        <v>124.838505678246</v>
      </c>
      <c r="Q254" s="28" t="n">
        <f aca="false">MAX(Q253,P254)</f>
        <v>130.050976087113</v>
      </c>
      <c r="R254" s="29" t="n">
        <f aca="false">P254/Q254-1</f>
        <v>-0.0400802098199941</v>
      </c>
      <c r="S254" s="26" t="n">
        <f aca="false">IF(A254=Inputs!$C$12,"",F254)</f>
        <v>-0.0522113529970142</v>
      </c>
      <c r="T254" s="27" t="n">
        <f aca="false">IF(AND(A254&gt;Risk_Metrics!$C$28,P254&gt;=Risk_Metrics!$C$30),1,0)</f>
        <v>0</v>
      </c>
      <c r="U254" s="26" t="n">
        <f aca="false">IF(A254=Inputs!$C$12,"",K254)</f>
        <v>-0.0194505142684629</v>
      </c>
    </row>
    <row r="255" customFormat="false" ht="15" hidden="false" customHeight="false" outlineLevel="0" collapsed="false">
      <c r="A255" s="25" t="n">
        <f aca="false">Prices!A256</f>
        <v>44078</v>
      </c>
      <c r="B255" s="26" t="n">
        <f aca="false">Prices!B256/Prices!B255-1</f>
        <v>0.0113461238214243</v>
      </c>
      <c r="C255" s="26" t="n">
        <f aca="false">Prices!C256/Prices!C255-1</f>
        <v>0.00882047749603032</v>
      </c>
      <c r="D255" s="26" t="n">
        <f aca="false">Prices!D256/Prices!D255-1</f>
        <v>-0.00358565737051797</v>
      </c>
      <c r="E255" s="26" t="n">
        <f aca="false">Prices!E256/Prices!E255-1</f>
        <v>0.00118368516835043</v>
      </c>
      <c r="F255" s="26" t="n">
        <f aca="false">Prices!F256/Prices!F255-1</f>
        <v>-0.000648082309668618</v>
      </c>
      <c r="G255" s="26" t="n">
        <f aca="false">Prices!G256/Prices!G255-1</f>
        <v>0.0267651130595292</v>
      </c>
      <c r="H255" s="26" t="n">
        <f aca="false">Prices!H256/Prices!H255-1</f>
        <v>0.0017482955309569</v>
      </c>
      <c r="I255" s="26" t="n">
        <f aca="false">Prices!I256/Prices!I255-1</f>
        <v>0.00410020805718303</v>
      </c>
      <c r="J255" s="26" t="n">
        <f aca="false">Prices!J256/Prices!J255-1</f>
        <v>0.0197235670937288</v>
      </c>
      <c r="K255" s="26" t="n">
        <f aca="false">SUMPRODUCT(B255:J255,Optimization!$C$7:$K$7)</f>
        <v>0.00771708117189071</v>
      </c>
      <c r="L255" s="26" t="n">
        <f aca="false">SUMPRODUCT(B255:J255,Optimization!$C$8:$K$8)</f>
        <v>0.00498534860640536</v>
      </c>
      <c r="M255" s="26" t="n">
        <f aca="false">SUMPRODUCT(B255:J255,Optimization!$C$9:$K$9)</f>
        <v>0.00740844974623334</v>
      </c>
      <c r="N255" s="26" t="n">
        <f aca="false">SUMPRODUCT(B255:J255,Optimization!$C$10:$K$10)</f>
        <v>0.00447954496932844</v>
      </c>
      <c r="O255" s="27" t="n">
        <f aca="false">IF(AND(A255&gt;=Inputs!$C$6,A255&lt;=Inputs!$C$7),1,0)</f>
        <v>0</v>
      </c>
      <c r="P255" s="28" t="n">
        <f aca="false">P254*(1+K255)</f>
        <v>125.801894559943</v>
      </c>
      <c r="Q255" s="28" t="n">
        <f aca="false">MAX(Q254,P255)</f>
        <v>130.050976087113</v>
      </c>
      <c r="R255" s="29" t="n">
        <f aca="false">P255/Q255-1</f>
        <v>-0.0326724308806705</v>
      </c>
      <c r="S255" s="26" t="n">
        <f aca="false">IF(A255=Inputs!$C$12,"",F255)</f>
        <v>-0.000648082309668618</v>
      </c>
      <c r="T255" s="27" t="n">
        <f aca="false">IF(AND(A255&gt;Risk_Metrics!$C$28,P255&gt;=Risk_Metrics!$C$30),1,0)</f>
        <v>0</v>
      </c>
      <c r="U255" s="26" t="n">
        <f aca="false">IF(A255=Inputs!$C$12,"",K255)</f>
        <v>0.00771708117189071</v>
      </c>
    </row>
    <row r="256" customFormat="false" ht="15" hidden="false" customHeight="false" outlineLevel="0" collapsed="false">
      <c r="A256" s="25" t="n">
        <f aca="false">Prices!A257</f>
        <v>44082</v>
      </c>
      <c r="B256" s="26" t="n">
        <f aca="false">Prices!B257/Prices!B256-1</f>
        <v>-0.00356965821622779</v>
      </c>
      <c r="C256" s="26" t="n">
        <f aca="false">Prices!C257/Prices!C256-1</f>
        <v>-0.0221156012706258</v>
      </c>
      <c r="D256" s="26" t="n">
        <f aca="false">Prices!D257/Prices!D256-1</f>
        <v>-0.0231907237105159</v>
      </c>
      <c r="E256" s="26" t="n">
        <f aca="false">Prices!E257/Prices!E256-1</f>
        <v>0.05871921182266</v>
      </c>
      <c r="F256" s="26" t="n">
        <f aca="false">Prices!F257/Prices!F256-1</f>
        <v>0.00421534809835022</v>
      </c>
      <c r="G256" s="26" t="n">
        <f aca="false">Prices!G257/Prices!G256-1</f>
        <v>0.0404494382022471</v>
      </c>
      <c r="H256" s="26" t="n">
        <f aca="false">Prices!H257/Prices!H256-1</f>
        <v>-0.0287958115183247</v>
      </c>
      <c r="I256" s="26" t="n">
        <f aca="false">Prices!I257/Prices!I256-1</f>
        <v>-0.0131578289468265</v>
      </c>
      <c r="J256" s="26" t="n">
        <f aca="false">Prices!J257/Prices!J256-1</f>
        <v>-0.0201686553093516</v>
      </c>
      <c r="K256" s="26" t="n">
        <f aca="false">SUMPRODUCT(B256:J256,Optimization!$C$7:$K$7)</f>
        <v>-0.00084603120540166</v>
      </c>
      <c r="L256" s="26" t="n">
        <f aca="false">SUMPRODUCT(B256:J256,Optimization!$C$8:$K$8)</f>
        <v>-0.0184795668826174</v>
      </c>
      <c r="M256" s="26" t="n">
        <f aca="false">SUMPRODUCT(B256:J256,Optimization!$C$9:$K$9)</f>
        <v>-0.0173006492285126</v>
      </c>
      <c r="N256" s="26" t="n">
        <f aca="false">SUMPRODUCT(B256:J256,Optimization!$C$10:$K$10)</f>
        <v>-0.0187548642648203</v>
      </c>
      <c r="O256" s="27" t="n">
        <f aca="false">IF(AND(A256&gt;=Inputs!$C$6,A256&lt;=Inputs!$C$7),1,0)</f>
        <v>0</v>
      </c>
      <c r="P256" s="28" t="n">
        <f aca="false">P255*(1+K256)</f>
        <v>125.695462231447</v>
      </c>
      <c r="Q256" s="28" t="n">
        <f aca="false">MAX(Q255,P256)</f>
        <v>130.050976087113</v>
      </c>
      <c r="R256" s="29" t="n">
        <f aca="false">P256/Q256-1</f>
        <v>-0.0334908201899907</v>
      </c>
      <c r="S256" s="26" t="n">
        <f aca="false">IF(A256=Inputs!$C$12,"",F256)</f>
        <v>0.00421534809835022</v>
      </c>
      <c r="T256" s="27" t="n">
        <f aca="false">IF(AND(A256&gt;Risk_Metrics!$C$28,P256&gt;=Risk_Metrics!$C$30),1,0)</f>
        <v>0</v>
      </c>
      <c r="U256" s="26" t="n">
        <f aca="false">IF(A256=Inputs!$C$12,"",K256)</f>
        <v>-0.00084603120540166</v>
      </c>
    </row>
    <row r="257" customFormat="false" ht="15" hidden="false" customHeight="false" outlineLevel="0" collapsed="false">
      <c r="A257" s="25" t="n">
        <f aca="false">Prices!A258</f>
        <v>44083</v>
      </c>
      <c r="B257" s="26" t="n">
        <f aca="false">Prices!B258/Prices!B257-1</f>
        <v>0.0272944733417686</v>
      </c>
      <c r="C257" s="26" t="n">
        <f aca="false">Prices!C258/Prices!C257-1</f>
        <v>0.0213885709248649</v>
      </c>
      <c r="D257" s="26" t="n">
        <f aca="false">Prices!D258/Prices!D257-1</f>
        <v>0.0167826442898076</v>
      </c>
      <c r="E257" s="26" t="n">
        <f aca="false">Prices!E258/Prices!E257-1</f>
        <v>0.0212171784850177</v>
      </c>
      <c r="F257" s="26" t="n">
        <f aca="false">Prices!F258/Prices!F257-1</f>
        <v>-0.0019373735724264</v>
      </c>
      <c r="G257" s="26" t="n">
        <f aca="false">Prices!G258/Prices!G257-1</f>
        <v>-0.0151188336933045</v>
      </c>
      <c r="H257" s="26" t="n">
        <f aca="false">Prices!H258/Prices!H257-1</f>
        <v>0.0211141060197664</v>
      </c>
      <c r="I257" s="26" t="n">
        <f aca="false">Prices!I258/Prices!I257-1</f>
        <v>-0.000229939133189139</v>
      </c>
      <c r="J257" s="26" t="n">
        <f aca="false">Prices!J258/Prices!J257-1</f>
        <v>0.0123165176311792</v>
      </c>
      <c r="K257" s="26" t="n">
        <f aca="false">SUMPRODUCT(B257:J257,Optimization!$C$7:$K$7)</f>
        <v>0.0114252604770538</v>
      </c>
      <c r="L257" s="26" t="n">
        <f aca="false">SUMPRODUCT(B257:J257,Optimization!$C$8:$K$8)</f>
        <v>0.0166100304476484</v>
      </c>
      <c r="M257" s="26" t="n">
        <f aca="false">SUMPRODUCT(B257:J257,Optimization!$C$9:$K$9)</f>
        <v>0.0160068893031621</v>
      </c>
      <c r="N257" s="26" t="n">
        <f aca="false">SUMPRODUCT(B257:J257,Optimization!$C$10:$K$10)</f>
        <v>0.0180274860074085</v>
      </c>
      <c r="O257" s="27" t="n">
        <f aca="false">IF(AND(A257&gt;=Inputs!$C$6,A257&lt;=Inputs!$C$7),1,0)</f>
        <v>0</v>
      </c>
      <c r="P257" s="28" t="n">
        <f aca="false">P256*(1+K257)</f>
        <v>127.131565628225</v>
      </c>
      <c r="Q257" s="28" t="n">
        <f aca="false">MAX(Q256,P257)</f>
        <v>130.050976087113</v>
      </c>
      <c r="R257" s="29" t="n">
        <f aca="false">P257/Q257-1</f>
        <v>-0.0224482010571978</v>
      </c>
      <c r="S257" s="26" t="n">
        <f aca="false">IF(A257=Inputs!$C$12,"",F257)</f>
        <v>-0.0019373735724264</v>
      </c>
      <c r="T257" s="27" t="n">
        <f aca="false">IF(AND(A257&gt;Risk_Metrics!$C$28,P257&gt;=Risk_Metrics!$C$30),1,0)</f>
        <v>0</v>
      </c>
      <c r="U257" s="26" t="n">
        <f aca="false">IF(A257=Inputs!$C$12,"",K257)</f>
        <v>0.0114252604770538</v>
      </c>
    </row>
    <row r="258" customFormat="false" ht="15" hidden="false" customHeight="false" outlineLevel="0" collapsed="false">
      <c r="A258" s="25" t="n">
        <f aca="false">Prices!A259</f>
        <v>44084</v>
      </c>
      <c r="B258" s="26" t="n">
        <f aca="false">Prices!B259/Prices!B258-1</f>
        <v>-0.0541348712365515</v>
      </c>
      <c r="C258" s="26" t="n">
        <f aca="false">Prices!C259/Prices!C258-1</f>
        <v>-0.0387916580844492</v>
      </c>
      <c r="D258" s="26" t="n">
        <f aca="false">Prices!D259/Prices!D258-1</f>
        <v>-0.0124798309178744</v>
      </c>
      <c r="E258" s="26" t="n">
        <f aca="false">Prices!E259/Prices!E258-1</f>
        <v>-0.0537634600649437</v>
      </c>
      <c r="F258" s="26" t="n">
        <f aca="false">Prices!F259/Prices!F258-1</f>
        <v>-0.0245875170727958</v>
      </c>
      <c r="G258" s="26" t="n">
        <f aca="false">Prices!G259/Prices!G258-1</f>
        <v>-0.0210525886426574</v>
      </c>
      <c r="H258" s="26" t="n">
        <f aca="false">Prices!H259/Prices!H258-1</f>
        <v>-0.0268367355917291</v>
      </c>
      <c r="I258" s="26" t="n">
        <f aca="false">Prices!I259/Prices!I258-1</f>
        <v>-0.0342607367679255</v>
      </c>
      <c r="J258" s="26" t="n">
        <f aca="false">Prices!J259/Prices!J258-1</f>
        <v>-0.0245000166666667</v>
      </c>
      <c r="K258" s="26" t="n">
        <f aca="false">SUMPRODUCT(B258:J258,Optimization!$C$7:$K$7)</f>
        <v>-0.0322674905606215</v>
      </c>
      <c r="L258" s="26" t="n">
        <f aca="false">SUMPRODUCT(B258:J258,Optimization!$C$8:$K$8)</f>
        <v>-0.0265844188565555</v>
      </c>
      <c r="M258" s="26" t="n">
        <f aca="false">SUMPRODUCT(B258:J258,Optimization!$C$9:$K$9)</f>
        <v>-0.0297958832587939</v>
      </c>
      <c r="N258" s="26" t="n">
        <f aca="false">SUMPRODUCT(B258:J258,Optimization!$C$10:$K$10)</f>
        <v>-0.0260502871482907</v>
      </c>
      <c r="O258" s="27" t="n">
        <f aca="false">IF(AND(A258&gt;=Inputs!$C$6,A258&lt;=Inputs!$C$7),1,0)</f>
        <v>0</v>
      </c>
      <c r="P258" s="28" t="n">
        <f aca="false">P257*(1+K258)</f>
        <v>123.029349034359</v>
      </c>
      <c r="Q258" s="28" t="n">
        <f aca="false">MAX(Q257,P258)</f>
        <v>130.050976087113</v>
      </c>
      <c r="R258" s="29" t="n">
        <f aca="false">P258/Q258-1</f>
        <v>-0.0539913445021033</v>
      </c>
      <c r="S258" s="26" t="n">
        <f aca="false">IF(A258=Inputs!$C$12,"",F258)</f>
        <v>-0.0245875170727958</v>
      </c>
      <c r="T258" s="27" t="n">
        <f aca="false">IF(AND(A258&gt;Risk_Metrics!$C$28,P258&gt;=Risk_Metrics!$C$30),1,0)</f>
        <v>0</v>
      </c>
      <c r="U258" s="26" t="n">
        <f aca="false">IF(A258=Inputs!$C$12,"",K258)</f>
        <v>-0.0322674905606215</v>
      </c>
    </row>
    <row r="259" customFormat="false" ht="15" hidden="false" customHeight="false" outlineLevel="0" collapsed="false">
      <c r="A259" s="25" t="n">
        <f aca="false">Prices!A260</f>
        <v>44085</v>
      </c>
      <c r="B259" s="26" t="n">
        <f aca="false">Prices!B260/Prices!B259-1</f>
        <v>-0.0212429603448554</v>
      </c>
      <c r="C259" s="26" t="n">
        <f aca="false">Prices!C260/Prices!C259-1</f>
        <v>0.000357107155610992</v>
      </c>
      <c r="D259" s="26" t="n">
        <f aca="false">Prices!D260/Prices!D259-1</f>
        <v>-0.0134529142497792</v>
      </c>
      <c r="E259" s="26" t="n">
        <f aca="false">Prices!E260/Prices!E259-1</f>
        <v>-0.0265792960931933</v>
      </c>
      <c r="F259" s="26" t="n">
        <f aca="false">Prices!F260/Prices!F259-1</f>
        <v>-0.0218905823910391</v>
      </c>
      <c r="G259" s="26" t="n">
        <f aca="false">Prices!G260/Prices!G259-1</f>
        <v>-0.024641577060932</v>
      </c>
      <c r="H259" s="26" t="n">
        <f aca="false">Prices!H260/Prices!H259-1</f>
        <v>-0.0108499995094935</v>
      </c>
      <c r="I259" s="26" t="n">
        <f aca="false">Prices!I260/Prices!I259-1</f>
        <v>-0.0138095315756719</v>
      </c>
      <c r="J259" s="26" t="n">
        <f aca="false">Prices!J260/Prices!J259-1</f>
        <v>0.0584316087208545</v>
      </c>
      <c r="K259" s="26" t="n">
        <f aca="false">SUMPRODUCT(B259:J259,Optimization!$C$7:$K$7)</f>
        <v>-0.00818646059427766</v>
      </c>
      <c r="L259" s="26" t="n">
        <f aca="false">SUMPRODUCT(B259:J259,Optimization!$C$8:$K$8)</f>
        <v>-0.00103347485051098</v>
      </c>
      <c r="M259" s="26" t="n">
        <f aca="false">SUMPRODUCT(B259:J259,Optimization!$C$9:$K$9)</f>
        <v>0.00360666214344829</v>
      </c>
      <c r="N259" s="26" t="n">
        <f aca="false">SUMPRODUCT(B259:J259,Optimization!$C$10:$K$10)</f>
        <v>-0.00237247371664447</v>
      </c>
      <c r="O259" s="27" t="n">
        <f aca="false">IF(AND(A259&gt;=Inputs!$C$6,A259&lt;=Inputs!$C$7),1,0)</f>
        <v>0</v>
      </c>
      <c r="P259" s="28" t="n">
        <f aca="false">P258*(1+K259)</f>
        <v>122.022174116549</v>
      </c>
      <c r="Q259" s="28" t="n">
        <f aca="false">MAX(Q258,P259)</f>
        <v>130.050976087113</v>
      </c>
      <c r="R259" s="29" t="n">
        <f aca="false">P259/Q259-1</f>
        <v>-0.0617358070821824</v>
      </c>
      <c r="S259" s="26" t="n">
        <f aca="false">IF(A259=Inputs!$C$12,"",F259)</f>
        <v>-0.0218905823910391</v>
      </c>
      <c r="T259" s="27" t="n">
        <f aca="false">IF(AND(A259&gt;Risk_Metrics!$C$28,P259&gt;=Risk_Metrics!$C$30),1,0)</f>
        <v>0</v>
      </c>
      <c r="U259" s="26" t="n">
        <f aca="false">IF(A259=Inputs!$C$12,"",K259)</f>
        <v>-0.00818646059427766</v>
      </c>
    </row>
    <row r="260" customFormat="false" ht="15" hidden="false" customHeight="false" outlineLevel="0" collapsed="false">
      <c r="A260" s="25" t="n">
        <f aca="false">Prices!A261</f>
        <v>44088</v>
      </c>
      <c r="B260" s="26" t="n">
        <f aca="false">Prices!B261/Prices!B260-1</f>
        <v>0.0254708161434978</v>
      </c>
      <c r="C260" s="26" t="n">
        <f aca="false">Prices!C261/Prices!C260-1</f>
        <v>0.0483756193056495</v>
      </c>
      <c r="D260" s="26" t="n">
        <f aca="false">Prices!D261/Prices!D260-1</f>
        <v>0.0214875197732429</v>
      </c>
      <c r="E260" s="26" t="n">
        <f aca="false">Prices!E261/Prices!E260-1</f>
        <v>0.045310663923414</v>
      </c>
      <c r="F260" s="26" t="n">
        <f aca="false">Prices!F261/Prices!F260-1</f>
        <v>0.0562903056534427</v>
      </c>
      <c r="G260" s="26" t="n">
        <f aca="false">Prices!G261/Prices!G260-1</f>
        <v>0.042719384474047</v>
      </c>
      <c r="H260" s="26" t="n">
        <f aca="false">Prices!H261/Prices!H260-1</f>
        <v>-0.00914072253842435</v>
      </c>
      <c r="I260" s="26" t="n">
        <f aca="false">Prices!I261/Prices!I260-1</f>
        <v>0.0111058027186668</v>
      </c>
      <c r="J260" s="26" t="n">
        <f aca="false">Prices!J261/Prices!J260-1</f>
        <v>-0.000645698133241446</v>
      </c>
      <c r="K260" s="26" t="n">
        <f aca="false">SUMPRODUCT(B260:J260,Optimization!$C$7:$K$7)</f>
        <v>0.0267748545911439</v>
      </c>
      <c r="L260" s="26" t="n">
        <f aca="false">SUMPRODUCT(B260:J260,Optimization!$C$8:$K$8)</f>
        <v>0.0209290057055123</v>
      </c>
      <c r="M260" s="26" t="n">
        <f aca="false">SUMPRODUCT(B260:J260,Optimization!$C$9:$K$9)</f>
        <v>0.0197171888829499</v>
      </c>
      <c r="N260" s="26" t="n">
        <f aca="false">SUMPRODUCT(B260:J260,Optimization!$C$10:$K$10)</f>
        <v>0.0222782881316098</v>
      </c>
      <c r="O260" s="27" t="n">
        <f aca="false">IF(AND(A260&gt;=Inputs!$C$6,A260&lt;=Inputs!$C$7),1,0)</f>
        <v>0</v>
      </c>
      <c r="P260" s="28" t="n">
        <f aca="false">P259*(1+K260)</f>
        <v>125.289300085415</v>
      </c>
      <c r="Q260" s="28" t="n">
        <f aca="false">MAX(Q259,P260)</f>
        <v>130.050976087113</v>
      </c>
      <c r="R260" s="29" t="n">
        <f aca="false">P260/Q260-1</f>
        <v>-0.0366139197487309</v>
      </c>
      <c r="S260" s="26" t="n">
        <f aca="false">IF(A260=Inputs!$C$12,"",F260)</f>
        <v>0.0562903056534427</v>
      </c>
      <c r="T260" s="27" t="n">
        <f aca="false">IF(AND(A260&gt;Risk_Metrics!$C$28,P260&gt;=Risk_Metrics!$C$30),1,0)</f>
        <v>0</v>
      </c>
      <c r="U260" s="26" t="n">
        <f aca="false">IF(A260=Inputs!$C$12,"",K260)</f>
        <v>0.0267748545911439</v>
      </c>
    </row>
    <row r="261" customFormat="false" ht="15" hidden="false" customHeight="false" outlineLevel="0" collapsed="false">
      <c r="A261" s="25" t="n">
        <f aca="false">Prices!A262</f>
        <v>44089</v>
      </c>
      <c r="B261" s="26" t="n">
        <f aca="false">Prices!B262/Prices!B261-1</f>
        <v>0.00664686047391494</v>
      </c>
      <c r="C261" s="26" t="n">
        <f aca="false">Prices!C262/Prices!C261-1</f>
        <v>-0.0246892908118267</v>
      </c>
      <c r="D261" s="26" t="n">
        <f aca="false">Prices!D262/Prices!D261-1</f>
        <v>0.0315534397877604</v>
      </c>
      <c r="E261" s="26" t="n">
        <f aca="false">Prices!E262/Prices!E261-1</f>
        <v>-0.000189324240419286</v>
      </c>
      <c r="F261" s="26" t="n">
        <f aca="false">Prices!F262/Prices!F261-1</f>
        <v>0.00353131655263517</v>
      </c>
      <c r="G261" s="26" t="n">
        <f aca="false">Prices!G262/Prices!G261-1</f>
        <v>-0.0048458588173631</v>
      </c>
      <c r="H261" s="26" t="n">
        <f aca="false">Prices!H262/Prices!H261-1</f>
        <v>-0.00046125461254598</v>
      </c>
      <c r="I261" s="26" t="n">
        <f aca="false">Prices!I262/Prices!I261-1</f>
        <v>-0.0143266896240694</v>
      </c>
      <c r="J261" s="26" t="n">
        <f aca="false">Prices!J262/Prices!J261-1</f>
        <v>0.0111451784848975</v>
      </c>
      <c r="K261" s="26" t="n">
        <f aca="false">SUMPRODUCT(B261:J261,Optimization!$C$7:$K$7)</f>
        <v>0.000929375243664839</v>
      </c>
      <c r="L261" s="26" t="n">
        <f aca="false">SUMPRODUCT(B261:J261,Optimization!$C$8:$K$8)</f>
        <v>0.0124078678336763</v>
      </c>
      <c r="M261" s="26" t="n">
        <f aca="false">SUMPRODUCT(B261:J261,Optimization!$C$9:$K$9)</f>
        <v>0.00766617836507781</v>
      </c>
      <c r="N261" s="26" t="n">
        <f aca="false">SUMPRODUCT(B261:J261,Optimization!$C$10:$K$10)</f>
        <v>0.0147490459528028</v>
      </c>
      <c r="O261" s="27" t="n">
        <f aca="false">IF(AND(A261&gt;=Inputs!$C$6,A261&lt;=Inputs!$C$7),1,0)</f>
        <v>0</v>
      </c>
      <c r="P261" s="28" t="n">
        <f aca="false">P260*(1+K261)</f>
        <v>125.405740859211</v>
      </c>
      <c r="Q261" s="28" t="n">
        <f aca="false">MAX(Q260,P261)</f>
        <v>130.050976087113</v>
      </c>
      <c r="R261" s="29" t="n">
        <f aca="false">P261/Q261-1</f>
        <v>-0.035718572575654</v>
      </c>
      <c r="S261" s="26" t="n">
        <f aca="false">IF(A261=Inputs!$C$12,"",F261)</f>
        <v>0.00353131655263517</v>
      </c>
      <c r="T261" s="27" t="n">
        <f aca="false">IF(AND(A261&gt;Risk_Metrics!$C$28,P261&gt;=Risk_Metrics!$C$30),1,0)</f>
        <v>0</v>
      </c>
      <c r="U261" s="26" t="n">
        <f aca="false">IF(A261=Inputs!$C$12,"",K261)</f>
        <v>0.000929375243664839</v>
      </c>
    </row>
    <row r="262" customFormat="false" ht="15" hidden="false" customHeight="false" outlineLevel="0" collapsed="false">
      <c r="A262" s="25" t="n">
        <f aca="false">Prices!A263</f>
        <v>44090</v>
      </c>
      <c r="B262" s="26" t="n">
        <f aca="false">Prices!B263/Prices!B262-1</f>
        <v>-0.0145960037288618</v>
      </c>
      <c r="C262" s="26" t="n">
        <f aca="false">Prices!C263/Prices!C262-1</f>
        <v>-0.00453907154602462</v>
      </c>
      <c r="D262" s="26" t="n">
        <f aca="false">Prices!D263/Prices!D262-1</f>
        <v>-0.0168627450980392</v>
      </c>
      <c r="E262" s="26" t="n">
        <f aca="false">Prices!E263/Prices!E262-1</f>
        <v>-0.00265051117001136</v>
      </c>
      <c r="F262" s="26" t="n">
        <f aca="false">Prices!F263/Prices!F262-1</f>
        <v>-0.012156096321677</v>
      </c>
      <c r="G262" s="26" t="n">
        <f aca="false">Prices!G263/Prices!G262-1</f>
        <v>0.0234617529880476</v>
      </c>
      <c r="H262" s="26" t="n">
        <f aca="false">Prices!H263/Prices!H262-1</f>
        <v>0.00276880479926156</v>
      </c>
      <c r="I262" s="26" t="n">
        <f aca="false">Prices!I263/Prices!I262-1</f>
        <v>-0.00072675812823142</v>
      </c>
      <c r="J262" s="26" t="n">
        <f aca="false">Prices!J263/Prices!J262-1</f>
        <v>-0.0260382915667186</v>
      </c>
      <c r="K262" s="26" t="n">
        <f aca="false">SUMPRODUCT(B262:J262,Optimization!$C$7:$K$7)</f>
        <v>-0.00570432441913942</v>
      </c>
      <c r="L262" s="26" t="n">
        <f aca="false">SUMPRODUCT(B262:J262,Optimization!$C$8:$K$8)</f>
        <v>-0.0148214228809755</v>
      </c>
      <c r="M262" s="26" t="n">
        <f aca="false">SUMPRODUCT(B262:J262,Optimization!$C$9:$K$9)</f>
        <v>-0.0145228579257813</v>
      </c>
      <c r="N262" s="26" t="n">
        <f aca="false">SUMPRODUCT(B262:J262,Optimization!$C$10:$K$10)</f>
        <v>-0.0155403203776435</v>
      </c>
      <c r="O262" s="27" t="n">
        <f aca="false">IF(AND(A262&gt;=Inputs!$C$6,A262&lt;=Inputs!$C$7),1,0)</f>
        <v>0</v>
      </c>
      <c r="P262" s="28" t="n">
        <f aca="false">P261*(1+K262)</f>
        <v>124.690385829327</v>
      </c>
      <c r="Q262" s="28" t="n">
        <f aca="false">MAX(Q261,P262)</f>
        <v>130.050976087113</v>
      </c>
      <c r="R262" s="29" t="n">
        <f aca="false">P262/Q262-1</f>
        <v>-0.0412191466690333</v>
      </c>
      <c r="S262" s="26" t="n">
        <f aca="false">IF(A262=Inputs!$C$12,"",F262)</f>
        <v>-0.012156096321677</v>
      </c>
      <c r="T262" s="27" t="n">
        <f aca="false">IF(AND(A262&gt;Risk_Metrics!$C$28,P262&gt;=Risk_Metrics!$C$30),1,0)</f>
        <v>0</v>
      </c>
      <c r="U262" s="26" t="n">
        <f aca="false">IF(A262=Inputs!$C$12,"",K262)</f>
        <v>-0.00570432441913942</v>
      </c>
    </row>
    <row r="263" customFormat="false" ht="15" hidden="false" customHeight="false" outlineLevel="0" collapsed="false">
      <c r="A263" s="25" t="n">
        <f aca="false">Prices!A264</f>
        <v>44091</v>
      </c>
      <c r="B263" s="26" t="n">
        <f aca="false">Prices!B264/Prices!B263-1</f>
        <v>-0.00899308779744479</v>
      </c>
      <c r="C263" s="26" t="n">
        <f aca="false">Prices!C264/Prices!C263-1</f>
        <v>-0.0059628027345775</v>
      </c>
      <c r="D263" s="26" t="n">
        <f aca="false">Prices!D264/Prices!D263-1</f>
        <v>0.0135620263262863</v>
      </c>
      <c r="E263" s="26" t="n">
        <f aca="false">Prices!E264/Prices!E263-1</f>
        <v>0.00512530372057718</v>
      </c>
      <c r="F263" s="26" t="n">
        <f aca="false">Prices!F264/Prices!F263-1</f>
        <v>-0.024935250786583</v>
      </c>
      <c r="G263" s="26" t="n">
        <f aca="false">Prices!G264/Prices!G263-1</f>
        <v>-0.00908308784242695</v>
      </c>
      <c r="H263" s="26" t="n">
        <f aca="false">Prices!H264/Prices!H263-1</f>
        <v>0.01932811780948</v>
      </c>
      <c r="I263" s="26" t="n">
        <f aca="false">Prices!I264/Prices!I263-1</f>
        <v>0.000242402705041167</v>
      </c>
      <c r="J263" s="26" t="n">
        <f aca="false">Prices!J264/Prices!J263-1</f>
        <v>0.018205691025001</v>
      </c>
      <c r="K263" s="26" t="n">
        <f aca="false">SUMPRODUCT(B263:J263,Optimization!$C$7:$K$7)</f>
        <v>0.000832145825039271</v>
      </c>
      <c r="L263" s="26" t="n">
        <f aca="false">SUMPRODUCT(B263:J263,Optimization!$C$8:$K$8)</f>
        <v>0.00692935178318461</v>
      </c>
      <c r="M263" s="26" t="n">
        <f aca="false">SUMPRODUCT(B263:J263,Optimization!$C$9:$K$9)</f>
        <v>0.0057133496848906</v>
      </c>
      <c r="N263" s="26" t="n">
        <f aca="false">SUMPRODUCT(B263:J263,Optimization!$C$10:$K$10)</f>
        <v>0.00707320081854607</v>
      </c>
      <c r="O263" s="27" t="n">
        <f aca="false">IF(AND(A263&gt;=Inputs!$C$6,A263&lt;=Inputs!$C$7),1,0)</f>
        <v>0</v>
      </c>
      <c r="P263" s="28" t="n">
        <f aca="false">P262*(1+K263)</f>
        <v>124.794146413318</v>
      </c>
      <c r="Q263" s="28" t="n">
        <f aca="false">MAX(Q262,P263)</f>
        <v>130.050976087113</v>
      </c>
      <c r="R263" s="29" t="n">
        <f aca="false">P263/Q263-1</f>
        <v>-0.0404213011848062</v>
      </c>
      <c r="S263" s="26" t="n">
        <f aca="false">IF(A263=Inputs!$C$12,"",F263)</f>
        <v>-0.024935250786583</v>
      </c>
      <c r="T263" s="27" t="n">
        <f aca="false">IF(AND(A263&gt;Risk_Metrics!$C$28,P263&gt;=Risk_Metrics!$C$30),1,0)</f>
        <v>0</v>
      </c>
      <c r="U263" s="26" t="n">
        <f aca="false">IF(A263=Inputs!$C$12,"",K263)</f>
        <v>0.000832145825039271</v>
      </c>
    </row>
    <row r="264" customFormat="false" ht="15" hidden="false" customHeight="false" outlineLevel="0" collapsed="false">
      <c r="A264" s="25" t="n">
        <f aca="false">Prices!A265</f>
        <v>44092</v>
      </c>
      <c r="B264" s="26" t="n">
        <f aca="false">Prices!B265/Prices!B264-1</f>
        <v>-0.0302491275756384</v>
      </c>
      <c r="C264" s="26" t="n">
        <f aca="false">Prices!C265/Prices!C264-1</f>
        <v>-0.00970363461015578</v>
      </c>
      <c r="D264" s="26" t="n">
        <f aca="false">Prices!D265/Prices!D264-1</f>
        <v>-0.00393549783549774</v>
      </c>
      <c r="E264" s="26" t="n">
        <f aca="false">Prices!E265/Prices!E264-1</f>
        <v>-0.00472143522716839</v>
      </c>
      <c r="F264" s="26" t="n">
        <f aca="false">Prices!F265/Prices!F264-1</f>
        <v>-0.0235802424589892</v>
      </c>
      <c r="G264" s="26" t="n">
        <f aca="false">Prices!G265/Prices!G264-1</f>
        <v>-0.0366652116979485</v>
      </c>
      <c r="H264" s="26" t="n">
        <f aca="false">Prices!H265/Prices!H264-1</f>
        <v>-0.0225733634311512</v>
      </c>
      <c r="I264" s="26" t="n">
        <f aca="false">Prices!I265/Prices!I264-1</f>
        <v>-0.0271449325812456</v>
      </c>
      <c r="J264" s="26" t="n">
        <f aca="false">Prices!J265/Prices!J264-1</f>
        <v>-0.00676549591606013</v>
      </c>
      <c r="K264" s="26" t="n">
        <f aca="false">SUMPRODUCT(B264:J264,Optimization!$C$7:$K$7)</f>
        <v>-0.0183709934815394</v>
      </c>
      <c r="L264" s="26" t="n">
        <f aca="false">SUMPRODUCT(B264:J264,Optimization!$C$8:$K$8)</f>
        <v>-0.011580334256766</v>
      </c>
      <c r="M264" s="26" t="n">
        <f aca="false">SUMPRODUCT(B264:J264,Optimization!$C$9:$K$9)</f>
        <v>-0.0134992765460477</v>
      </c>
      <c r="N264" s="26" t="n">
        <f aca="false">SUMPRODUCT(B264:J264,Optimization!$C$10:$K$10)</f>
        <v>-0.010645781148032</v>
      </c>
      <c r="O264" s="27" t="n">
        <f aca="false">IF(AND(A264&gt;=Inputs!$C$6,A264&lt;=Inputs!$C$7),1,0)</f>
        <v>0</v>
      </c>
      <c r="P264" s="28" t="n">
        <f aca="false">P263*(1+K264)</f>
        <v>122.501553963024</v>
      </c>
      <c r="Q264" s="28" t="n">
        <f aca="false">MAX(Q263,P264)</f>
        <v>130.050976087113</v>
      </c>
      <c r="R264" s="29" t="n">
        <f aca="false">P264/Q264-1</f>
        <v>-0.0580497152057643</v>
      </c>
      <c r="S264" s="26" t="n">
        <f aca="false">IF(A264=Inputs!$C$12,"",F264)</f>
        <v>-0.0235802424589892</v>
      </c>
      <c r="T264" s="27" t="n">
        <f aca="false">IF(AND(A264&gt;Risk_Metrics!$C$28,P264&gt;=Risk_Metrics!$C$30),1,0)</f>
        <v>0</v>
      </c>
      <c r="U264" s="26" t="n">
        <f aca="false">IF(A264=Inputs!$C$12,"",K264)</f>
        <v>-0.0183709934815394</v>
      </c>
    </row>
    <row r="265" customFormat="false" ht="15" hidden="false" customHeight="false" outlineLevel="0" collapsed="false">
      <c r="A265" s="25" t="n">
        <f aca="false">Prices!A266</f>
        <v>44095</v>
      </c>
      <c r="B265" s="26" t="n">
        <f aca="false">Prices!B266/Prices!B265-1</f>
        <v>-0.00733948623853209</v>
      </c>
      <c r="C265" s="26" t="n">
        <f aca="false">Prices!C266/Prices!C265-1</f>
        <v>-0.000534366677411358</v>
      </c>
      <c r="D265" s="26" t="n">
        <f aca="false">Prices!D266/Prices!D265-1</f>
        <v>-0.0209402615938469</v>
      </c>
      <c r="E265" s="26" t="n">
        <f aca="false">Prices!E266/Prices!E265-1</f>
        <v>-0.0358633769285887</v>
      </c>
      <c r="F265" s="26" t="n">
        <f aca="false">Prices!F266/Prices!F265-1</f>
        <v>0.00306121398450965</v>
      </c>
      <c r="G265" s="26" t="n">
        <f aca="false">Prices!G266/Prices!G265-1</f>
        <v>-0.0285454916175805</v>
      </c>
      <c r="H265" s="26" t="n">
        <f aca="false">Prices!H266/Prices!H265-1</f>
        <v>-0.0346420323325635</v>
      </c>
      <c r="I265" s="26" t="n">
        <f aca="false">Prices!I266/Prices!I265-1</f>
        <v>0.0209267547836816</v>
      </c>
      <c r="J265" s="26" t="n">
        <f aca="false">Prices!J266/Prices!J265-1</f>
        <v>-0.0269218293869608</v>
      </c>
      <c r="K265" s="26" t="n">
        <f aca="false">SUMPRODUCT(B265:J265,Optimization!$C$7:$K$7)</f>
        <v>-0.0145332084452547</v>
      </c>
      <c r="L265" s="26" t="n">
        <f aca="false">SUMPRODUCT(B265:J265,Optimization!$C$8:$K$8)</f>
        <v>-0.012993498458567</v>
      </c>
      <c r="M265" s="26" t="n">
        <f aca="false">SUMPRODUCT(B265:J265,Optimization!$C$9:$K$9)</f>
        <v>-0.0110287939086199</v>
      </c>
      <c r="N265" s="26" t="n">
        <f aca="false">SUMPRODUCT(B265:J265,Optimization!$C$10:$K$10)</f>
        <v>-0.0151089661853892</v>
      </c>
      <c r="O265" s="27" t="n">
        <f aca="false">IF(AND(A265&gt;=Inputs!$C$6,A265&lt;=Inputs!$C$7),1,0)</f>
        <v>0</v>
      </c>
      <c r="P265" s="28" t="n">
        <f aca="false">P264*(1+K265)</f>
        <v>120.721213344412</v>
      </c>
      <c r="Q265" s="28" t="n">
        <f aca="false">MAX(Q264,P265)</f>
        <v>130.050976087113</v>
      </c>
      <c r="R265" s="29" t="n">
        <f aca="false">P265/Q265-1</f>
        <v>-0.071739275039746</v>
      </c>
      <c r="S265" s="26" t="n">
        <f aca="false">IF(A265=Inputs!$C$12,"",F265)</f>
        <v>0.00306121398450965</v>
      </c>
      <c r="T265" s="27" t="n">
        <f aca="false">IF(AND(A265&gt;Risk_Metrics!$C$28,P265&gt;=Risk_Metrics!$C$30),1,0)</f>
        <v>0</v>
      </c>
      <c r="U265" s="26" t="n">
        <f aca="false">IF(A265=Inputs!$C$12,"",K265)</f>
        <v>-0.0145332084452547</v>
      </c>
    </row>
    <row r="266" customFormat="false" ht="15" hidden="false" customHeight="false" outlineLevel="0" collapsed="false">
      <c r="A266" s="25" t="n">
        <f aca="false">Prices!A267</f>
        <v>44096</v>
      </c>
      <c r="B266" s="26" t="n">
        <f aca="false">Prices!B267/Prices!B266-1</f>
        <v>0.0194085774273043</v>
      </c>
      <c r="C266" s="26" t="n">
        <f aca="false">Prices!C267/Prices!C266-1</f>
        <v>0.0224598918470644</v>
      </c>
      <c r="D266" s="26" t="n">
        <f aca="false">Prices!D267/Prices!D266-1</f>
        <v>-0.0181598459176818</v>
      </c>
      <c r="E266" s="26" t="n">
        <f aca="false">Prices!E267/Prices!E266-1</f>
        <v>0.0183035028871579</v>
      </c>
      <c r="F266" s="26" t="n">
        <f aca="false">Prices!F267/Prices!F266-1</f>
        <v>-0.0118684082524445</v>
      </c>
      <c r="G266" s="26" t="n">
        <f aca="false">Prices!G267/Prices!G266-1</f>
        <v>-0.00373134310954548</v>
      </c>
      <c r="H266" s="26" t="n">
        <f aca="false">Prices!H267/Prices!H266-1</f>
        <v>-0.00478473684210523</v>
      </c>
      <c r="I266" s="26" t="n">
        <f aca="false">Prices!I267/Prices!I266-1</f>
        <v>-0.00170810405459132</v>
      </c>
      <c r="J266" s="26" t="n">
        <f aca="false">Prices!J267/Prices!J266-1</f>
        <v>-0.0364999833333334</v>
      </c>
      <c r="K266" s="26" t="n">
        <f aca="false">SUMPRODUCT(B266:J266,Optimization!$C$7:$K$7)</f>
        <v>-0.00184227214979724</v>
      </c>
      <c r="L266" s="26" t="n">
        <f aca="false">SUMPRODUCT(B266:J266,Optimization!$C$8:$K$8)</f>
        <v>-0.00837768431306281</v>
      </c>
      <c r="M266" s="26" t="n">
        <f aca="false">SUMPRODUCT(B266:J266,Optimization!$C$9:$K$9)</f>
        <v>-0.00721525990790234</v>
      </c>
      <c r="N266" s="26" t="n">
        <f aca="false">SUMPRODUCT(B266:J266,Optimization!$C$10:$K$10)</f>
        <v>-0.00799865886919726</v>
      </c>
      <c r="O266" s="27" t="n">
        <f aca="false">IF(AND(A266&gt;=Inputs!$C$6,A266&lt;=Inputs!$C$7),1,0)</f>
        <v>0</v>
      </c>
      <c r="P266" s="28" t="n">
        <f aca="false">P265*(1+K266)</f>
        <v>120.498812015178</v>
      </c>
      <c r="Q266" s="28" t="n">
        <f aca="false">MAX(Q265,P266)</f>
        <v>130.050976087113</v>
      </c>
      <c r="R266" s="29" t="n">
        <f aca="false">P266/Q266-1</f>
        <v>-0.0734493839210909</v>
      </c>
      <c r="S266" s="26" t="n">
        <f aca="false">IF(A266=Inputs!$C$12,"",F266)</f>
        <v>-0.0118684082524445</v>
      </c>
      <c r="T266" s="27" t="n">
        <f aca="false">IF(AND(A266&gt;Risk_Metrics!$C$28,P266&gt;=Risk_Metrics!$C$30),1,0)</f>
        <v>0</v>
      </c>
      <c r="U266" s="26" t="n">
        <f aca="false">IF(A266=Inputs!$C$12,"",K266)</f>
        <v>-0.00184227214979724</v>
      </c>
    </row>
    <row r="267" customFormat="false" ht="15" hidden="false" customHeight="false" outlineLevel="0" collapsed="false">
      <c r="A267" s="25" t="n">
        <f aca="false">Prices!A268</f>
        <v>44097</v>
      </c>
      <c r="B267" s="26" t="n">
        <f aca="false">Prices!B268/Prices!B267-1</f>
        <v>-0.02719854842435</v>
      </c>
      <c r="C267" s="26" t="n">
        <f aca="false">Prices!C268/Prices!C267-1</f>
        <v>-0.02562771832491</v>
      </c>
      <c r="D267" s="26" t="n">
        <f aca="false">Prices!D268/Prices!D267-1</f>
        <v>-0.00287710645293859</v>
      </c>
      <c r="E267" s="26" t="n">
        <f aca="false">Prices!E268/Prices!E267-1</f>
        <v>0.139737122545917</v>
      </c>
      <c r="F267" s="26" t="n">
        <f aca="false">Prices!F268/Prices!F267-1</f>
        <v>-0.0092655479780237</v>
      </c>
      <c r="G267" s="26" t="n">
        <f aca="false">Prices!G268/Prices!G267-1</f>
        <v>-0.0257491560978859</v>
      </c>
      <c r="H267" s="26" t="n">
        <f aca="false">Prices!H268/Prices!H267-1</f>
        <v>-0.0274037993944134</v>
      </c>
      <c r="I267" s="26" t="n">
        <f aca="false">Prices!I268/Prices!I267-1</f>
        <v>-0.010510947015983</v>
      </c>
      <c r="J267" s="26" t="n">
        <f aca="false">Prices!J268/Prices!J267-1</f>
        <v>0.0223144261838018</v>
      </c>
      <c r="K267" s="26" t="n">
        <f aca="false">SUMPRODUCT(B267:J267,Optimization!$C$7:$K$7)</f>
        <v>0.00371319167124608</v>
      </c>
      <c r="L267" s="26" t="n">
        <f aca="false">SUMPRODUCT(B267:J267,Optimization!$C$8:$K$8)</f>
        <v>-0.00624878442487021</v>
      </c>
      <c r="M267" s="26" t="n">
        <f aca="false">SUMPRODUCT(B267:J267,Optimization!$C$9:$K$9)</f>
        <v>-0.00596906687438025</v>
      </c>
      <c r="N267" s="26" t="n">
        <f aca="false">SUMPRODUCT(B267:J267,Optimization!$C$10:$K$10)</f>
        <v>-0.00690070260743248</v>
      </c>
      <c r="O267" s="27" t="n">
        <f aca="false">IF(AND(A267&gt;=Inputs!$C$6,A267&lt;=Inputs!$C$7),1,0)</f>
        <v>0</v>
      </c>
      <c r="P267" s="28" t="n">
        <f aca="false">P266*(1+K267)</f>
        <v>120.946247200348</v>
      </c>
      <c r="Q267" s="28" t="n">
        <f aca="false">MAX(Q266,P267)</f>
        <v>130.050976087113</v>
      </c>
      <c r="R267" s="29" t="n">
        <f aca="false">P267/Q267-1</f>
        <v>-0.0700089238904788</v>
      </c>
      <c r="S267" s="26" t="n">
        <f aca="false">IF(A267=Inputs!$C$12,"",F267)</f>
        <v>-0.0092655479780237</v>
      </c>
      <c r="T267" s="27" t="n">
        <f aca="false">IF(AND(A267&gt;Risk_Metrics!$C$28,P267&gt;=Risk_Metrics!$C$30),1,0)</f>
        <v>0</v>
      </c>
      <c r="U267" s="26" t="n">
        <f aca="false">IF(A267=Inputs!$C$12,"",K267)</f>
        <v>0.00371319167124608</v>
      </c>
    </row>
    <row r="268" customFormat="false" ht="15" hidden="false" customHeight="false" outlineLevel="0" collapsed="false">
      <c r="A268" s="25" t="n">
        <f aca="false">Prices!A269</f>
        <v>44098</v>
      </c>
      <c r="B268" s="26" t="n">
        <f aca="false">Prices!B269/Prices!B268-1</f>
        <v>0.00465983207232679</v>
      </c>
      <c r="C268" s="26" t="n">
        <f aca="false">Prices!C269/Prices!C268-1</f>
        <v>0.0551082691952909</v>
      </c>
      <c r="D268" s="26" t="n">
        <f aca="false">Prices!D269/Prices!D268-1</f>
        <v>0.00700741962077478</v>
      </c>
      <c r="E268" s="26" t="n">
        <f aca="false">Prices!E269/Prices!E268-1</f>
        <v>-0.016618602397514</v>
      </c>
      <c r="F268" s="26" t="n">
        <f aca="false">Prices!F269/Prices!F268-1</f>
        <v>0.000346359823176989</v>
      </c>
      <c r="G268" s="26" t="n">
        <f aca="false">Prices!G269/Prices!G268-1</f>
        <v>-0.00336371952732928</v>
      </c>
      <c r="H268" s="26" t="n">
        <f aca="false">Prices!H269/Prices!H268-1</f>
        <v>0.00840336134453779</v>
      </c>
      <c r="I268" s="26" t="n">
        <f aca="false">Prices!I269/Prices!I268-1</f>
        <v>0.0185277042408438</v>
      </c>
      <c r="J268" s="26" t="n">
        <f aca="false">Prices!J269/Prices!J268-1</f>
        <v>-0.00744497487123441</v>
      </c>
      <c r="K268" s="26" t="n">
        <f aca="false">SUMPRODUCT(B268:J268,Optimization!$C$7:$K$7)</f>
        <v>0.00740284994454148</v>
      </c>
      <c r="L268" s="26" t="n">
        <f aca="false">SUMPRODUCT(B268:J268,Optimization!$C$8:$K$8)</f>
        <v>0.011654879771245</v>
      </c>
      <c r="M268" s="26" t="n">
        <f aca="false">SUMPRODUCT(B268:J268,Optimization!$C$9:$K$9)</f>
        <v>0.0118902611402368</v>
      </c>
      <c r="N268" s="26" t="n">
        <f aca="false">SUMPRODUCT(B268:J268,Optimization!$C$10:$K$10)</f>
        <v>0.0115008570020849</v>
      </c>
      <c r="O268" s="27" t="n">
        <f aca="false">IF(AND(A268&gt;=Inputs!$C$6,A268&lt;=Inputs!$C$7),1,0)</f>
        <v>0</v>
      </c>
      <c r="P268" s="28" t="n">
        <f aca="false">P267*(1+K268)</f>
        <v>121.841594119727</v>
      </c>
      <c r="Q268" s="28" t="n">
        <f aca="false">MAX(Q267,P268)</f>
        <v>130.050976087113</v>
      </c>
      <c r="R268" s="29" t="n">
        <f aca="false">P268/Q268-1</f>
        <v>-0.0631243395042772</v>
      </c>
      <c r="S268" s="26" t="n">
        <f aca="false">IF(A268=Inputs!$C$12,"",F268)</f>
        <v>0.000346359823176989</v>
      </c>
      <c r="T268" s="27" t="n">
        <f aca="false">IF(AND(A268&gt;Risk_Metrics!$C$28,P268&gt;=Risk_Metrics!$C$30),1,0)</f>
        <v>0</v>
      </c>
      <c r="U268" s="26" t="n">
        <f aca="false">IF(A268=Inputs!$C$12,"",K268)</f>
        <v>0.00740284994454148</v>
      </c>
    </row>
    <row r="269" customFormat="false" ht="15" hidden="false" customHeight="false" outlineLevel="0" collapsed="false">
      <c r="A269" s="25" t="n">
        <f aca="false">Prices!A270</f>
        <v>44099</v>
      </c>
      <c r="B269" s="26" t="n">
        <f aca="false">Prices!B270/Prices!B269-1</f>
        <v>0.0118738214518062</v>
      </c>
      <c r="C269" s="26" t="n">
        <f aca="false">Prices!C270/Prices!C269-1</f>
        <v>-0.027471545785028</v>
      </c>
      <c r="D269" s="26" t="n">
        <f aca="false">Prices!D270/Prices!D269-1</f>
        <v>0.00491195251739662</v>
      </c>
      <c r="E269" s="26" t="n">
        <f aca="false">Prices!E270/Prices!E269-1</f>
        <v>0.0174167609099238</v>
      </c>
      <c r="F269" s="26" t="n">
        <f aca="false">Prices!F270/Prices!F269-1</f>
        <v>0.00554015072766423</v>
      </c>
      <c r="G269" s="26" t="n">
        <f aca="false">Prices!G270/Prices!G269-1</f>
        <v>-0.0298938765670203</v>
      </c>
      <c r="H269" s="26" t="n">
        <f aca="false">Prices!H270/Prices!H269-1</f>
        <v>-0.0132353431372547</v>
      </c>
      <c r="I269" s="26" t="n">
        <f aca="false">Prices!I270/Prices!I269-1</f>
        <v>0.0026679590600589</v>
      </c>
      <c r="J269" s="26" t="n">
        <f aca="false">Prices!J270/Prices!J269-1</f>
        <v>0.0100579611319469</v>
      </c>
      <c r="K269" s="26" t="n">
        <f aca="false">SUMPRODUCT(B269:J269,Optimization!$C$7:$K$7)</f>
        <v>-0.00201468441005626</v>
      </c>
      <c r="L269" s="26" t="n">
        <f aca="false">SUMPRODUCT(B269:J269,Optimization!$C$8:$K$8)</f>
        <v>0.00241554521963199</v>
      </c>
      <c r="M269" s="26" t="n">
        <f aca="false">SUMPRODUCT(B269:J269,Optimization!$C$9:$K$9)</f>
        <v>0.00231225863978654</v>
      </c>
      <c r="N269" s="26" t="n">
        <f aca="false">SUMPRODUCT(B269:J269,Optimization!$C$10:$K$10)</f>
        <v>0.0023641249237166</v>
      </c>
      <c r="O269" s="27" t="n">
        <f aca="false">IF(AND(A269&gt;=Inputs!$C$6,A269&lt;=Inputs!$C$7),1,0)</f>
        <v>0</v>
      </c>
      <c r="P269" s="28" t="n">
        <f aca="false">P268*(1+K269)</f>
        <v>121.596121759558</v>
      </c>
      <c r="Q269" s="28" t="n">
        <f aca="false">MAX(Q268,P269)</f>
        <v>130.050976087113</v>
      </c>
      <c r="R269" s="29" t="n">
        <f aca="false">P269/Q269-1</f>
        <v>-0.0650118482916391</v>
      </c>
      <c r="S269" s="26" t="n">
        <f aca="false">IF(A269=Inputs!$C$12,"",F269)</f>
        <v>0.00554015072766423</v>
      </c>
      <c r="T269" s="27" t="n">
        <f aca="false">IF(AND(A269&gt;Risk_Metrics!$C$28,P269&gt;=Risk_Metrics!$C$30),1,0)</f>
        <v>0</v>
      </c>
      <c r="U269" s="26" t="n">
        <f aca="false">IF(A269=Inputs!$C$12,"",K269)</f>
        <v>-0.00201468441005626</v>
      </c>
    </row>
    <row r="270" customFormat="false" ht="15" hidden="false" customHeight="false" outlineLevel="0" collapsed="false">
      <c r="A270" s="25" t="n">
        <f aca="false">Prices!A271</f>
        <v>44102</v>
      </c>
      <c r="B270" s="26" t="n">
        <f aca="false">Prices!B271/Prices!B270-1</f>
        <v>-0.030069654747531</v>
      </c>
      <c r="C270" s="26" t="n">
        <f aca="false">Prices!C271/Prices!C270-1</f>
        <v>-0.040802144013912</v>
      </c>
      <c r="D270" s="26" t="n">
        <f aca="false">Prices!D271/Prices!D270-1</f>
        <v>-0.0301425674192491</v>
      </c>
      <c r="E270" s="26" t="n">
        <f aca="false">Prices!E271/Prices!E270-1</f>
        <v>-0.0398304745762712</v>
      </c>
      <c r="F270" s="26" t="n">
        <f aca="false">Prices!F271/Prices!F270-1</f>
        <v>-0.0426997180527353</v>
      </c>
      <c r="G270" s="26" t="n">
        <f aca="false">Prices!G271/Prices!G270-1</f>
        <v>-0.0347913004576886</v>
      </c>
      <c r="H270" s="26" t="n">
        <f aca="false">Prices!H271/Prices!H270-1</f>
        <v>-0.0248385506626205</v>
      </c>
      <c r="I270" s="26" t="n">
        <f aca="false">Prices!I271/Prices!I270-1</f>
        <v>-0.037493914903756</v>
      </c>
      <c r="J270" s="26" t="n">
        <f aca="false">Prices!J271/Prices!J270-1</f>
        <v>-0.00793250632911402</v>
      </c>
      <c r="K270" s="26" t="n">
        <f aca="false">SUMPRODUCT(B270:J270,Optimization!$C$7:$K$7)</f>
        <v>-0.0320667590180975</v>
      </c>
      <c r="L270" s="26" t="n">
        <f aca="false">SUMPRODUCT(B270:J270,Optimization!$C$8:$K$8)</f>
        <v>-0.028576696910626</v>
      </c>
      <c r="M270" s="26" t="n">
        <f aca="false">SUMPRODUCT(B270:J270,Optimization!$C$9:$K$9)</f>
        <v>-0.0276175678042937</v>
      </c>
      <c r="N270" s="26" t="n">
        <f aca="false">SUMPRODUCT(B270:J270,Optimization!$C$10:$K$10)</f>
        <v>-0.0285915173002321</v>
      </c>
      <c r="O270" s="27" t="n">
        <f aca="false">IF(AND(A270&gt;=Inputs!$C$6,A270&lt;=Inputs!$C$7),1,0)</f>
        <v>0</v>
      </c>
      <c r="P270" s="28" t="n">
        <f aca="false">P269*(1+K270)</f>
        <v>117.696928225559</v>
      </c>
      <c r="Q270" s="28" t="n">
        <f aca="false">MAX(Q269,P270)</f>
        <v>130.050976087113</v>
      </c>
      <c r="R270" s="29" t="n">
        <f aca="false">P270/Q270-1</f>
        <v>-0.0949938880372475</v>
      </c>
      <c r="S270" s="26" t="n">
        <f aca="false">IF(A270=Inputs!$C$12,"",F270)</f>
        <v>-0.0426997180527353</v>
      </c>
      <c r="T270" s="27" t="n">
        <f aca="false">IF(AND(A270&gt;Risk_Metrics!$C$28,P270&gt;=Risk_Metrics!$C$30),1,0)</f>
        <v>0</v>
      </c>
      <c r="U270" s="26" t="n">
        <f aca="false">IF(A270=Inputs!$C$12,"",K270)</f>
        <v>-0.0320667590180975</v>
      </c>
    </row>
    <row r="271" customFormat="false" ht="15" hidden="false" customHeight="false" outlineLevel="0" collapsed="false">
      <c r="A271" s="25" t="n">
        <f aca="false">Prices!A272</f>
        <v>44103</v>
      </c>
      <c r="B271" s="26" t="n">
        <f aca="false">Prices!B272/Prices!B271-1</f>
        <v>0.00850654032111375</v>
      </c>
      <c r="C271" s="26" t="n">
        <f aca="false">Prices!C272/Prices!C271-1</f>
        <v>-0.0247227603971191</v>
      </c>
      <c r="D271" s="26" t="n">
        <f aca="false">Prices!D272/Prices!D271-1</f>
        <v>0.00797988273750017</v>
      </c>
      <c r="E271" s="26" t="n">
        <f aca="false">Prices!E272/Prices!E271-1</f>
        <v>0.00247129735317575</v>
      </c>
      <c r="F271" s="26" t="n">
        <f aca="false">Prices!F272/Prices!F271-1</f>
        <v>0.020503573818176</v>
      </c>
      <c r="G271" s="26" t="n">
        <f aca="false">Prices!G272/Prices!G271-1</f>
        <v>-0.0108136457260557</v>
      </c>
      <c r="H271" s="26" t="n">
        <f aca="false">Prices!H272/Prices!H271-1</f>
        <v>-0.0163015800459287</v>
      </c>
      <c r="I271" s="26" t="n">
        <f aca="false">Prices!I272/Prices!I271-1</f>
        <v>-0.0100528340256969</v>
      </c>
      <c r="J271" s="26" t="n">
        <f aca="false">Prices!J272/Prices!J271-1</f>
        <v>-0.00731543054296402</v>
      </c>
      <c r="K271" s="26" t="n">
        <f aca="false">SUMPRODUCT(B271:J271,Optimization!$C$7:$K$7)</f>
        <v>-0.00330499516753319</v>
      </c>
      <c r="L271" s="26" t="n">
        <f aca="false">SUMPRODUCT(B271:J271,Optimization!$C$8:$K$8)</f>
        <v>-0.000508392294334556</v>
      </c>
      <c r="M271" s="26" t="n">
        <f aca="false">SUMPRODUCT(B271:J271,Optimization!$C$9:$K$9)</f>
        <v>-0.00269901193707672</v>
      </c>
      <c r="N271" s="26" t="n">
        <f aca="false">SUMPRODUCT(B271:J271,Optimization!$C$10:$K$10)</f>
        <v>0.000678503149731404</v>
      </c>
      <c r="O271" s="27" t="n">
        <f aca="false">IF(AND(A271&gt;=Inputs!$C$6,A271&lt;=Inputs!$C$7),1,0)</f>
        <v>0</v>
      </c>
      <c r="P271" s="28" t="n">
        <f aca="false">P270*(1+K271)</f>
        <v>117.30794044654</v>
      </c>
      <c r="Q271" s="28" t="n">
        <f aca="false">MAX(Q270,P271)</f>
        <v>130.050976087113</v>
      </c>
      <c r="R271" s="29" t="n">
        <f aca="false">P271/Q271-1</f>
        <v>-0.0979849288638724</v>
      </c>
      <c r="S271" s="26" t="n">
        <f aca="false">IF(A271=Inputs!$C$12,"",F271)</f>
        <v>0.020503573818176</v>
      </c>
      <c r="T271" s="27" t="n">
        <f aca="false">IF(AND(A271&gt;Risk_Metrics!$C$28,P271&gt;=Risk_Metrics!$C$30),1,0)</f>
        <v>0</v>
      </c>
      <c r="U271" s="26" t="n">
        <f aca="false">IF(A271=Inputs!$C$12,"",K271)</f>
        <v>-0.00330499516753319</v>
      </c>
    </row>
    <row r="272" customFormat="false" ht="15" hidden="false" customHeight="false" outlineLevel="0" collapsed="false">
      <c r="A272" s="25" t="n">
        <f aca="false">Prices!A273</f>
        <v>44104</v>
      </c>
      <c r="B272" s="26" t="n">
        <f aca="false">Prices!B273/Prices!B272-1</f>
        <v>0.0185567392148731</v>
      </c>
      <c r="C272" s="26" t="n">
        <f aca="false">Prices!C273/Prices!C272-1</f>
        <v>0.0253494692516212</v>
      </c>
      <c r="D272" s="26" t="n">
        <f aca="false">Prices!D273/Prices!D272-1</f>
        <v>-0.00833337499999998</v>
      </c>
      <c r="E272" s="26" t="n">
        <f aca="false">Prices!E273/Prices!E272-1</f>
        <v>-0.00211310086083638</v>
      </c>
      <c r="F272" s="26" t="n">
        <f aca="false">Prices!F273/Prices!F272-1</f>
        <v>0.000704963675558723</v>
      </c>
      <c r="G272" s="26" t="n">
        <f aca="false">Prices!G273/Prices!G272-1</f>
        <v>0.0114524212104332</v>
      </c>
      <c r="H272" s="26" t="n">
        <f aca="false">Prices!H273/Prices!H272-1</f>
        <v>0.0155360960919779</v>
      </c>
      <c r="I272" s="26" t="n">
        <f aca="false">Prices!I273/Prices!I272-1</f>
        <v>0.00203098394969459</v>
      </c>
      <c r="J272" s="26" t="n">
        <f aca="false">Prices!J273/Prices!J272-1</f>
        <v>0.0130249019031672</v>
      </c>
      <c r="K272" s="26" t="n">
        <f aca="false">SUMPRODUCT(B272:J272,Optimization!$C$7:$K$7)</f>
        <v>0.00846767771516551</v>
      </c>
      <c r="L272" s="26" t="n">
        <f aca="false">SUMPRODUCT(B272:J272,Optimization!$C$8:$K$8)</f>
        <v>0.004827448740176</v>
      </c>
      <c r="M272" s="26" t="n">
        <f aca="false">SUMPRODUCT(B272:J272,Optimization!$C$9:$K$9)</f>
        <v>0.00792080072320109</v>
      </c>
      <c r="N272" s="26" t="n">
        <f aca="false">SUMPRODUCT(B272:J272,Optimization!$C$10:$K$10)</f>
        <v>0.00459792298714303</v>
      </c>
      <c r="O272" s="27" t="n">
        <f aca="false">IF(AND(A272&gt;=Inputs!$C$6,A272&lt;=Inputs!$C$7),1,0)</f>
        <v>0</v>
      </c>
      <c r="P272" s="28" t="n">
        <f aca="false">P271*(1+K272)</f>
        <v>118.301266279671</v>
      </c>
      <c r="Q272" s="28" t="n">
        <f aca="false">MAX(Q271,P272)</f>
        <v>130.050976087113</v>
      </c>
      <c r="R272" s="29" t="n">
        <f aca="false">P272/Q272-1</f>
        <v>-0.0903469559472696</v>
      </c>
      <c r="S272" s="26" t="n">
        <f aca="false">IF(A272=Inputs!$C$12,"",F272)</f>
        <v>0.000704963675558723</v>
      </c>
      <c r="T272" s="27" t="n">
        <f aca="false">IF(AND(A272&gt;Risk_Metrics!$C$28,P272&gt;=Risk_Metrics!$C$30),1,0)</f>
        <v>0</v>
      </c>
      <c r="U272" s="26" t="n">
        <f aca="false">IF(A272=Inputs!$C$12,"",K272)</f>
        <v>0.00846767771516551</v>
      </c>
    </row>
    <row r="273" customFormat="false" ht="15" hidden="false" customHeight="false" outlineLevel="0" collapsed="false">
      <c r="A273" s="25" t="n">
        <f aca="false">Prices!A274</f>
        <v>44105</v>
      </c>
      <c r="B273" s="26" t="n">
        <f aca="false">Prices!B274/Prices!B273-1</f>
        <v>0.0200588884799411</v>
      </c>
      <c r="C273" s="26" t="n">
        <f aca="false">Prices!C274/Prices!C273-1</f>
        <v>-0.00872568655610573</v>
      </c>
      <c r="D273" s="26" t="n">
        <f aca="false">Prices!D274/Prices!D273-1</f>
        <v>0.0218487824306211</v>
      </c>
      <c r="E273" s="26" t="n">
        <f aca="false">Prices!E274/Prices!E273-1</f>
        <v>0.00794072729630235</v>
      </c>
      <c r="F273" s="26" t="n">
        <f aca="false">Prices!F274/Prices!F273-1</f>
        <v>0.0331103044660352</v>
      </c>
      <c r="G273" s="26" t="n">
        <f aca="false">Prices!G274/Prices!G273-1</f>
        <v>0.0576427689140504</v>
      </c>
      <c r="H273" s="26" t="n">
        <f aca="false">Prices!H274/Prices!H273-1</f>
        <v>0.012238602129597</v>
      </c>
      <c r="I273" s="26" t="n">
        <f aca="false">Prices!I274/Prices!I273-1</f>
        <v>0.0412972422263545</v>
      </c>
      <c r="J273" s="26" t="n">
        <f aca="false">Prices!J274/Prices!J273-1</f>
        <v>-0.00422940273677208</v>
      </c>
      <c r="K273" s="26" t="n">
        <f aca="false">SUMPRODUCT(B273:J273,Optimization!$C$7:$K$7)</f>
        <v>0.0201313585166693</v>
      </c>
      <c r="L273" s="26" t="n">
        <f aca="false">SUMPRODUCT(B273:J273,Optimization!$C$8:$K$8)</f>
        <v>0.015202005892165</v>
      </c>
      <c r="M273" s="26" t="n">
        <f aca="false">SUMPRODUCT(B273:J273,Optimization!$C$9:$K$9)</f>
        <v>0.0137145050088422</v>
      </c>
      <c r="N273" s="26" t="n">
        <f aca="false">SUMPRODUCT(B273:J273,Optimization!$C$10:$K$10)</f>
        <v>0.014168407816839</v>
      </c>
      <c r="O273" s="27" t="n">
        <f aca="false">IF(AND(A273&gt;=Inputs!$C$6,A273&lt;=Inputs!$C$7),1,0)</f>
        <v>0</v>
      </c>
      <c r="P273" s="28" t="n">
        <f aca="false">P272*(1+K273)</f>
        <v>120.682831484123</v>
      </c>
      <c r="Q273" s="28" t="n">
        <f aca="false">MAX(Q272,P273)</f>
        <v>130.050976087113</v>
      </c>
      <c r="R273" s="29" t="n">
        <f aca="false">P273/Q273-1</f>
        <v>-0.0720344043916644</v>
      </c>
      <c r="S273" s="26" t="n">
        <f aca="false">IF(A273=Inputs!$C$12,"",F273)</f>
        <v>0.0331103044660352</v>
      </c>
      <c r="T273" s="27" t="n">
        <f aca="false">IF(AND(A273&gt;Risk_Metrics!$C$28,P273&gt;=Risk_Metrics!$C$30),1,0)</f>
        <v>0</v>
      </c>
      <c r="U273" s="26" t="n">
        <f aca="false">IF(A273=Inputs!$C$12,"",K273)</f>
        <v>0.0201313585166693</v>
      </c>
    </row>
    <row r="274" customFormat="false" ht="15" hidden="false" customHeight="false" outlineLevel="0" collapsed="false">
      <c r="A274" s="25" t="n">
        <f aca="false">Prices!A275</f>
        <v>44106</v>
      </c>
      <c r="B274" s="26" t="n">
        <f aca="false">Prices!B275/Prices!B274-1</f>
        <v>-0.00902038607252387</v>
      </c>
      <c r="C274" s="26" t="n">
        <f aca="false">Prices!C275/Prices!C274-1</f>
        <v>-0.0232899696787079</v>
      </c>
      <c r="D274" s="26" t="n">
        <f aca="false">Prices!D275/Prices!D274-1</f>
        <v>-0.0180921463815789</v>
      </c>
      <c r="E274" s="26" t="n">
        <f aca="false">Prices!E275/Prices!E274-1</f>
        <v>-0.00735290629119234</v>
      </c>
      <c r="F274" s="26" t="n">
        <f aca="false">Prices!F275/Prices!F274-1</f>
        <v>-0.0252301842591477</v>
      </c>
      <c r="G274" s="26" t="n">
        <f aca="false">Prices!G275/Prices!G274-1</f>
        <v>-0.0141118741660279</v>
      </c>
      <c r="H274" s="26" t="n">
        <f aca="false">Prices!H275/Prices!H274-1</f>
        <v>-0.0418136020151134</v>
      </c>
      <c r="I274" s="26" t="n">
        <f aca="false">Prices!I275/Prices!I274-1</f>
        <v>-0.00462288077438533</v>
      </c>
      <c r="J274" s="26" t="n">
        <f aca="false">Prices!J275/Prices!J274-1</f>
        <v>-0.00917432876020508</v>
      </c>
      <c r="K274" s="26" t="n">
        <f aca="false">SUMPRODUCT(B274:J274,Optimization!$C$7:$K$7)</f>
        <v>-0.0169675864887647</v>
      </c>
      <c r="L274" s="26" t="n">
        <f aca="false">SUMPRODUCT(B274:J274,Optimization!$C$8:$K$8)</f>
        <v>-0.0145388017028005</v>
      </c>
      <c r="M274" s="26" t="n">
        <f aca="false">SUMPRODUCT(B274:J274,Optimization!$C$9:$K$9)</f>
        <v>-0.0132977665526971</v>
      </c>
      <c r="N274" s="26" t="n">
        <f aca="false">SUMPRODUCT(B274:J274,Optimization!$C$10:$K$10)</f>
        <v>-0.0154074455129527</v>
      </c>
      <c r="O274" s="27" t="n">
        <f aca="false">IF(AND(A274&gt;=Inputs!$C$6,A274&lt;=Inputs!$C$7),1,0)</f>
        <v>0</v>
      </c>
      <c r="P274" s="28" t="n">
        <f aca="false">P273*(1+K274)</f>
        <v>118.635135103207</v>
      </c>
      <c r="Q274" s="28" t="n">
        <f aca="false">MAX(Q273,P274)</f>
        <v>130.050976087113</v>
      </c>
      <c r="R274" s="29" t="n">
        <f aca="false">P274/Q274-1</f>
        <v>-0.087779740893747</v>
      </c>
      <c r="S274" s="26" t="n">
        <f aca="false">IF(A274=Inputs!$C$12,"",F274)</f>
        <v>-0.0252301842591477</v>
      </c>
      <c r="T274" s="27" t="n">
        <f aca="false">IF(AND(A274&gt;Risk_Metrics!$C$28,P274&gt;=Risk_Metrics!$C$30),1,0)</f>
        <v>0</v>
      </c>
      <c r="U274" s="26" t="n">
        <f aca="false">IF(A274=Inputs!$C$12,"",K274)</f>
        <v>-0.0169675864887647</v>
      </c>
    </row>
    <row r="275" customFormat="false" ht="15" hidden="false" customHeight="false" outlineLevel="0" collapsed="false">
      <c r="A275" s="25" t="n">
        <f aca="false">Prices!A276</f>
        <v>44109</v>
      </c>
      <c r="B275" s="26" t="n">
        <f aca="false">Prices!B276/Prices!B275-1</f>
        <v>0.0247588021117786</v>
      </c>
      <c r="C275" s="26" t="n">
        <f aca="false">Prices!C276/Prices!C275-1</f>
        <v>0.046751787213803</v>
      </c>
      <c r="D275" s="26" t="n">
        <f aca="false">Prices!D276/Prices!D275-1</f>
        <v>0.0163317008514112</v>
      </c>
      <c r="E275" s="26" t="n">
        <f aca="false">Prices!E276/Prices!E275-1</f>
        <v>0.00970015855908013</v>
      </c>
      <c r="F275" s="26" t="n">
        <f aca="false">Prices!F276/Prices!F275-1</f>
        <v>-0.0045470559592623</v>
      </c>
      <c r="G275" s="26" t="n">
        <f aca="false">Prices!G276/Prices!G275-1</f>
        <v>0.0207305034550838</v>
      </c>
      <c r="H275" s="26" t="n">
        <f aca="false">Prices!H276/Prices!H275-1</f>
        <v>0.0531020504731861</v>
      </c>
      <c r="I275" s="26" t="n">
        <f aca="false">Prices!I276/Prices!I275-1</f>
        <v>0.00464435105558958</v>
      </c>
      <c r="J275" s="26" t="n">
        <f aca="false">Prices!J276/Prices!J275-1</f>
        <v>0.0217764060356653</v>
      </c>
      <c r="K275" s="26" t="n">
        <f aca="false">SUMPRODUCT(B275:J275,Optimization!$C$7:$K$7)</f>
        <v>0.0214720781995928</v>
      </c>
      <c r="L275" s="26" t="n">
        <f aca="false">SUMPRODUCT(B275:J275,Optimization!$C$8:$K$8)</f>
        <v>0.0213583574081581</v>
      </c>
      <c r="M275" s="26" t="n">
        <f aca="false">SUMPRODUCT(B275:J275,Optimization!$C$9:$K$9)</f>
        <v>0.0219712527168497</v>
      </c>
      <c r="N275" s="26" t="n">
        <f aca="false">SUMPRODUCT(B275:J275,Optimization!$C$10:$K$10)</f>
        <v>0.0224099742094046</v>
      </c>
      <c r="O275" s="27" t="n">
        <f aca="false">IF(AND(A275&gt;=Inputs!$C$6,A275&lt;=Inputs!$C$7),1,0)</f>
        <v>0</v>
      </c>
      <c r="P275" s="28" t="n">
        <f aca="false">P274*(1+K275)</f>
        <v>121.182478001363</v>
      </c>
      <c r="Q275" s="28" t="n">
        <f aca="false">MAX(Q274,P275)</f>
        <v>130.050976087113</v>
      </c>
      <c r="R275" s="29" t="n">
        <f aca="false">P275/Q275-1</f>
        <v>-0.0681924761549647</v>
      </c>
      <c r="S275" s="26" t="n">
        <f aca="false">IF(A275=Inputs!$C$12,"",F275)</f>
        <v>-0.0045470559592623</v>
      </c>
      <c r="T275" s="27" t="n">
        <f aca="false">IF(AND(A275&gt;Risk_Metrics!$C$28,P275&gt;=Risk_Metrics!$C$30),1,0)</f>
        <v>0</v>
      </c>
      <c r="U275" s="26" t="n">
        <f aca="false">IF(A275=Inputs!$C$12,"",K275)</f>
        <v>0.0214720781995928</v>
      </c>
    </row>
    <row r="276" customFormat="false" ht="15" hidden="false" customHeight="false" outlineLevel="0" collapsed="false">
      <c r="A276" s="25" t="n">
        <f aca="false">Prices!A277</f>
        <v>44110</v>
      </c>
      <c r="B276" s="26" t="n">
        <f aca="false">Prices!B277/Prices!B276-1</f>
        <v>-0.0163439684429921</v>
      </c>
      <c r="C276" s="26" t="n">
        <f aca="false">Prices!C277/Prices!C276-1</f>
        <v>-0.035694998076771</v>
      </c>
      <c r="D276" s="26" t="n">
        <f aca="false">Prices!D277/Prices!D276-1</f>
        <v>-0.00865269880510911</v>
      </c>
      <c r="E276" s="26" t="n">
        <f aca="false">Prices!E277/Prices!E276-1</f>
        <v>0.00104805240174666</v>
      </c>
      <c r="F276" s="26" t="n">
        <f aca="false">Prices!F277/Prices!F276-1</f>
        <v>0.00281097262906926</v>
      </c>
      <c r="G276" s="26" t="n">
        <f aca="false">Prices!G277/Prices!G276-1</f>
        <v>0.0227272727272727</v>
      </c>
      <c r="H276" s="26" t="n">
        <f aca="false">Prices!H277/Prices!H276-1</f>
        <v>-0.00499256090900835</v>
      </c>
      <c r="I276" s="26" t="n">
        <f aca="false">Prices!I277/Prices!I276-1</f>
        <v>0.00194640417180936</v>
      </c>
      <c r="J276" s="26" t="n">
        <f aca="false">Prices!J277/Prices!J276-1</f>
        <v>-0.0162779157576776</v>
      </c>
      <c r="K276" s="26" t="n">
        <f aca="false">SUMPRODUCT(B276:J276,Optimization!$C$7:$K$7)</f>
        <v>-0.00593660445129557</v>
      </c>
      <c r="L276" s="26" t="n">
        <f aca="false">SUMPRODUCT(B276:J276,Optimization!$C$8:$K$8)</f>
        <v>-0.0135920630062507</v>
      </c>
      <c r="M276" s="26" t="n">
        <f aca="false">SUMPRODUCT(B276:J276,Optimization!$C$9:$K$9)</f>
        <v>-0.0143260488428735</v>
      </c>
      <c r="N276" s="26" t="n">
        <f aca="false">SUMPRODUCT(B276:J276,Optimization!$C$10:$K$10)</f>
        <v>-0.0144938827473218</v>
      </c>
      <c r="O276" s="27" t="n">
        <f aca="false">IF(AND(A276&gt;=Inputs!$C$6,A276&lt;=Inputs!$C$7),1,0)</f>
        <v>0</v>
      </c>
      <c r="P276" s="28" t="n">
        <f aca="false">P275*(1+K276)</f>
        <v>120.463065563041</v>
      </c>
      <c r="Q276" s="28" t="n">
        <f aca="false">MAX(Q275,P276)</f>
        <v>130.050976087113</v>
      </c>
      <c r="R276" s="29" t="n">
        <f aca="false">P276/Q276-1</f>
        <v>-0.0737242488487739</v>
      </c>
      <c r="S276" s="26" t="n">
        <f aca="false">IF(A276=Inputs!$C$12,"",F276)</f>
        <v>0.00281097262906926</v>
      </c>
      <c r="T276" s="27" t="n">
        <f aca="false">IF(AND(A276&gt;Risk_Metrics!$C$28,P276&gt;=Risk_Metrics!$C$30),1,0)</f>
        <v>0</v>
      </c>
      <c r="U276" s="26" t="n">
        <f aca="false">IF(A276=Inputs!$C$12,"",K276)</f>
        <v>-0.00593660445129557</v>
      </c>
    </row>
    <row r="277" customFormat="false" ht="15" hidden="false" customHeight="false" outlineLevel="0" collapsed="false">
      <c r="A277" s="25" t="n">
        <f aca="false">Prices!A278</f>
        <v>44111</v>
      </c>
      <c r="B277" s="26" t="n">
        <f aca="false">Prices!B278/Prices!B277-1</f>
        <v>0.00379272175894396</v>
      </c>
      <c r="C277" s="26" t="n">
        <f aca="false">Prices!C278/Prices!C277-1</f>
        <v>-0.000930022321428581</v>
      </c>
      <c r="D277" s="26" t="n">
        <f aca="false">Prices!D278/Prices!D277-1</f>
        <v>0.0157939324935132</v>
      </c>
      <c r="E277" s="26" t="n">
        <f aca="false">Prices!E278/Prices!E277-1</f>
        <v>-0.00732859872049207</v>
      </c>
      <c r="F277" s="26" t="n">
        <f aca="false">Prices!F278/Prices!F277-1</f>
        <v>-0.0283812616936019</v>
      </c>
      <c r="G277" s="26" t="n">
        <f aca="false">Prices!G278/Prices!G277-1</f>
        <v>0.021276595744681</v>
      </c>
      <c r="H277" s="26" t="n">
        <f aca="false">Prices!H278/Prices!H277-1</f>
        <v>-0.00702453587556451</v>
      </c>
      <c r="I277" s="26" t="n">
        <f aca="false">Prices!I278/Prices!I277-1</f>
        <v>-0.0118989203204211</v>
      </c>
      <c r="J277" s="26" t="n">
        <f aca="false">Prices!J278/Prices!J277-1</f>
        <v>0.0264414709389538</v>
      </c>
      <c r="K277" s="26" t="n">
        <f aca="false">SUMPRODUCT(B277:J277,Optimization!$C$7:$K$7)</f>
        <v>0.00130459800050932</v>
      </c>
      <c r="L277" s="26" t="n">
        <f aca="false">SUMPRODUCT(B277:J277,Optimization!$C$8:$K$8)</f>
        <v>0.0107515530336394</v>
      </c>
      <c r="M277" s="26" t="n">
        <f aca="false">SUMPRODUCT(B277:J277,Optimization!$C$9:$K$9)</f>
        <v>0.00970245146882337</v>
      </c>
      <c r="N277" s="26" t="n">
        <f aca="false">SUMPRODUCT(B277:J277,Optimization!$C$10:$K$10)</f>
        <v>0.0119422119069451</v>
      </c>
      <c r="O277" s="27" t="n">
        <f aca="false">IF(AND(A277&gt;=Inputs!$C$6,A277&lt;=Inputs!$C$7),1,0)</f>
        <v>0</v>
      </c>
      <c r="P277" s="28" t="n">
        <f aca="false">P276*(1+K277)</f>
        <v>120.620221437509</v>
      </c>
      <c r="Q277" s="28" t="n">
        <f aca="false">MAX(Q276,P277)</f>
        <v>130.050976087113</v>
      </c>
      <c r="R277" s="29" t="n">
        <f aca="false">P277/Q277-1</f>
        <v>-0.0725158313559017</v>
      </c>
      <c r="S277" s="26" t="n">
        <f aca="false">IF(A277=Inputs!$C$12,"",F277)</f>
        <v>-0.0283812616936019</v>
      </c>
      <c r="T277" s="27" t="n">
        <f aca="false">IF(AND(A277&gt;Risk_Metrics!$C$28,P277&gt;=Risk_Metrics!$C$30),1,0)</f>
        <v>0</v>
      </c>
      <c r="U277" s="26" t="n">
        <f aca="false">IF(A277=Inputs!$C$12,"",K277)</f>
        <v>0.00130459800050932</v>
      </c>
    </row>
    <row r="278" customFormat="false" ht="15" hidden="false" customHeight="false" outlineLevel="0" collapsed="false">
      <c r="A278" s="25" t="n">
        <f aca="false">Prices!A279</f>
        <v>44112</v>
      </c>
      <c r="B278" s="26" t="n">
        <f aca="false">Prices!B279/Prices!B278-1</f>
        <v>0.0219502870834729</v>
      </c>
      <c r="C278" s="26" t="n">
        <f aca="false">Prices!C279/Prices!C278-1</f>
        <v>0.0212250411012831</v>
      </c>
      <c r="D278" s="26" t="n">
        <f aca="false">Prices!D279/Prices!D278-1</f>
        <v>0.0184123560387743</v>
      </c>
      <c r="E278" s="26" t="n">
        <f aca="false">Prices!E279/Prices!E278-1</f>
        <v>0.0539637907182948</v>
      </c>
      <c r="F278" s="26" t="n">
        <f aca="false">Prices!F279/Prices!F278-1</f>
        <v>-0.00108183301228681</v>
      </c>
      <c r="G278" s="26" t="n">
        <f aca="false">Prices!G279/Prices!G278-1</f>
        <v>-0.000462962962962998</v>
      </c>
      <c r="H278" s="26" t="n">
        <f aca="false">Prices!H279/Prices!H278-1</f>
        <v>0.032844869487374</v>
      </c>
      <c r="I278" s="26" t="n">
        <f aca="false">Prices!I279/Prices!I278-1</f>
        <v>0.00638973954131195</v>
      </c>
      <c r="J278" s="26" t="n">
        <f aca="false">Prices!J279/Prices!J278-1</f>
        <v>0.0186139776836953</v>
      </c>
      <c r="K278" s="26" t="n">
        <f aca="false">SUMPRODUCT(B278:J278,Optimization!$C$7:$K$7)</f>
        <v>0.0190950295198841</v>
      </c>
      <c r="L278" s="26" t="n">
        <f aca="false">SUMPRODUCT(B278:J278,Optimization!$C$8:$K$8)</f>
        <v>0.0181771528734472</v>
      </c>
      <c r="M278" s="26" t="n">
        <f aca="false">SUMPRODUCT(B278:J278,Optimization!$C$9:$K$9)</f>
        <v>0.0178438500893161</v>
      </c>
      <c r="N278" s="26" t="n">
        <f aca="false">SUMPRODUCT(B278:J278,Optimization!$C$10:$K$10)</f>
        <v>0.0190333835045007</v>
      </c>
      <c r="O278" s="27" t="n">
        <f aca="false">IF(AND(A278&gt;=Inputs!$C$6,A278&lt;=Inputs!$C$7),1,0)</f>
        <v>0</v>
      </c>
      <c r="P278" s="28" t="n">
        <f aca="false">P277*(1+K278)</f>
        <v>122.923468126554</v>
      </c>
      <c r="Q278" s="28" t="n">
        <f aca="false">MAX(Q277,P278)</f>
        <v>130.050976087113</v>
      </c>
      <c r="R278" s="29" t="n">
        <f aca="false">P278/Q278-1</f>
        <v>-0.0548054937764176</v>
      </c>
      <c r="S278" s="26" t="n">
        <f aca="false">IF(A278=Inputs!$C$12,"",F278)</f>
        <v>-0.00108183301228681</v>
      </c>
      <c r="T278" s="27" t="n">
        <f aca="false">IF(AND(A278&gt;Risk_Metrics!$C$28,P278&gt;=Risk_Metrics!$C$30),1,0)</f>
        <v>0</v>
      </c>
      <c r="U278" s="26" t="n">
        <f aca="false">IF(A278=Inputs!$C$12,"",K278)</f>
        <v>0.0190950295198841</v>
      </c>
    </row>
    <row r="279" customFormat="false" ht="15" hidden="false" customHeight="false" outlineLevel="0" collapsed="false">
      <c r="A279" s="25" t="n">
        <f aca="false">Prices!A280</f>
        <v>44113</v>
      </c>
      <c r="B279" s="26" t="n">
        <f aca="false">Prices!B280/Prices!B279-1</f>
        <v>-0.0341548949675158</v>
      </c>
      <c r="C279" s="26" t="n">
        <f aca="false">Prices!C280/Prices!C279-1</f>
        <v>-0.00255243395720017</v>
      </c>
      <c r="D279" s="26" t="n">
        <f aca="false">Prices!D280/Prices!D279-1</f>
        <v>-0.028525473223201</v>
      </c>
      <c r="E279" s="26" t="n">
        <f aca="false">Prices!E280/Prices!E279-1</f>
        <v>0.00316882927232864</v>
      </c>
      <c r="F279" s="26" t="n">
        <f aca="false">Prices!F280/Prices!F279-1</f>
        <v>-0.0180504874389263</v>
      </c>
      <c r="G279" s="26" t="n">
        <f aca="false">Prices!G280/Prices!G279-1</f>
        <v>-0.0106530338119499</v>
      </c>
      <c r="H279" s="26" t="n">
        <f aca="false">Prices!H280/Prices!H279-1</f>
        <v>-0.0313112509143223</v>
      </c>
      <c r="I279" s="26" t="n">
        <f aca="false">Prices!I280/Prices!I279-1</f>
        <v>-0.0168497447351358</v>
      </c>
      <c r="J279" s="26" t="n">
        <f aca="false">Prices!J280/Prices!J279-1</f>
        <v>0.00505787232733113</v>
      </c>
      <c r="K279" s="26" t="n">
        <f aca="false">SUMPRODUCT(B279:J279,Optimization!$C$7:$K$7)</f>
        <v>-0.0148745130498435</v>
      </c>
      <c r="L279" s="26" t="n">
        <f aca="false">SUMPRODUCT(B279:J279,Optimization!$C$8:$K$8)</f>
        <v>-0.0193213636782231</v>
      </c>
      <c r="M279" s="26" t="n">
        <f aca="false">SUMPRODUCT(B279:J279,Optimization!$C$9:$K$9)</f>
        <v>-0.0164057863852812</v>
      </c>
      <c r="N279" s="26" t="n">
        <f aca="false">SUMPRODUCT(B279:J279,Optimization!$C$10:$K$10)</f>
        <v>-0.0205933249116157</v>
      </c>
      <c r="O279" s="27" t="n">
        <f aca="false">IF(AND(A279&gt;=Inputs!$C$6,A279&lt;=Inputs!$C$7),1,0)</f>
        <v>0</v>
      </c>
      <c r="P279" s="28" t="n">
        <f aca="false">P278*(1+K279)</f>
        <v>121.095041395773</v>
      </c>
      <c r="Q279" s="28" t="n">
        <f aca="false">MAX(Q278,P279)</f>
        <v>130.050976087113</v>
      </c>
      <c r="R279" s="29" t="n">
        <f aca="false">P279/Q279-1</f>
        <v>-0.0688648017938807</v>
      </c>
      <c r="S279" s="26" t="n">
        <f aca="false">IF(A279=Inputs!$C$12,"",F279)</f>
        <v>-0.0180504874389263</v>
      </c>
      <c r="T279" s="27" t="n">
        <f aca="false">IF(AND(A279&gt;Risk_Metrics!$C$28,P279&gt;=Risk_Metrics!$C$30),1,0)</f>
        <v>0</v>
      </c>
      <c r="U279" s="26" t="n">
        <f aca="false">IF(A279=Inputs!$C$12,"",K279)</f>
        <v>-0.0148745130498435</v>
      </c>
    </row>
    <row r="280" customFormat="false" ht="15" hidden="false" customHeight="false" outlineLevel="0" collapsed="false">
      <c r="A280" s="25" t="n">
        <f aca="false">Prices!A281</f>
        <v>44117</v>
      </c>
      <c r="B280" s="26" t="n">
        <f aca="false">Prices!B281/Prices!B280-1</f>
        <v>-0.00200512209250592</v>
      </c>
      <c r="C280" s="26" t="n">
        <f aca="false">Prices!C281/Prices!C280-1</f>
        <v>0.00164503753043466</v>
      </c>
      <c r="D280" s="26" t="n">
        <f aca="false">Prices!D281/Prices!D280-1</f>
        <v>0.0198511166253101</v>
      </c>
      <c r="E280" s="26" t="n">
        <f aca="false">Prices!E281/Prices!E280-1</f>
        <v>-0.0129676304915168</v>
      </c>
      <c r="F280" s="26" t="n">
        <f aca="false">Prices!F281/Prices!F280-1</f>
        <v>0.0220588078151311</v>
      </c>
      <c r="G280" s="26" t="n">
        <f aca="false">Prices!G281/Prices!G280-1</f>
        <v>-0.00983150703036029</v>
      </c>
      <c r="H280" s="26" t="n">
        <f aca="false">Prices!H281/Prices!H280-1</f>
        <v>0.0166666675084177</v>
      </c>
      <c r="I280" s="26" t="n">
        <f aca="false">Prices!I281/Prices!I280-1</f>
        <v>0.0111773195874629</v>
      </c>
      <c r="J280" s="26" t="n">
        <f aca="false">Prices!J281/Prices!J280-1</f>
        <v>0.00876625028461864</v>
      </c>
      <c r="K280" s="26" t="n">
        <f aca="false">SUMPRODUCT(B280:J280,Optimization!$C$7:$K$7)</f>
        <v>0.00615121552633247</v>
      </c>
      <c r="L280" s="26" t="n">
        <f aca="false">SUMPRODUCT(B280:J280,Optimization!$C$8:$K$8)</f>
        <v>0.0113605615410651</v>
      </c>
      <c r="M280" s="26" t="n">
        <f aca="false">SUMPRODUCT(B280:J280,Optimization!$C$9:$K$9)</f>
        <v>0.00941177495799923</v>
      </c>
      <c r="N280" s="26" t="n">
        <f aca="false">SUMPRODUCT(B280:J280,Optimization!$C$10:$K$10)</f>
        <v>0.0115188561148143</v>
      </c>
      <c r="O280" s="27" t="n">
        <f aca="false">IF(AND(A280&gt;=Inputs!$C$6,A280&lt;=Inputs!$C$7),1,0)</f>
        <v>0</v>
      </c>
      <c r="P280" s="28" t="n">
        <f aca="false">P279*(1+K280)</f>
        <v>121.839923094569</v>
      </c>
      <c r="Q280" s="28" t="n">
        <f aca="false">MAX(Q279,P280)</f>
        <v>130.050976087113</v>
      </c>
      <c r="R280" s="29" t="n">
        <f aca="false">P280/Q280-1</f>
        <v>-0.0631371885055607</v>
      </c>
      <c r="S280" s="26" t="n">
        <f aca="false">IF(A280=Inputs!$C$12,"",F280)</f>
        <v>0.0220588078151311</v>
      </c>
      <c r="T280" s="27" t="n">
        <f aca="false">IF(AND(A280&gt;Risk_Metrics!$C$28,P280&gt;=Risk_Metrics!$C$30),1,0)</f>
        <v>0</v>
      </c>
      <c r="U280" s="26" t="n">
        <f aca="false">IF(A280=Inputs!$C$12,"",K280)</f>
        <v>0.00615121552633247</v>
      </c>
    </row>
    <row r="281" customFormat="false" ht="15" hidden="false" customHeight="false" outlineLevel="0" collapsed="false">
      <c r="A281" s="25" t="n">
        <f aca="false">Prices!A282</f>
        <v>44118</v>
      </c>
      <c r="B281" s="26" t="n">
        <f aca="false">Prices!B282/Prices!B281-1</f>
        <v>-0.00073061187214607</v>
      </c>
      <c r="C281" s="26" t="n">
        <f aca="false">Prices!C282/Prices!C281-1</f>
        <v>0.028832136088764</v>
      </c>
      <c r="D281" s="26" t="n">
        <f aca="false">Prices!D282/Prices!D281-1</f>
        <v>-0.00851577453365771</v>
      </c>
      <c r="E281" s="26" t="n">
        <f aca="false">Prices!E282/Prices!E281-1</f>
        <v>0.0390769755613436</v>
      </c>
      <c r="F281" s="26" t="n">
        <f aca="false">Prices!F282/Prices!F281-1</f>
        <v>-0.0197842279718856</v>
      </c>
      <c r="G281" s="26" t="n">
        <f aca="false">Prices!G282/Prices!G281-1</f>
        <v>0.000945626477541595</v>
      </c>
      <c r="H281" s="26" t="n">
        <f aca="false">Prices!H282/Prices!H281-1</f>
        <v>-0.00794833621203861</v>
      </c>
      <c r="I281" s="26" t="n">
        <f aca="false">Prices!I282/Prices!I281-1</f>
        <v>0.00466708814071093</v>
      </c>
      <c r="J281" s="26" t="n">
        <f aca="false">Prices!J282/Prices!J281-1</f>
        <v>0.0138397330839994</v>
      </c>
      <c r="K281" s="26" t="n">
        <f aca="false">SUMPRODUCT(B281:J281,Optimization!$C$7:$K$7)</f>
        <v>0.0055980676402924</v>
      </c>
      <c r="L281" s="26" t="n">
        <f aca="false">SUMPRODUCT(B281:J281,Optimization!$C$8:$K$8)</f>
        <v>0.00256829778091383</v>
      </c>
      <c r="M281" s="26" t="n">
        <f aca="false">SUMPRODUCT(B281:J281,Optimization!$C$9:$K$9)</f>
        <v>0.00533827175891344</v>
      </c>
      <c r="N281" s="26" t="n">
        <f aca="false">SUMPRODUCT(B281:J281,Optimization!$C$10:$K$10)</f>
        <v>0.00177055472876557</v>
      </c>
      <c r="O281" s="27" t="n">
        <f aca="false">IF(AND(A281&gt;=Inputs!$C$6,A281&lt;=Inputs!$C$7),1,0)</f>
        <v>0</v>
      </c>
      <c r="P281" s="28" t="n">
        <f aca="false">P280*(1+K281)</f>
        <v>122.52199122534</v>
      </c>
      <c r="Q281" s="28" t="n">
        <f aca="false">MAX(Q280,P281)</f>
        <v>130.050976087113</v>
      </c>
      <c r="R281" s="29" t="n">
        <f aca="false">P281/Q281-1</f>
        <v>-0.0578925671171402</v>
      </c>
      <c r="S281" s="26" t="n">
        <f aca="false">IF(A281=Inputs!$C$12,"",F281)</f>
        <v>-0.0197842279718856</v>
      </c>
      <c r="T281" s="27" t="n">
        <f aca="false">IF(AND(A281&gt;Risk_Metrics!$C$28,P281&gt;=Risk_Metrics!$C$30),1,0)</f>
        <v>0</v>
      </c>
      <c r="U281" s="26" t="n">
        <f aca="false">IF(A281=Inputs!$C$12,"",K281)</f>
        <v>0.0055980676402924</v>
      </c>
    </row>
    <row r="282" customFormat="false" ht="15" hidden="false" customHeight="false" outlineLevel="0" collapsed="false">
      <c r="A282" s="25" t="n">
        <f aca="false">Prices!A283</f>
        <v>44119</v>
      </c>
      <c r="B282" s="26" t="n">
        <f aca="false">Prices!B283/Prices!B282-1</f>
        <v>-0.016815902336244</v>
      </c>
      <c r="C282" s="26" t="n">
        <f aca="false">Prices!C283/Prices!C282-1</f>
        <v>-0.0136572900613212</v>
      </c>
      <c r="D282" s="26" t="n">
        <f aca="false">Prices!D283/Prices!D282-1</f>
        <v>0.015132882816651</v>
      </c>
      <c r="E282" s="26" t="n">
        <f aca="false">Prices!E283/Prices!E282-1</f>
        <v>0.0111849896447558</v>
      </c>
      <c r="F282" s="26" t="n">
        <f aca="false">Prices!F283/Prices!F282-1</f>
        <v>0.0209174821578133</v>
      </c>
      <c r="G282" s="26" t="n">
        <f aca="false">Prices!G283/Prices!G282-1</f>
        <v>0.00141714690599892</v>
      </c>
      <c r="H282" s="26" t="n">
        <f aca="false">Prices!H283/Prices!H282-1</f>
        <v>-0.0110164752637194</v>
      </c>
      <c r="I282" s="26" t="n">
        <f aca="false">Prices!I283/Prices!I282-1</f>
        <v>-0.014425414710234</v>
      </c>
      <c r="J282" s="26" t="n">
        <f aca="false">Prices!J283/Prices!J282-1</f>
        <v>-0.00841268253968253</v>
      </c>
      <c r="K282" s="26" t="n">
        <f aca="false">SUMPRODUCT(B282:J282,Optimization!$C$7:$K$7)</f>
        <v>-0.00174169593177578</v>
      </c>
      <c r="L282" s="26" t="n">
        <f aca="false">SUMPRODUCT(B282:J282,Optimization!$C$8:$K$8)</f>
        <v>-0.000445724154575579</v>
      </c>
      <c r="M282" s="26" t="n">
        <f aca="false">SUMPRODUCT(B282:J282,Optimization!$C$9:$K$9)</f>
        <v>-0.00444584458644724</v>
      </c>
      <c r="N282" s="26" t="n">
        <f aca="false">SUMPRODUCT(B282:J282,Optimization!$C$10:$K$10)</f>
        <v>0.000975888795402108</v>
      </c>
      <c r="O282" s="27" t="n">
        <f aca="false">IF(AND(A282&gt;=Inputs!$C$6,A282&lt;=Inputs!$C$7),1,0)</f>
        <v>0</v>
      </c>
      <c r="P282" s="28" t="n">
        <f aca="false">P281*(1+K282)</f>
        <v>122.30859517167</v>
      </c>
      <c r="Q282" s="28" t="n">
        <f aca="false">MAX(Q281,P282)</f>
        <v>130.050976087113</v>
      </c>
      <c r="R282" s="29" t="n">
        <f aca="false">P282/Q282-1</f>
        <v>-0.059533431800288</v>
      </c>
      <c r="S282" s="26" t="n">
        <f aca="false">IF(A282=Inputs!$C$12,"",F282)</f>
        <v>0.0209174821578133</v>
      </c>
      <c r="T282" s="27" t="n">
        <f aca="false">IF(AND(A282&gt;Risk_Metrics!$C$28,P282&gt;=Risk_Metrics!$C$30),1,0)</f>
        <v>0</v>
      </c>
      <c r="U282" s="26" t="n">
        <f aca="false">IF(A282=Inputs!$C$12,"",K282)</f>
        <v>-0.00174169593177578</v>
      </c>
    </row>
    <row r="283" customFormat="false" ht="15" hidden="false" customHeight="false" outlineLevel="0" collapsed="false">
      <c r="A283" s="25" t="n">
        <f aca="false">Prices!A284</f>
        <v>44120</v>
      </c>
      <c r="B283" s="26" t="n">
        <f aca="false">Prices!B284/Prices!B283-1</f>
        <v>-0.0011154675382884</v>
      </c>
      <c r="C283" s="26" t="n">
        <f aca="false">Prices!C284/Prices!C283-1</f>
        <v>-0.0228376546873287</v>
      </c>
      <c r="D283" s="26" t="n">
        <f aca="false">Prices!D284/Prices!D283-1</f>
        <v>0.0398871474617244</v>
      </c>
      <c r="E283" s="26" t="n">
        <f aca="false">Prices!E284/Prices!E283-1</f>
        <v>-0.00176340170305545</v>
      </c>
      <c r="F283" s="26" t="n">
        <f aca="false">Prices!F284/Prices!F283-1</f>
        <v>-0.0165348615891774</v>
      </c>
      <c r="G283" s="26" t="n">
        <f aca="false">Prices!G284/Prices!G283-1</f>
        <v>-0.0141509898985382</v>
      </c>
      <c r="H283" s="26" t="n">
        <f aca="false">Prices!H284/Prices!H283-1</f>
        <v>-0.0212658227848103</v>
      </c>
      <c r="I283" s="26" t="n">
        <f aca="false">Prices!I284/Prices!I283-1</f>
        <v>-0.00818647030723674</v>
      </c>
      <c r="J283" s="26" t="n">
        <f aca="false">Prices!J284/Prices!J283-1</f>
        <v>-0.00368175118165925</v>
      </c>
      <c r="K283" s="26" t="n">
        <f aca="false">SUMPRODUCT(B283:J283,Optimization!$C$7:$K$7)</f>
        <v>-0.00551658580315222</v>
      </c>
      <c r="L283" s="26" t="n">
        <f aca="false">SUMPRODUCT(B283:J283,Optimization!$C$8:$K$8)</f>
        <v>0.0133274928300938</v>
      </c>
      <c r="M283" s="26" t="n">
        <f aca="false">SUMPRODUCT(B283:J283,Optimization!$C$9:$K$9)</f>
        <v>0.0064079412967974</v>
      </c>
      <c r="N283" s="26" t="n">
        <f aca="false">SUMPRODUCT(B283:J283,Optimization!$C$10:$K$10)</f>
        <v>0.0158431648764345</v>
      </c>
      <c r="O283" s="27" t="n">
        <f aca="false">IF(AND(A283&gt;=Inputs!$C$6,A283&lt;=Inputs!$C$7),1,0)</f>
        <v>0</v>
      </c>
      <c r="P283" s="28" t="n">
        <f aca="false">P282*(1+K283)</f>
        <v>121.633869311942</v>
      </c>
      <c r="Q283" s="28" t="n">
        <f aca="false">MAX(Q282,P283)</f>
        <v>130.050976087113</v>
      </c>
      <c r="R283" s="29" t="n">
        <f aca="false">P283/Q283-1</f>
        <v>-0.0647215963187577</v>
      </c>
      <c r="S283" s="26" t="n">
        <f aca="false">IF(A283=Inputs!$C$12,"",F283)</f>
        <v>-0.0165348615891774</v>
      </c>
      <c r="T283" s="27" t="n">
        <f aca="false">IF(AND(A283&gt;Risk_Metrics!$C$28,P283&gt;=Risk_Metrics!$C$30),1,0)</f>
        <v>0</v>
      </c>
      <c r="U283" s="26" t="n">
        <f aca="false">IF(A283=Inputs!$C$12,"",K283)</f>
        <v>-0.00551658580315222</v>
      </c>
    </row>
    <row r="284" customFormat="false" ht="15" hidden="false" customHeight="false" outlineLevel="0" collapsed="false">
      <c r="A284" s="25" t="n">
        <f aca="false">Prices!A285</f>
        <v>44123</v>
      </c>
      <c r="B284" s="26" t="n">
        <f aca="false">Prices!B285/Prices!B284-1</f>
        <v>0.0167504373720455</v>
      </c>
      <c r="C284" s="26" t="n">
        <f aca="false">Prices!C285/Prices!C284-1</f>
        <v>0.0331247705764586</v>
      </c>
      <c r="D284" s="26" t="n">
        <f aca="false">Prices!D285/Prices!D284-1</f>
        <v>-0.0244091059437856</v>
      </c>
      <c r="E284" s="26" t="n">
        <f aca="false">Prices!E285/Prices!E284-1</f>
        <v>-0.00947486751244586</v>
      </c>
      <c r="F284" s="26" t="n">
        <f aca="false">Prices!F285/Prices!F284-1</f>
        <v>0.00511698602940136</v>
      </c>
      <c r="G284" s="26" t="n">
        <f aca="false">Prices!G285/Prices!G284-1</f>
        <v>0.00765545454545458</v>
      </c>
      <c r="H284" s="26" t="n">
        <f aca="false">Prices!H285/Prices!H284-1</f>
        <v>0.00982928091050184</v>
      </c>
      <c r="I284" s="26" t="n">
        <f aca="false">Prices!I285/Prices!I284-1</f>
        <v>0.0225112269279808</v>
      </c>
      <c r="J284" s="26" t="n">
        <f aca="false">Prices!J285/Prices!J284-1</f>
        <v>-0.00465939895053336</v>
      </c>
      <c r="K284" s="26" t="n">
        <f aca="false">SUMPRODUCT(B284:J284,Optimization!$C$7:$K$7)</f>
        <v>0.00627164266167531</v>
      </c>
      <c r="L284" s="26" t="n">
        <f aca="false">SUMPRODUCT(B284:J284,Optimization!$C$8:$K$8)</f>
        <v>-0.00255099963634025</v>
      </c>
      <c r="M284" s="26" t="n">
        <f aca="false">SUMPRODUCT(B284:J284,Optimization!$C$9:$K$9)</f>
        <v>0.00265755888539666</v>
      </c>
      <c r="N284" s="26" t="n">
        <f aca="false">SUMPRODUCT(B284:J284,Optimization!$C$10:$K$10)</f>
        <v>-0.00459738847526598</v>
      </c>
      <c r="O284" s="27" t="n">
        <f aca="false">IF(AND(A284&gt;=Inputs!$C$6,A284&lt;=Inputs!$C$7),1,0)</f>
        <v>0</v>
      </c>
      <c r="P284" s="28" t="n">
        <f aca="false">P283*(1+K284)</f>
        <v>122.396713475824</v>
      </c>
      <c r="Q284" s="28" t="n">
        <f aca="false">MAX(Q283,P284)</f>
        <v>130.050976087113</v>
      </c>
      <c r="R284" s="29" t="n">
        <f aca="false">P284/Q284-1</f>
        <v>-0.0588558643816868</v>
      </c>
      <c r="S284" s="26" t="n">
        <f aca="false">IF(A284=Inputs!$C$12,"",F284)</f>
        <v>0.00511698602940136</v>
      </c>
      <c r="T284" s="27" t="n">
        <f aca="false">IF(AND(A284&gt;Risk_Metrics!$C$28,P284&gt;=Risk_Metrics!$C$30),1,0)</f>
        <v>0</v>
      </c>
      <c r="U284" s="26" t="n">
        <f aca="false">IF(A284=Inputs!$C$12,"",K284)</f>
        <v>0.00627164266167531</v>
      </c>
    </row>
    <row r="285" customFormat="false" ht="15" hidden="false" customHeight="false" outlineLevel="0" collapsed="false">
      <c r="A285" s="25" t="n">
        <f aca="false">Prices!A286</f>
        <v>44124</v>
      </c>
      <c r="B285" s="26" t="n">
        <f aca="false">Prices!B286/Prices!B285-1</f>
        <v>0.00860327643047265</v>
      </c>
      <c r="C285" s="26" t="n">
        <f aca="false">Prices!C286/Prices!C285-1</f>
        <v>0.0313501608719302</v>
      </c>
      <c r="D285" s="26" t="n">
        <f aca="false">Prices!D286/Prices!D285-1</f>
        <v>0.0127084988085782</v>
      </c>
      <c r="E285" s="26" t="n">
        <f aca="false">Prices!E286/Prices!E285-1</f>
        <v>0.0452334792477302</v>
      </c>
      <c r="F285" s="26" t="n">
        <f aca="false">Prices!F286/Prices!F285-1</f>
        <v>-0.00363643997271856</v>
      </c>
      <c r="G285" s="26" t="n">
        <f aca="false">Prices!G286/Prices!G285-1</f>
        <v>0.00569805345194929</v>
      </c>
      <c r="H285" s="26" t="n">
        <f aca="false">Prices!H286/Prices!H285-1</f>
        <v>0.033811475409836</v>
      </c>
      <c r="I285" s="26" t="n">
        <f aca="false">Prices!I286/Prices!I285-1</f>
        <v>0.0254402719946505</v>
      </c>
      <c r="J285" s="26" t="n">
        <f aca="false">Prices!J286/Prices!J285-1</f>
        <v>-0.00177564161782651</v>
      </c>
      <c r="K285" s="26" t="n">
        <f aca="false">SUMPRODUCT(B285:J285,Optimization!$C$7:$K$7)</f>
        <v>0.0174925705138447</v>
      </c>
      <c r="L285" s="26" t="n">
        <f aca="false">SUMPRODUCT(B285:J285,Optimization!$C$8:$K$8)</f>
        <v>0.0133585746486331</v>
      </c>
      <c r="M285" s="26" t="n">
        <f aca="false">SUMPRODUCT(B285:J285,Optimization!$C$9:$K$9)</f>
        <v>0.0130807831724343</v>
      </c>
      <c r="N285" s="26" t="n">
        <f aca="false">SUMPRODUCT(B285:J285,Optimization!$C$10:$K$10)</f>
        <v>0.0128675302943622</v>
      </c>
      <c r="O285" s="27" t="n">
        <f aca="false">IF(AND(A285&gt;=Inputs!$C$6,A285&lt;=Inputs!$C$7),1,0)</f>
        <v>0</v>
      </c>
      <c r="P285" s="28" t="n">
        <f aca="false">P284*(1+K285)</f>
        <v>124.537746616963</v>
      </c>
      <c r="Q285" s="28" t="n">
        <f aca="false">MAX(Q284,P285)</f>
        <v>130.050976087113</v>
      </c>
      <c r="R285" s="29" t="n">
        <f aca="false">P285/Q285-1</f>
        <v>-0.0423928342256921</v>
      </c>
      <c r="S285" s="26" t="n">
        <f aca="false">IF(A285=Inputs!$C$12,"",F285)</f>
        <v>-0.00363643997271856</v>
      </c>
      <c r="T285" s="27" t="n">
        <f aca="false">IF(AND(A285&gt;Risk_Metrics!$C$28,P285&gt;=Risk_Metrics!$C$30),1,0)</f>
        <v>0</v>
      </c>
      <c r="U285" s="26" t="n">
        <f aca="false">IF(A285=Inputs!$C$12,"",K285)</f>
        <v>0.0174925705138447</v>
      </c>
    </row>
    <row r="286" customFormat="false" ht="15" hidden="false" customHeight="false" outlineLevel="0" collapsed="false">
      <c r="A286" s="25" t="n">
        <f aca="false">Prices!A287</f>
        <v>44125</v>
      </c>
      <c r="B286" s="26" t="n">
        <f aca="false">Prices!B287/Prices!B286-1</f>
        <v>-0.0166968790089611</v>
      </c>
      <c r="C286" s="26" t="n">
        <f aca="false">Prices!C287/Prices!C286-1</f>
        <v>-0.0091536792307606</v>
      </c>
      <c r="D286" s="26" t="n">
        <f aca="false">Prices!D287/Prices!D286-1</f>
        <v>-0.0117646666666666</v>
      </c>
      <c r="E286" s="26" t="n">
        <f aca="false">Prices!E287/Prices!E286-1</f>
        <v>-0.0245075535209003</v>
      </c>
      <c r="F286" s="26" t="n">
        <f aca="false">Prices!F287/Prices!F286-1</f>
        <v>-0.0299269574779919</v>
      </c>
      <c r="G286" s="26" t="n">
        <f aca="false">Prices!G287/Prices!G286-1</f>
        <v>0.0372992917847026</v>
      </c>
      <c r="H286" s="26" t="n">
        <f aca="false">Prices!H287/Prices!H286-1</f>
        <v>-0.000991080277502499</v>
      </c>
      <c r="I286" s="26" t="n">
        <f aca="false">Prices!I287/Prices!I286-1</f>
        <v>0.0212309370878505</v>
      </c>
      <c r="J286" s="26" t="n">
        <f aca="false">Prices!J287/Prices!J286-1</f>
        <v>0.0163324385510995</v>
      </c>
      <c r="K286" s="26" t="n">
        <f aca="false">SUMPRODUCT(B286:J286,Optimization!$C$7:$K$7)</f>
        <v>-0.00201979430657005</v>
      </c>
      <c r="L286" s="26" t="n">
        <f aca="false">SUMPRODUCT(B286:J286,Optimization!$C$8:$K$8)</f>
        <v>-0.00428987987101654</v>
      </c>
      <c r="M286" s="26" t="n">
        <f aca="false">SUMPRODUCT(B286:J286,Optimization!$C$9:$K$9)</f>
        <v>-0.00133412248503945</v>
      </c>
      <c r="N286" s="26" t="n">
        <f aca="false">SUMPRODUCT(B286:J286,Optimization!$C$10:$K$10)</f>
        <v>-0.00698131174084618</v>
      </c>
      <c r="O286" s="27" t="n">
        <f aca="false">IF(AND(A286&gt;=Inputs!$C$6,A286&lt;=Inputs!$C$7),1,0)</f>
        <v>0</v>
      </c>
      <c r="P286" s="28" t="n">
        <f aca="false">P285*(1+K286)</f>
        <v>124.286205985393</v>
      </c>
      <c r="Q286" s="28" t="n">
        <f aca="false">MAX(Q285,P286)</f>
        <v>130.050976087113</v>
      </c>
      <c r="R286" s="29" t="n">
        <f aca="false">P286/Q286-1</f>
        <v>-0.0443270037270537</v>
      </c>
      <c r="S286" s="26" t="n">
        <f aca="false">IF(A286=Inputs!$C$12,"",F286)</f>
        <v>-0.0299269574779919</v>
      </c>
      <c r="T286" s="27" t="n">
        <f aca="false">IF(AND(A286&gt;Risk_Metrics!$C$28,P286&gt;=Risk_Metrics!$C$30),1,0)</f>
        <v>0</v>
      </c>
      <c r="U286" s="26" t="n">
        <f aca="false">IF(A286=Inputs!$C$12,"",K286)</f>
        <v>-0.00201979430657005</v>
      </c>
    </row>
    <row r="287" customFormat="false" ht="15" hidden="false" customHeight="false" outlineLevel="0" collapsed="false">
      <c r="A287" s="25" t="n">
        <f aca="false">Prices!A288</f>
        <v>44126</v>
      </c>
      <c r="B287" s="26" t="n">
        <f aca="false">Prices!B288/Prices!B287-1</f>
        <v>-0.0297157622739018</v>
      </c>
      <c r="C287" s="26" t="n">
        <f aca="false">Prices!C288/Prices!C287-1</f>
        <v>-0.0226598574631316</v>
      </c>
      <c r="D287" s="26" t="n">
        <f aca="false">Prices!D288/Prices!D287-1</f>
        <v>0.00595234103363729</v>
      </c>
      <c r="E287" s="26" t="n">
        <f aca="false">Prices!E288/Prices!E287-1</f>
        <v>0.0176498810248034</v>
      </c>
      <c r="F287" s="26" t="n">
        <f aca="false">Prices!F288/Prices!F287-1</f>
        <v>-0.0210684327010473</v>
      </c>
      <c r="G287" s="26" t="n">
        <f aca="false">Prices!G288/Prices!G287-1</f>
        <v>-0.0172962684249554</v>
      </c>
      <c r="H287" s="26" t="n">
        <f aca="false">Prices!H288/Prices!H287-1</f>
        <v>0.0337301587301586</v>
      </c>
      <c r="I287" s="26" t="n">
        <f aca="false">Prices!I288/Prices!I287-1</f>
        <v>-0.0144825724577843</v>
      </c>
      <c r="J287" s="26" t="n">
        <f aca="false">Prices!J288/Prices!J287-1</f>
        <v>0.00397772486802617</v>
      </c>
      <c r="K287" s="26" t="n">
        <f aca="false">SUMPRODUCT(B287:J287,Optimization!$C$7:$K$7)</f>
        <v>-0.00487919862935499</v>
      </c>
      <c r="L287" s="26" t="n">
        <f aca="false">SUMPRODUCT(B287:J287,Optimization!$C$8:$K$8)</f>
        <v>-0.00571917176736002</v>
      </c>
      <c r="M287" s="26" t="n">
        <f aca="false">SUMPRODUCT(B287:J287,Optimization!$C$9:$K$9)</f>
        <v>-0.00812802591543376</v>
      </c>
      <c r="N287" s="26" t="n">
        <f aca="false">SUMPRODUCT(B287:J287,Optimization!$C$10:$K$10)</f>
        <v>-0.005345421506368</v>
      </c>
      <c r="O287" s="27" t="n">
        <f aca="false">IF(AND(A287&gt;=Inputs!$C$6,A287&lt;=Inputs!$C$7),1,0)</f>
        <v>0</v>
      </c>
      <c r="P287" s="28" t="n">
        <f aca="false">P286*(1+K287)</f>
        <v>123.679788899501</v>
      </c>
      <c r="Q287" s="28" t="n">
        <f aca="false">MAX(Q286,P287)</f>
        <v>130.050976087113</v>
      </c>
      <c r="R287" s="29" t="n">
        <f aca="false">P287/Q287-1</f>
        <v>-0.0489899221005803</v>
      </c>
      <c r="S287" s="26" t="n">
        <f aca="false">IF(A287=Inputs!$C$12,"",F287)</f>
        <v>-0.0210684327010473</v>
      </c>
      <c r="T287" s="27" t="n">
        <f aca="false">IF(AND(A287&gt;Risk_Metrics!$C$28,P287&gt;=Risk_Metrics!$C$30),1,0)</f>
        <v>0</v>
      </c>
      <c r="U287" s="26" t="n">
        <f aca="false">IF(A287=Inputs!$C$12,"",K287)</f>
        <v>-0.00487919862935499</v>
      </c>
    </row>
    <row r="288" customFormat="false" ht="15" hidden="false" customHeight="false" outlineLevel="0" collapsed="false">
      <c r="A288" s="25" t="n">
        <f aca="false">Prices!A289</f>
        <v>44127</v>
      </c>
      <c r="B288" s="26" t="n">
        <f aca="false">Prices!B289/Prices!B288-1</f>
        <v>0.160357618413544</v>
      </c>
      <c r="C288" s="26" t="n">
        <f aca="false">Prices!C289/Prices!C288-1</f>
        <v>-0.0226503465676646</v>
      </c>
      <c r="D288" s="26" t="n">
        <f aca="false">Prices!D289/Prices!D288-1</f>
        <v>0.00591715976331364</v>
      </c>
      <c r="E288" s="26" t="n">
        <f aca="false">Prices!E289/Prices!E288-1</f>
        <v>-0.022499984375</v>
      </c>
      <c r="F288" s="26" t="n">
        <f aca="false">Prices!F289/Prices!F288-1</f>
        <v>-0.00499616916324897</v>
      </c>
      <c r="G288" s="26" t="n">
        <f aca="false">Prices!G289/Prices!G288-1</f>
        <v>-0.0176007874015748</v>
      </c>
      <c r="H288" s="26" t="n">
        <f aca="false">Prices!H289/Prices!H288-1</f>
        <v>-0.0129558541266794</v>
      </c>
      <c r="I288" s="26" t="n">
        <f aca="false">Prices!I289/Prices!I288-1</f>
        <v>-0.0220432019039233</v>
      </c>
      <c r="J288" s="26" t="n">
        <f aca="false">Prices!J289/Prices!J288-1</f>
        <v>0.00554679890798093</v>
      </c>
      <c r="K288" s="26" t="n">
        <f aca="false">SUMPRODUCT(B288:J288,Optimization!$C$7:$K$7)</f>
        <v>0.00767502594963859</v>
      </c>
      <c r="L288" s="26" t="n">
        <f aca="false">SUMPRODUCT(B288:J288,Optimization!$C$8:$K$8)</f>
        <v>0.0236018519680328</v>
      </c>
      <c r="M288" s="26" t="n">
        <f aca="false">SUMPRODUCT(B288:J288,Optimization!$C$9:$K$9)</f>
        <v>0.0262497032141887</v>
      </c>
      <c r="N288" s="26" t="n">
        <f aca="false">SUMPRODUCT(B288:J288,Optimization!$C$10:$K$10)</f>
        <v>0.0283929578007017</v>
      </c>
      <c r="O288" s="27" t="n">
        <f aca="false">IF(AND(A288&gt;=Inputs!$C$6,A288&lt;=Inputs!$C$7),1,0)</f>
        <v>0</v>
      </c>
      <c r="P288" s="28" t="n">
        <f aca="false">P287*(1+K288)</f>
        <v>124.62903448875</v>
      </c>
      <c r="Q288" s="28" t="n">
        <f aca="false">MAX(Q287,P288)</f>
        <v>130.050976087113</v>
      </c>
      <c r="R288" s="29" t="n">
        <f aca="false">P288/Q288-1</f>
        <v>-0.0416908950743344</v>
      </c>
      <c r="S288" s="26" t="n">
        <f aca="false">IF(A288=Inputs!$C$12,"",F288)</f>
        <v>-0.00499616916324897</v>
      </c>
      <c r="T288" s="27" t="n">
        <f aca="false">IF(AND(A288&gt;Risk_Metrics!$C$28,P288&gt;=Risk_Metrics!$C$30),1,0)</f>
        <v>0</v>
      </c>
      <c r="U288" s="26" t="n">
        <f aca="false">IF(A288=Inputs!$C$12,"",K288)</f>
        <v>0.00767502594963859</v>
      </c>
    </row>
    <row r="289" customFormat="false" ht="15" hidden="false" customHeight="false" outlineLevel="0" collapsed="false">
      <c r="A289" s="25" t="n">
        <f aca="false">Prices!A290</f>
        <v>44130</v>
      </c>
      <c r="B289" s="26" t="n">
        <f aca="false">Prices!B290/Prices!B289-1</f>
        <v>0.0190163934426228</v>
      </c>
      <c r="C289" s="26" t="n">
        <f aca="false">Prices!C290/Prices!C289-1</f>
        <v>0.00328467165272528</v>
      </c>
      <c r="D289" s="26" t="n">
        <f aca="false">Prices!D290/Prices!D289-1</f>
        <v>-0.0117646666666666</v>
      </c>
      <c r="E289" s="26" t="n">
        <f aca="false">Prices!E290/Prices!E289-1</f>
        <v>0.00527490400775421</v>
      </c>
      <c r="F289" s="26" t="n">
        <f aca="false">Prices!F290/Prices!F289-1</f>
        <v>0.00926998168394499</v>
      </c>
      <c r="G289" s="26" t="n">
        <f aca="false">Prices!G290/Prices!G289-1</f>
        <v>-0.0429042924518761</v>
      </c>
      <c r="H289" s="26" t="n">
        <f aca="false">Prices!H290/Prices!H289-1</f>
        <v>-0.0155566358774915</v>
      </c>
      <c r="I289" s="26" t="n">
        <f aca="false">Prices!I290/Prices!I289-1</f>
        <v>0.00363555218104072</v>
      </c>
      <c r="J289" s="26" t="n">
        <f aca="false">Prices!J290/Prices!J289-1</f>
        <v>-0.0149724347522074</v>
      </c>
      <c r="K289" s="26" t="n">
        <f aca="false">SUMPRODUCT(B289:J289,Optimization!$C$7:$K$7)</f>
        <v>-0.00496850297557262</v>
      </c>
      <c r="L289" s="26" t="n">
        <f aca="false">SUMPRODUCT(B289:J289,Optimization!$C$8:$K$8)</f>
        <v>-0.00398085718766877</v>
      </c>
      <c r="M289" s="26" t="n">
        <f aca="false">SUMPRODUCT(B289:J289,Optimization!$C$9:$K$9)</f>
        <v>-0.00247028026916123</v>
      </c>
      <c r="N289" s="26" t="n">
        <f aca="false">SUMPRODUCT(B289:J289,Optimization!$C$10:$K$10)</f>
        <v>-0.00414542556565605</v>
      </c>
      <c r="O289" s="27" t="n">
        <f aca="false">IF(AND(A289&gt;=Inputs!$C$6,A289&lt;=Inputs!$C$7),1,0)</f>
        <v>0</v>
      </c>
      <c r="P289" s="28" t="n">
        <f aca="false">P288*(1+K289)</f>
        <v>124.00981476005</v>
      </c>
      <c r="Q289" s="28" t="n">
        <f aca="false">MAX(Q288,P289)</f>
        <v>130.050976087113</v>
      </c>
      <c r="R289" s="29" t="n">
        <f aca="false">P289/Q289-1</f>
        <v>-0.046452256713676</v>
      </c>
      <c r="S289" s="26" t="n">
        <f aca="false">IF(A289=Inputs!$C$12,"",F289)</f>
        <v>0.00926998168394499</v>
      </c>
      <c r="T289" s="27" t="n">
        <f aca="false">IF(AND(A289&gt;Risk_Metrics!$C$28,P289&gt;=Risk_Metrics!$C$30),1,0)</f>
        <v>0</v>
      </c>
      <c r="U289" s="26" t="n">
        <f aca="false">IF(A289=Inputs!$C$12,"",K289)</f>
        <v>-0.00496850297557262</v>
      </c>
    </row>
    <row r="290" customFormat="false" ht="15" hidden="false" customHeight="false" outlineLevel="0" collapsed="false">
      <c r="A290" s="25" t="n">
        <f aca="false">Prices!A291</f>
        <v>44131</v>
      </c>
      <c r="B290" s="26" t="n">
        <f aca="false">Prices!B291/Prices!B290-1</f>
        <v>-0.0146396396396395</v>
      </c>
      <c r="C290" s="26" t="n">
        <f aca="false">Prices!C291/Prices!C290-1</f>
        <v>-0.040560241562759</v>
      </c>
      <c r="D290" s="26" t="n">
        <f aca="false">Prices!D291/Prices!D290-1</f>
        <v>-0.0166666660052911</v>
      </c>
      <c r="E290" s="26" t="n">
        <f aca="false">Prices!E291/Prices!E290-1</f>
        <v>0.0267133252776803</v>
      </c>
      <c r="F290" s="26" t="n">
        <f aca="false">Prices!F291/Prices!F290-1</f>
        <v>-0.0107157087271422</v>
      </c>
      <c r="G290" s="26" t="n">
        <f aca="false">Prices!G291/Prices!G290-1</f>
        <v>-0.0103447788347182</v>
      </c>
      <c r="H290" s="26" t="n">
        <f aca="false">Prices!H291/Prices!H290-1</f>
        <v>-0.0182716543209875</v>
      </c>
      <c r="I290" s="26" t="n">
        <f aca="false">Prices!I291/Prices!I290-1</f>
        <v>-0.00507130985665394</v>
      </c>
      <c r="J290" s="26" t="n">
        <f aca="false">Prices!J291/Prices!J290-1</f>
        <v>0.000479984000000044</v>
      </c>
      <c r="K290" s="26" t="n">
        <f aca="false">SUMPRODUCT(B290:J290,Optimization!$C$7:$K$7)</f>
        <v>-0.00989740996327901</v>
      </c>
      <c r="L290" s="26" t="n">
        <f aca="false">SUMPRODUCT(B290:J290,Optimization!$C$8:$K$8)</f>
        <v>-0.0154790073485327</v>
      </c>
      <c r="M290" s="26" t="n">
        <f aca="false">SUMPRODUCT(B290:J290,Optimization!$C$9:$K$9)</f>
        <v>-0.014262339400378</v>
      </c>
      <c r="N290" s="26" t="n">
        <f aca="false">SUMPRODUCT(B290:J290,Optimization!$C$10:$K$10)</f>
        <v>-0.0166668325200909</v>
      </c>
      <c r="O290" s="27" t="n">
        <f aca="false">IF(AND(A290&gt;=Inputs!$C$6,A290&lt;=Inputs!$C$7),1,0)</f>
        <v>0</v>
      </c>
      <c r="P290" s="28" t="n">
        <f aca="false">P289*(1+K290)</f>
        <v>122.7824387839</v>
      </c>
      <c r="Q290" s="28" t="n">
        <f aca="false">MAX(Q289,P290)</f>
        <v>130.050976087113</v>
      </c>
      <c r="R290" s="29" t="n">
        <f aca="false">P290/Q290-1</f>
        <v>-0.0558899096485404</v>
      </c>
      <c r="S290" s="26" t="n">
        <f aca="false">IF(A290=Inputs!$C$12,"",F290)</f>
        <v>-0.0107157087271422</v>
      </c>
      <c r="T290" s="27" t="n">
        <f aca="false">IF(AND(A290&gt;Risk_Metrics!$C$28,P290&gt;=Risk_Metrics!$C$30),1,0)</f>
        <v>0</v>
      </c>
      <c r="U290" s="26" t="n">
        <f aca="false">IF(A290=Inputs!$C$12,"",K290)</f>
        <v>-0.00989740996327901</v>
      </c>
    </row>
    <row r="291" customFormat="false" ht="15" hidden="false" customHeight="false" outlineLevel="0" collapsed="false">
      <c r="A291" s="25" t="n">
        <f aca="false">Prices!A292</f>
        <v>44132</v>
      </c>
      <c r="B291" s="26" t="n">
        <f aca="false">Prices!B292/Prices!B291-1</f>
        <v>-0.0171428408163266</v>
      </c>
      <c r="C291" s="26" t="n">
        <f aca="false">Prices!C292/Prices!C291-1</f>
        <v>-0.0269193006194729</v>
      </c>
      <c r="D291" s="26" t="n">
        <f aca="false">Prices!D292/Prices!D291-1</f>
        <v>-0.0334947524820519</v>
      </c>
      <c r="E291" s="26" t="n">
        <f aca="false">Prices!E292/Prices!E291-1</f>
        <v>-0.03128389344897</v>
      </c>
      <c r="F291" s="26" t="n">
        <f aca="false">Prices!F292/Prices!F291-1</f>
        <v>-0.0437137461242932</v>
      </c>
      <c r="G291" s="26" t="n">
        <f aca="false">Prices!G292/Prices!G291-1</f>
        <v>-0.0532603285216526</v>
      </c>
      <c r="H291" s="26" t="n">
        <f aca="false">Prices!H292/Prices!H291-1</f>
        <v>-0.0608651439066974</v>
      </c>
      <c r="I291" s="26" t="n">
        <f aca="false">Prices!I292/Prices!I291-1</f>
        <v>-0.0225727774019536</v>
      </c>
      <c r="J291" s="26" t="n">
        <f aca="false">Prices!J292/Prices!J291-1</f>
        <v>-0.0363025913369996</v>
      </c>
      <c r="K291" s="26" t="n">
        <f aca="false">SUMPRODUCT(B291:J291,Optimization!$C$7:$K$7)</f>
        <v>-0.0361728194064909</v>
      </c>
      <c r="L291" s="26" t="n">
        <f aca="false">SUMPRODUCT(B291:J291,Optimization!$C$8:$K$8)</f>
        <v>-0.0294556724553372</v>
      </c>
      <c r="M291" s="26" t="n">
        <f aca="false">SUMPRODUCT(B291:J291,Optimization!$C$9:$K$9)</f>
        <v>-0.0286784627669951</v>
      </c>
      <c r="N291" s="26" t="n">
        <f aca="false">SUMPRODUCT(B291:J291,Optimization!$C$10:$K$10)</f>
        <v>-0.0297081870931359</v>
      </c>
      <c r="O291" s="27" t="n">
        <f aca="false">IF(AND(A291&gt;=Inputs!$C$6,A291&lt;=Inputs!$C$7),1,0)</f>
        <v>0</v>
      </c>
      <c r="P291" s="28" t="n">
        <f aca="false">P290*(1+K291)</f>
        <v>118.341051799481</v>
      </c>
      <c r="Q291" s="28" t="n">
        <f aca="false">MAX(Q290,P291)</f>
        <v>130.050976087113</v>
      </c>
      <c r="R291" s="29" t="n">
        <f aca="false">P291/Q291-1</f>
        <v>-0.0900410334466695</v>
      </c>
      <c r="S291" s="26" t="n">
        <f aca="false">IF(A291=Inputs!$C$12,"",F291)</f>
        <v>-0.0437137461242932</v>
      </c>
      <c r="T291" s="27" t="n">
        <f aca="false">IF(AND(A291&gt;Risk_Metrics!$C$28,P291&gt;=Risk_Metrics!$C$30),1,0)</f>
        <v>0</v>
      </c>
      <c r="U291" s="26" t="n">
        <f aca="false">IF(A291=Inputs!$C$12,"",K291)</f>
        <v>-0.0361728194064909</v>
      </c>
    </row>
    <row r="292" customFormat="false" ht="15" hidden="false" customHeight="false" outlineLevel="0" collapsed="false">
      <c r="A292" s="25" t="n">
        <f aca="false">Prices!A293</f>
        <v>44133</v>
      </c>
      <c r="B292" s="26" t="n">
        <f aca="false">Prices!B293/Prices!B292-1</f>
        <v>0.032059800131897</v>
      </c>
      <c r="C292" s="26" t="n">
        <f aca="false">Prices!C293/Prices!C292-1</f>
        <v>0.0321448841528413</v>
      </c>
      <c r="D292" s="26" t="n">
        <f aca="false">Prices!D293/Prices!D292-1</f>
        <v>-0.00459294344079575</v>
      </c>
      <c r="E292" s="26" t="n">
        <f aca="false">Prices!E293/Prices!E292-1</f>
        <v>0.000159904079295004</v>
      </c>
      <c r="F292" s="26" t="n">
        <f aca="false">Prices!F293/Prices!F292-1</f>
        <v>-0.00121356103779813</v>
      </c>
      <c r="G292" s="26" t="n">
        <f aca="false">Prices!G293/Prices!G292-1</f>
        <v>0.00420609884332301</v>
      </c>
      <c r="H292" s="26" t="n">
        <f aca="false">Prices!H293/Prices!H292-1</f>
        <v>0.0332084092126406</v>
      </c>
      <c r="I292" s="26" t="n">
        <f aca="false">Prices!I293/Prices!I292-1</f>
        <v>-0.0101813107150429</v>
      </c>
      <c r="J292" s="26" t="n">
        <f aca="false">Prices!J293/Prices!J292-1</f>
        <v>0.029206804819343</v>
      </c>
      <c r="K292" s="26" t="n">
        <f aca="false">SUMPRODUCT(B292:J292,Optimization!$C$7:$K$7)</f>
        <v>0.0127775651161892</v>
      </c>
      <c r="L292" s="26" t="n">
        <f aca="false">SUMPRODUCT(B292:J292,Optimization!$C$8:$K$8)</f>
        <v>0.0109745698742661</v>
      </c>
      <c r="M292" s="26" t="n">
        <f aca="false">SUMPRODUCT(B292:J292,Optimization!$C$9:$K$9)</f>
        <v>0.0145735328210878</v>
      </c>
      <c r="N292" s="26" t="n">
        <f aca="false">SUMPRODUCT(B292:J292,Optimization!$C$10:$K$10)</f>
        <v>0.0117609490926103</v>
      </c>
      <c r="O292" s="27" t="n">
        <f aca="false">IF(AND(A292&gt;=Inputs!$C$6,A292&lt;=Inputs!$C$7),1,0)</f>
        <v>0</v>
      </c>
      <c r="P292" s="28" t="n">
        <f aca="false">P291*(1+K292)</f>
        <v>119.853162294767</v>
      </c>
      <c r="Q292" s="28" t="n">
        <f aca="false">MAX(Q291,P292)</f>
        <v>130.050976087113</v>
      </c>
      <c r="R292" s="29" t="n">
        <f aca="false">P292/Q292-1</f>
        <v>-0.078413973498474</v>
      </c>
      <c r="S292" s="26" t="n">
        <f aca="false">IF(A292=Inputs!$C$12,"",F292)</f>
        <v>-0.00121356103779813</v>
      </c>
      <c r="T292" s="27" t="n">
        <f aca="false">IF(AND(A292&gt;Risk_Metrics!$C$28,P292&gt;=Risk_Metrics!$C$30),1,0)</f>
        <v>0</v>
      </c>
      <c r="U292" s="26" t="n">
        <f aca="false">IF(A292=Inputs!$C$12,"",K292)</f>
        <v>0.0127775651161892</v>
      </c>
    </row>
    <row r="293" customFormat="false" ht="15" hidden="false" customHeight="false" outlineLevel="0" collapsed="false">
      <c r="A293" s="25" t="n">
        <f aca="false">Prices!A294</f>
        <v>44134</v>
      </c>
      <c r="B293" s="26" t="n">
        <f aca="false">Prices!B294/Prices!B293-1</f>
        <v>-0.0294544015861195</v>
      </c>
      <c r="C293" s="26" t="n">
        <f aca="false">Prices!C294/Prices!C293-1</f>
        <v>-0.036428878822197</v>
      </c>
      <c r="D293" s="26" t="n">
        <f aca="false">Prices!D294/Prices!D293-1</f>
        <v>-0.00209727348993283</v>
      </c>
      <c r="E293" s="26" t="n">
        <f aca="false">Prices!E294/Prices!E293-1</f>
        <v>-0.0300511663994378</v>
      </c>
      <c r="F293" s="26" t="n">
        <f aca="false">Prices!F294/Prices!F293-1</f>
        <v>-0.0591332459497123</v>
      </c>
      <c r="G293" s="26" t="n">
        <f aca="false">Prices!G294/Prices!G293-1</f>
        <v>-0.00680633507853401</v>
      </c>
      <c r="H293" s="26" t="n">
        <f aca="false">Prices!H294/Prices!H293-1</f>
        <v>-0.0181441151817463</v>
      </c>
      <c r="I293" s="26" t="n">
        <f aca="false">Prices!I294/Prices!I293-1</f>
        <v>-0.00727541420546329</v>
      </c>
      <c r="J293" s="26" t="n">
        <f aca="false">Prices!J294/Prices!J293-1</f>
        <v>-0.0237020477265398</v>
      </c>
      <c r="K293" s="26" t="n">
        <f aca="false">SUMPRODUCT(B293:J293,Optimization!$C$7:$K$7)</f>
        <v>-0.0236769864932981</v>
      </c>
      <c r="L293" s="26" t="n">
        <f aca="false">SUMPRODUCT(B293:J293,Optimization!$C$8:$K$8)</f>
        <v>-0.0149432882861015</v>
      </c>
      <c r="M293" s="26" t="n">
        <f aca="false">SUMPRODUCT(B293:J293,Optimization!$C$9:$K$9)</f>
        <v>-0.0179561697680331</v>
      </c>
      <c r="N293" s="26" t="n">
        <f aca="false">SUMPRODUCT(B293:J293,Optimization!$C$10:$K$10)</f>
        <v>-0.0150538284144396</v>
      </c>
      <c r="O293" s="27" t="n">
        <f aca="false">IF(AND(A293&gt;=Inputs!$C$6,A293&lt;=Inputs!$C$7),1,0)</f>
        <v>0</v>
      </c>
      <c r="P293" s="28" t="n">
        <f aca="false">P292*(1+K293)</f>
        <v>117.015400589935</v>
      </c>
      <c r="Q293" s="28" t="n">
        <f aca="false">MAX(Q292,P293)</f>
        <v>130.050976087113</v>
      </c>
      <c r="R293" s="29" t="n">
        <f aca="false">P293/Q293-1</f>
        <v>-0.100234353400363</v>
      </c>
      <c r="S293" s="26" t="n">
        <f aca="false">IF(A293=Inputs!$C$12,"",F293)</f>
        <v>-0.0591332459497123</v>
      </c>
      <c r="T293" s="27" t="n">
        <f aca="false">IF(AND(A293&gt;Risk_Metrics!$C$28,P293&gt;=Risk_Metrics!$C$30),1,0)</f>
        <v>0</v>
      </c>
      <c r="U293" s="26" t="n">
        <f aca="false">IF(A293=Inputs!$C$12,"",K293)</f>
        <v>-0.0236769864932981</v>
      </c>
    </row>
    <row r="294" customFormat="false" ht="15" hidden="false" customHeight="false" outlineLevel="0" collapsed="false">
      <c r="A294" s="25" t="n">
        <f aca="false">Prices!A295</f>
        <v>44138</v>
      </c>
      <c r="B294" s="26" t="n">
        <f aca="false">Prices!B295/Prices!B294-1</f>
        <v>-0.00829187410102605</v>
      </c>
      <c r="C294" s="26" t="n">
        <f aca="false">Prices!C295/Prices!C294-1</f>
        <v>-0.00156705197128526</v>
      </c>
      <c r="D294" s="26" t="n">
        <f aca="false">Prices!D295/Prices!D294-1</f>
        <v>0.0180747365248115</v>
      </c>
      <c r="E294" s="26" t="n">
        <f aca="false">Prices!E295/Prices!E294-1</f>
        <v>0.0509228740936059</v>
      </c>
      <c r="F294" s="26" t="n">
        <f aca="false">Prices!F295/Prices!F294-1</f>
        <v>0.0232458084501204</v>
      </c>
      <c r="G294" s="26" t="n">
        <f aca="false">Prices!G295/Prices!G294-1</f>
        <v>-0.0168686882903896</v>
      </c>
      <c r="H294" s="26" t="n">
        <f aca="false">Prices!H295/Prices!H294-1</f>
        <v>0.0374867456448391</v>
      </c>
      <c r="I294" s="26" t="n">
        <f aca="false">Prices!I295/Prices!I294-1</f>
        <v>-0.0126358589925158</v>
      </c>
      <c r="J294" s="26" t="n">
        <f aca="false">Prices!J295/Prices!J294-1</f>
        <v>0.0460776390764268</v>
      </c>
      <c r="K294" s="26" t="n">
        <f aca="false">SUMPRODUCT(B294:J294,Optimization!$C$7:$K$7)</f>
        <v>0.0151604811593985</v>
      </c>
      <c r="L294" s="26" t="n">
        <f aca="false">SUMPRODUCT(B294:J294,Optimization!$C$8:$K$8)</f>
        <v>0.0129675418194791</v>
      </c>
      <c r="M294" s="26" t="n">
        <f aca="false">SUMPRODUCT(B294:J294,Optimization!$C$9:$K$9)</f>
        <v>0.0125630934455556</v>
      </c>
      <c r="N294" s="26" t="n">
        <f aca="false">SUMPRODUCT(B294:J294,Optimization!$C$10:$K$10)</f>
        <v>0.0137133259355719</v>
      </c>
      <c r="O294" s="27" t="n">
        <f aca="false">IF(AND(A294&gt;=Inputs!$C$6,A294&lt;=Inputs!$C$7),1,0)</f>
        <v>0</v>
      </c>
      <c r="P294" s="28" t="n">
        <f aca="false">P293*(1+K294)</f>
        <v>118.789410365938</v>
      </c>
      <c r="Q294" s="28" t="n">
        <f aca="false">MAX(Q293,P294)</f>
        <v>130.050976087113</v>
      </c>
      <c r="R294" s="29" t="n">
        <f aca="false">P294/Q294-1</f>
        <v>-0.086593473267215</v>
      </c>
      <c r="S294" s="26" t="n">
        <f aca="false">IF(A294=Inputs!$C$12,"",F294)</f>
        <v>0.0232458084501204</v>
      </c>
      <c r="T294" s="27" t="n">
        <f aca="false">IF(AND(A294&gt;Risk_Metrics!$C$28,P294&gt;=Risk_Metrics!$C$30),1,0)</f>
        <v>0</v>
      </c>
      <c r="U294" s="26" t="n">
        <f aca="false">IF(A294=Inputs!$C$12,"",K294)</f>
        <v>0.0151604811593985</v>
      </c>
    </row>
    <row r="295" customFormat="false" ht="15" hidden="false" customHeight="false" outlineLevel="0" collapsed="false">
      <c r="A295" s="25" t="n">
        <f aca="false">Prices!A296</f>
        <v>44139</v>
      </c>
      <c r="B295" s="26" t="n">
        <f aca="false">Prices!B296/Prices!B295-1</f>
        <v>0.0717390814672088</v>
      </c>
      <c r="C295" s="26" t="n">
        <f aca="false">Prices!C296/Prices!C295-1</f>
        <v>0.0614086521483226</v>
      </c>
      <c r="D295" s="26" t="n">
        <f aca="false">Prices!D296/Prices!D295-1</f>
        <v>-0.0136251037830349</v>
      </c>
      <c r="E295" s="26" t="n">
        <f aca="false">Prices!E296/Prices!E295-1</f>
        <v>0.0396738748627881</v>
      </c>
      <c r="F295" s="26" t="n">
        <f aca="false">Prices!F296/Prices!F295-1</f>
        <v>0.0496423790596443</v>
      </c>
      <c r="G295" s="26" t="n">
        <f aca="false">Prices!G296/Prices!G295-1</f>
        <v>0.0396782305630028</v>
      </c>
      <c r="H295" s="26" t="n">
        <f aca="false">Prices!H296/Prices!H295-1</f>
        <v>0.00356229007633613</v>
      </c>
      <c r="I295" s="26" t="n">
        <f aca="false">Prices!I296/Prices!I295-1</f>
        <v>0.023291587876479</v>
      </c>
      <c r="J295" s="26" t="n">
        <f aca="false">Prices!J296/Prices!J295-1</f>
        <v>-0.0277865172087149</v>
      </c>
      <c r="K295" s="26" t="n">
        <f aca="false">SUMPRODUCT(B295:J295,Optimization!$C$7:$K$7)</f>
        <v>0.0275093861180035</v>
      </c>
      <c r="L295" s="26" t="n">
        <f aca="false">SUMPRODUCT(B295:J295,Optimization!$C$8:$K$8)</f>
        <v>0.0108542564293826</v>
      </c>
      <c r="M295" s="26" t="n">
        <f aca="false">SUMPRODUCT(B295:J295,Optimization!$C$9:$K$9)</f>
        <v>0.0150475917340389</v>
      </c>
      <c r="N295" s="26" t="n">
        <f aca="false">SUMPRODUCT(B295:J295,Optimization!$C$10:$K$10)</f>
        <v>0.0111148234064649</v>
      </c>
      <c r="O295" s="27" t="n">
        <f aca="false">IF(AND(A295&gt;=Inputs!$C$6,A295&lt;=Inputs!$C$7),1,0)</f>
        <v>0</v>
      </c>
      <c r="P295" s="28" t="n">
        <f aca="false">P294*(1+K295)</f>
        <v>122.057234122425</v>
      </c>
      <c r="Q295" s="28" t="n">
        <f aca="false">MAX(Q294,P295)</f>
        <v>130.050976087113</v>
      </c>
      <c r="R295" s="29" t="n">
        <f aca="false">P295/Q295-1</f>
        <v>-0.0614662204406182</v>
      </c>
      <c r="S295" s="26" t="n">
        <f aca="false">IF(A295=Inputs!$C$12,"",F295)</f>
        <v>0.0496423790596443</v>
      </c>
      <c r="T295" s="27" t="n">
        <f aca="false">IF(AND(A295&gt;Risk_Metrics!$C$28,P295&gt;=Risk_Metrics!$C$30),1,0)</f>
        <v>0</v>
      </c>
      <c r="U295" s="26" t="n">
        <f aca="false">IF(A295=Inputs!$C$12,"",K295)</f>
        <v>0.0275093861180035</v>
      </c>
    </row>
    <row r="296" customFormat="false" ht="15" hidden="false" customHeight="false" outlineLevel="0" collapsed="false">
      <c r="A296" s="25" t="n">
        <f aca="false">Prices!A297</f>
        <v>44140</v>
      </c>
      <c r="B296" s="26" t="n">
        <f aca="false">Prices!B297/Prices!B296-1</f>
        <v>0.000780199767838941</v>
      </c>
      <c r="C296" s="26" t="n">
        <f aca="false">Prices!C297/Prices!C296-1</f>
        <v>0.0463956385655386</v>
      </c>
      <c r="D296" s="26" t="n">
        <f aca="false">Prices!D297/Prices!D296-1</f>
        <v>0.00711594839330054</v>
      </c>
      <c r="E296" s="26" t="n">
        <f aca="false">Prices!E297/Prices!E296-1</f>
        <v>0.023830979313832</v>
      </c>
      <c r="F296" s="26" t="n">
        <f aca="false">Prices!F297/Prices!F296-1</f>
        <v>0.0124249184153651</v>
      </c>
      <c r="G296" s="26" t="n">
        <f aca="false">Prices!G297/Prices!G296-1</f>
        <v>0.0680763315150248</v>
      </c>
      <c r="H296" s="26" t="n">
        <f aca="false">Prices!H297/Prices!H296-1</f>
        <v>0.00862069009232691</v>
      </c>
      <c r="I296" s="26" t="n">
        <f aca="false">Prices!I297/Prices!I296-1</f>
        <v>0.0367683039866742</v>
      </c>
      <c r="J296" s="26" t="n">
        <f aca="false">Prices!J297/Prices!J296-1</f>
        <v>0.0157518182607399</v>
      </c>
      <c r="K296" s="26" t="n">
        <f aca="false">SUMPRODUCT(B296:J296,Optimization!$C$7:$K$7)</f>
        <v>0.0244183142567379</v>
      </c>
      <c r="L296" s="26" t="n">
        <f aca="false">SUMPRODUCT(B296:J296,Optimization!$C$8:$K$8)</f>
        <v>0.0155987920687687</v>
      </c>
      <c r="M296" s="26" t="n">
        <f aca="false">SUMPRODUCT(B296:J296,Optimization!$C$9:$K$9)</f>
        <v>0.0177819256575896</v>
      </c>
      <c r="N296" s="26" t="n">
        <f aca="false">SUMPRODUCT(B296:J296,Optimization!$C$10:$K$10)</f>
        <v>0.0137224023753894</v>
      </c>
      <c r="O296" s="27" t="n">
        <f aca="false">IF(AND(A296&gt;=Inputs!$C$6,A296&lt;=Inputs!$C$7),1,0)</f>
        <v>0</v>
      </c>
      <c r="P296" s="28" t="n">
        <f aca="false">P295*(1+K296)</f>
        <v>125.037666022534</v>
      </c>
      <c r="Q296" s="28" t="n">
        <f aca="false">MAX(Q295,P296)</f>
        <v>130.050976087113</v>
      </c>
      <c r="R296" s="29" t="n">
        <f aca="false">P296/Q296-1</f>
        <v>-0.0385488076707734</v>
      </c>
      <c r="S296" s="26" t="n">
        <f aca="false">IF(A296=Inputs!$C$12,"",F296)</f>
        <v>0.0124249184153651</v>
      </c>
      <c r="T296" s="27" t="n">
        <f aca="false">IF(AND(A296&gt;Risk_Metrics!$C$28,P296&gt;=Risk_Metrics!$C$30),1,0)</f>
        <v>0</v>
      </c>
      <c r="U296" s="26" t="n">
        <f aca="false">IF(A296=Inputs!$C$12,"",K296)</f>
        <v>0.0244183142567379</v>
      </c>
    </row>
    <row r="297" customFormat="false" ht="15" hidden="false" customHeight="false" outlineLevel="0" collapsed="false">
      <c r="A297" s="25" t="n">
        <f aca="false">Prices!A298</f>
        <v>44141</v>
      </c>
      <c r="B297" s="26" t="n">
        <f aca="false">Prices!B298/Prices!B297-1</f>
        <v>-0.0144995324992132</v>
      </c>
      <c r="C297" s="26" t="n">
        <f aca="false">Prices!C298/Prices!C297-1</f>
        <v>0.000176576567219033</v>
      </c>
      <c r="D297" s="26" t="n">
        <f aca="false">Prices!D298/Prices!D297-1</f>
        <v>-0.0116374900929964</v>
      </c>
      <c r="E297" s="26" t="n">
        <f aca="false">Prices!E298/Prices!E297-1</f>
        <v>0.00176786984831478</v>
      </c>
      <c r="F297" s="26" t="n">
        <f aca="false">Prices!F298/Prices!F297-1</f>
        <v>-0.00950126002870877</v>
      </c>
      <c r="G297" s="26" t="n">
        <f aca="false">Prices!G298/Prices!G297-1</f>
        <v>0.038145873401539</v>
      </c>
      <c r="H297" s="26" t="n">
        <f aca="false">Prices!H298/Prices!H297-1</f>
        <v>-0.00703866299842448</v>
      </c>
      <c r="I297" s="26" t="n">
        <f aca="false">Prices!I298/Prices!I297-1</f>
        <v>0.00506639018825883</v>
      </c>
      <c r="J297" s="26" t="n">
        <f aca="false">Prices!J298/Prices!J297-1</f>
        <v>0.0102318147119396</v>
      </c>
      <c r="K297" s="26" t="n">
        <f aca="false">SUMPRODUCT(B297:J297,Optimization!$C$7:$K$7)</f>
        <v>0.00141239767754759</v>
      </c>
      <c r="L297" s="26" t="n">
        <f aca="false">SUMPRODUCT(B297:J297,Optimization!$C$8:$K$8)</f>
        <v>-0.00528101695918561</v>
      </c>
      <c r="M297" s="26" t="n">
        <f aca="false">SUMPRODUCT(B297:J297,Optimization!$C$9:$K$9)</f>
        <v>-0.00310604157105998</v>
      </c>
      <c r="N297" s="26" t="n">
        <f aca="false">SUMPRODUCT(B297:J297,Optimization!$C$10:$K$10)</f>
        <v>-0.00671012349895288</v>
      </c>
      <c r="O297" s="27" t="n">
        <f aca="false">IF(AND(A297&gt;=Inputs!$C$6,A297&lt;=Inputs!$C$7),1,0)</f>
        <v>0</v>
      </c>
      <c r="P297" s="28" t="n">
        <f aca="false">P296*(1+K297)</f>
        <v>125.214268931631</v>
      </c>
      <c r="Q297" s="28" t="n">
        <f aca="false">MAX(Q296,P297)</f>
        <v>130.050976087113</v>
      </c>
      <c r="R297" s="29" t="n">
        <f aca="false">P297/Q297-1</f>
        <v>-0.0371908562396522</v>
      </c>
      <c r="S297" s="26" t="n">
        <f aca="false">IF(A297=Inputs!$C$12,"",F297)</f>
        <v>-0.00950126002870877</v>
      </c>
      <c r="T297" s="27" t="n">
        <f aca="false">IF(AND(A297&gt;Risk_Metrics!$C$28,P297&gt;=Risk_Metrics!$C$30),1,0)</f>
        <v>0</v>
      </c>
      <c r="U297" s="26" t="n">
        <f aca="false">IF(A297=Inputs!$C$12,"",K297)</f>
        <v>0.00141239767754759</v>
      </c>
    </row>
    <row r="298" customFormat="false" ht="15" hidden="false" customHeight="false" outlineLevel="0" collapsed="false">
      <c r="A298" s="25" t="n">
        <f aca="false">Prices!A299</f>
        <v>44144</v>
      </c>
      <c r="B298" s="26" t="n">
        <f aca="false">Prices!B299/Prices!B298-1</f>
        <v>0.0275272587806874</v>
      </c>
      <c r="C298" s="26" t="n">
        <f aca="false">Prices!C299/Prices!C298-1</f>
        <v>-0.0489225723935459</v>
      </c>
      <c r="D298" s="26" t="n">
        <f aca="false">Prices!D299/Prices!D298-1</f>
        <v>0.00462565161372375</v>
      </c>
      <c r="E298" s="26" t="n">
        <f aca="false">Prices!E299/Prices!E298-1</f>
        <v>-0.0279412058823529</v>
      </c>
      <c r="F298" s="26" t="n">
        <f aca="false">Prices!F299/Prices!F298-1</f>
        <v>0.00999197642358385</v>
      </c>
      <c r="G298" s="26" t="n">
        <f aca="false">Prices!G299/Prices!G298-1</f>
        <v>0.14046511627907</v>
      </c>
      <c r="H298" s="26" t="n">
        <f aca="false">Prices!H299/Prices!H298-1</f>
        <v>0.0941772658227849</v>
      </c>
      <c r="I298" s="26" t="n">
        <f aca="false">Prices!I299/Prices!I298-1</f>
        <v>-0.00312053315066263</v>
      </c>
      <c r="J298" s="26" t="n">
        <f aca="false">Prices!J299/Prices!J298-1</f>
        <v>0</v>
      </c>
      <c r="K298" s="26" t="n">
        <f aca="false">SUMPRODUCT(B298:J298,Optimization!$C$7:$K$7)</f>
        <v>0.021866995277032</v>
      </c>
      <c r="L298" s="26" t="n">
        <f aca="false">SUMPRODUCT(B298:J298,Optimization!$C$8:$K$8)</f>
        <v>-0.000285078241147521</v>
      </c>
      <c r="M298" s="26" t="n">
        <f aca="false">SUMPRODUCT(B298:J298,Optimization!$C$9:$K$9)</f>
        <v>-0.0011401485905062</v>
      </c>
      <c r="N298" s="26" t="n">
        <f aca="false">SUMPRODUCT(B298:J298,Optimization!$C$10:$K$10)</f>
        <v>0.000362549300761044</v>
      </c>
      <c r="O298" s="27" t="n">
        <f aca="false">IF(AND(A298&gt;=Inputs!$C$6,A298&lt;=Inputs!$C$7),1,0)</f>
        <v>0</v>
      </c>
      <c r="P298" s="28" t="n">
        <f aca="false">P297*(1+K298)</f>
        <v>127.952328758976</v>
      </c>
      <c r="Q298" s="28" t="n">
        <f aca="false">MAX(Q297,P298)</f>
        <v>130.050976087113</v>
      </c>
      <c r="R298" s="29" t="n">
        <f aca="false">P298/Q298-1</f>
        <v>-0.0161371132403615</v>
      </c>
      <c r="S298" s="26" t="n">
        <f aca="false">IF(A298=Inputs!$C$12,"",F298)</f>
        <v>0.00999197642358385</v>
      </c>
      <c r="T298" s="27" t="n">
        <f aca="false">IF(AND(A298&gt;Risk_Metrics!$C$28,P298&gt;=Risk_Metrics!$C$30),1,0)</f>
        <v>0</v>
      </c>
      <c r="U298" s="26" t="n">
        <f aca="false">IF(A298=Inputs!$C$12,"",K298)</f>
        <v>0.021866995277032</v>
      </c>
    </row>
    <row r="299" customFormat="false" ht="15" hidden="false" customHeight="false" outlineLevel="0" collapsed="false">
      <c r="A299" s="25" t="n">
        <f aca="false">Prices!A300</f>
        <v>44145</v>
      </c>
      <c r="B299" s="26" t="n">
        <f aca="false">Prices!B300/Prices!B299-1</f>
        <v>0.0115473446442191</v>
      </c>
      <c r="C299" s="26" t="n">
        <f aca="false">Prices!C300/Prices!C299-1</f>
        <v>0.0046424509948495</v>
      </c>
      <c r="D299" s="26" t="n">
        <f aca="false">Prices!D300/Prices!D299-1</f>
        <v>-0.0293008802553738</v>
      </c>
      <c r="E299" s="26" t="n">
        <f aca="false">Prices!E300/Prices!E299-1</f>
        <v>0.00332832082687795</v>
      </c>
      <c r="F299" s="26" t="n">
        <f aca="false">Prices!F300/Prices!F299-1</f>
        <v>-0.00633160130246779</v>
      </c>
      <c r="G299" s="26" t="n">
        <f aca="false">Prices!G300/Prices!G299-1</f>
        <v>-0.0195758156606851</v>
      </c>
      <c r="H299" s="26" t="n">
        <f aca="false">Prices!H300/Prices!H299-1</f>
        <v>0.0680240135111516</v>
      </c>
      <c r="I299" s="26" t="n">
        <f aca="false">Prices!I300/Prices!I299-1</f>
        <v>0.0298579089232072</v>
      </c>
      <c r="J299" s="26" t="n">
        <f aca="false">Prices!J300/Prices!J299-1</f>
        <v>-0.000474742846569787</v>
      </c>
      <c r="K299" s="26" t="n">
        <f aca="false">SUMPRODUCT(B299:J299,Optimization!$C$7:$K$7)</f>
        <v>0.00685744431502321</v>
      </c>
      <c r="L299" s="26" t="n">
        <f aca="false">SUMPRODUCT(B299:J299,Optimization!$C$8:$K$8)</f>
        <v>-0.00785249467327385</v>
      </c>
      <c r="M299" s="26" t="n">
        <f aca="false">SUMPRODUCT(B299:J299,Optimization!$C$9:$K$9)</f>
        <v>-0.00200406742205608</v>
      </c>
      <c r="N299" s="26" t="n">
        <f aca="false">SUMPRODUCT(B299:J299,Optimization!$C$10:$K$10)</f>
        <v>-0.0110277084623654</v>
      </c>
      <c r="O299" s="27" t="n">
        <f aca="false">IF(AND(A299&gt;=Inputs!$C$6,A299&lt;=Inputs!$C$7),1,0)</f>
        <v>0</v>
      </c>
      <c r="P299" s="28" t="n">
        <f aca="false">P298*(1+K299)</f>
        <v>128.829754728418</v>
      </c>
      <c r="Q299" s="28" t="n">
        <f aca="false">MAX(Q298,P299)</f>
        <v>130.050976087113</v>
      </c>
      <c r="R299" s="29" t="n">
        <f aca="false">P299/Q299-1</f>
        <v>-0.00939032828078945</v>
      </c>
      <c r="S299" s="26" t="n">
        <f aca="false">IF(A299=Inputs!$C$12,"",F299)</f>
        <v>-0.00633160130246779</v>
      </c>
      <c r="T299" s="27" t="n">
        <f aca="false">IF(AND(A299&gt;Risk_Metrics!$C$28,P299&gt;=Risk_Metrics!$C$30),1,0)</f>
        <v>0</v>
      </c>
      <c r="U299" s="26" t="n">
        <f aca="false">IF(A299=Inputs!$C$12,"",K299)</f>
        <v>0.00685744431502321</v>
      </c>
    </row>
    <row r="300" customFormat="false" ht="15" hidden="false" customHeight="false" outlineLevel="0" collapsed="false">
      <c r="A300" s="25" t="n">
        <f aca="false">Prices!A301</f>
        <v>44146</v>
      </c>
      <c r="B300" s="26" t="n">
        <f aca="false">Prices!B301/Prices!B300-1</f>
        <v>-0.00319633195721447</v>
      </c>
      <c r="C300" s="26" t="n">
        <f aca="false">Prices!C301/Prices!C300-1</f>
        <v>0.0240295013683827</v>
      </c>
      <c r="D300" s="26" t="n">
        <f aca="false">Prices!D301/Prices!D300-1</f>
        <v>-0.00431224647208939</v>
      </c>
      <c r="E300" s="26" t="n">
        <f aca="false">Prices!E301/Prices!E300-1</f>
        <v>-0.00150782569360675</v>
      </c>
      <c r="F300" s="26" t="n">
        <f aca="false">Prices!F301/Prices!F300-1</f>
        <v>-0.0274791041077799</v>
      </c>
      <c r="G300" s="26" t="n">
        <f aca="false">Prices!G301/Prices!G300-1</f>
        <v>-0.0170549909710902</v>
      </c>
      <c r="H300" s="26" t="n">
        <f aca="false">Prices!H301/Prices!H300-1</f>
        <v>-0.00866555459272078</v>
      </c>
      <c r="I300" s="26" t="n">
        <f aca="false">Prices!I301/Prices!I300-1</f>
        <v>-0.022445616255638</v>
      </c>
      <c r="J300" s="26" t="n">
        <f aca="false">Prices!J301/Prices!J300-1</f>
        <v>0.0069664027865739</v>
      </c>
      <c r="K300" s="26" t="n">
        <f aca="false">SUMPRODUCT(B300:J300,Optimization!$C$7:$K$7)</f>
        <v>-0.00596286287724254</v>
      </c>
      <c r="L300" s="26" t="n">
        <f aca="false">SUMPRODUCT(B300:J300,Optimization!$C$8:$K$8)</f>
        <v>-0.000377393667331043</v>
      </c>
      <c r="M300" s="26" t="n">
        <f aca="false">SUMPRODUCT(B300:J300,Optimization!$C$9:$K$9)</f>
        <v>0.000127824101737981</v>
      </c>
      <c r="N300" s="26" t="n">
        <f aca="false">SUMPRODUCT(B300:J300,Optimization!$C$10:$K$10)</f>
        <v>0.000810004793560839</v>
      </c>
      <c r="O300" s="27" t="n">
        <f aca="false">IF(AND(A300&gt;=Inputs!$C$6,A300&lt;=Inputs!$C$7),1,0)</f>
        <v>0</v>
      </c>
      <c r="P300" s="28" t="n">
        <f aca="false">P299*(1+K300)</f>
        <v>128.061560566464</v>
      </c>
      <c r="Q300" s="28" t="n">
        <f aca="false">MAX(Q299,P300)</f>
        <v>130.050976087113</v>
      </c>
      <c r="R300" s="29" t="n">
        <f aca="false">P300/Q300-1</f>
        <v>-0.0152971979181213</v>
      </c>
      <c r="S300" s="26" t="n">
        <f aca="false">IF(A300=Inputs!$C$12,"",F300)</f>
        <v>-0.0274791041077799</v>
      </c>
      <c r="T300" s="27" t="n">
        <f aca="false">IF(AND(A300&gt;Risk_Metrics!$C$28,P300&gt;=Risk_Metrics!$C$30),1,0)</f>
        <v>0</v>
      </c>
      <c r="U300" s="26" t="n">
        <f aca="false">IF(A300=Inputs!$C$12,"",K300)</f>
        <v>-0.00596286287724254</v>
      </c>
    </row>
    <row r="301" customFormat="false" ht="15" hidden="false" customHeight="false" outlineLevel="0" collapsed="false">
      <c r="A301" s="25" t="n">
        <f aca="false">Prices!A302</f>
        <v>44147</v>
      </c>
      <c r="B301" s="26" t="n">
        <f aca="false">Prices!B302/Prices!B301-1</f>
        <v>-0.0204610786520408</v>
      </c>
      <c r="C301" s="26" t="n">
        <f aca="false">Prices!C302/Prices!C301-1</f>
        <v>-0.029241825743847</v>
      </c>
      <c r="D301" s="26" t="n">
        <f aca="false">Prices!D302/Prices!D301-1</f>
        <v>0.0168904287570377</v>
      </c>
      <c r="E301" s="26" t="n">
        <f aca="false">Prices!E302/Prices!E301-1</f>
        <v>-0.0116279672058598</v>
      </c>
      <c r="F301" s="26" t="n">
        <f aca="false">Prices!F302/Prices!F301-1</f>
        <v>-0.0200654833596371</v>
      </c>
      <c r="G301" s="26" t="n">
        <f aca="false">Prices!G302/Prices!G301-1</f>
        <v>-0.0270841738080481</v>
      </c>
      <c r="H301" s="26" t="n">
        <f aca="false">Prices!H302/Prices!H301-1</f>
        <v>-0.0423950630417423</v>
      </c>
      <c r="I301" s="26" t="n">
        <f aca="false">Prices!I302/Prices!I301-1</f>
        <v>-0.0301363152918765</v>
      </c>
      <c r="J301" s="26" t="n">
        <f aca="false">Prices!J302/Prices!J301-1</f>
        <v>-0.0146226419692654</v>
      </c>
      <c r="K301" s="26" t="n">
        <f aca="false">SUMPRODUCT(B301:J301,Optimization!$C$7:$K$7)</f>
        <v>-0.0198604578128088</v>
      </c>
      <c r="L301" s="26" t="n">
        <f aca="false">SUMPRODUCT(B301:J301,Optimization!$C$8:$K$8)</f>
        <v>-0.00483979830088826</v>
      </c>
      <c r="M301" s="26" t="n">
        <f aca="false">SUMPRODUCT(B301:J301,Optimization!$C$9:$K$9)</f>
        <v>-0.0105299556456199</v>
      </c>
      <c r="N301" s="26" t="n">
        <f aca="false">SUMPRODUCT(B301:J301,Optimization!$C$10:$K$10)</f>
        <v>-0.00240713012245701</v>
      </c>
      <c r="O301" s="27" t="n">
        <f aca="false">IF(AND(A301&gt;=Inputs!$C$6,A301&lt;=Inputs!$C$7),1,0)</f>
        <v>0</v>
      </c>
      <c r="P301" s="28" t="n">
        <f aca="false">P300*(1+K301)</f>
        <v>125.518199345391</v>
      </c>
      <c r="Q301" s="28" t="n">
        <f aca="false">MAX(Q300,P301)</f>
        <v>130.050976087113</v>
      </c>
      <c r="R301" s="29" t="n">
        <f aca="false">P301/Q301-1</f>
        <v>-0.0348538463770232</v>
      </c>
      <c r="S301" s="26" t="n">
        <f aca="false">IF(A301=Inputs!$C$12,"",F301)</f>
        <v>-0.0200654833596371</v>
      </c>
      <c r="T301" s="27" t="n">
        <f aca="false">IF(AND(A301&gt;Risk_Metrics!$C$28,P301&gt;=Risk_Metrics!$C$30),1,0)</f>
        <v>0</v>
      </c>
      <c r="U301" s="26" t="n">
        <f aca="false">IF(A301=Inputs!$C$12,"",K301)</f>
        <v>-0.0198604578128088</v>
      </c>
    </row>
    <row r="302" customFormat="false" ht="15" hidden="false" customHeight="false" outlineLevel="0" collapsed="false">
      <c r="A302" s="25" t="n">
        <f aca="false">Prices!A303</f>
        <v>44148</v>
      </c>
      <c r="B302" s="26" t="n">
        <f aca="false">Prices!B303/Prices!B302-1</f>
        <v>0.0598596395990758</v>
      </c>
      <c r="C302" s="26" t="n">
        <f aca="false">Prices!C303/Prices!C302-1</f>
        <v>-0.00148750470388648</v>
      </c>
      <c r="D302" s="26" t="n">
        <f aca="false">Prices!D303/Prices!D302-1</f>
        <v>0.0425894378194207</v>
      </c>
      <c r="E302" s="26" t="n">
        <f aca="false">Prices!E303/Prices!E302-1</f>
        <v>0.0236822470748166</v>
      </c>
      <c r="F302" s="26" t="n">
        <f aca="false">Prices!F303/Prices!F302-1</f>
        <v>0.00501458073217398</v>
      </c>
      <c r="G302" s="26" t="n">
        <f aca="false">Prices!G303/Prices!G302-1</f>
        <v>-0.023488429752066</v>
      </c>
      <c r="H302" s="26" t="n">
        <f aca="false">Prices!H303/Prices!H302-1</f>
        <v>0.0328616613418531</v>
      </c>
      <c r="I302" s="26" t="n">
        <f aca="false">Prices!I303/Prices!I302-1</f>
        <v>0.0357583162902626</v>
      </c>
      <c r="J302" s="26" t="n">
        <f aca="false">Prices!J303/Prices!J302-1</f>
        <v>0.00925485907945944</v>
      </c>
      <c r="K302" s="26" t="n">
        <f aca="false">SUMPRODUCT(B302:J302,Optimization!$C$7:$K$7)</f>
        <v>0.0204494230534566</v>
      </c>
      <c r="L302" s="26" t="n">
        <f aca="false">SUMPRODUCT(B302:J302,Optimization!$C$8:$K$8)</f>
        <v>0.0333749581289693</v>
      </c>
      <c r="M302" s="26" t="n">
        <f aca="false">SUMPRODUCT(B302:J302,Optimization!$C$9:$K$9)</f>
        <v>0.0306323921038346</v>
      </c>
      <c r="N302" s="26" t="n">
        <f aca="false">SUMPRODUCT(B302:J302,Optimization!$C$10:$K$10)</f>
        <v>0.0344396380359539</v>
      </c>
      <c r="O302" s="27" t="n">
        <f aca="false">IF(AND(A302&gt;=Inputs!$C$6,A302&lt;=Inputs!$C$7),1,0)</f>
        <v>0</v>
      </c>
      <c r="P302" s="28" t="n">
        <f aca="false">P301*(1+K302)</f>
        <v>128.084974104713</v>
      </c>
      <c r="Q302" s="28" t="n">
        <f aca="false">MAX(Q301,P302)</f>
        <v>130.050976087113</v>
      </c>
      <c r="R302" s="29" t="n">
        <f aca="false">P302/Q302-1</f>
        <v>-0.0151171643731705</v>
      </c>
      <c r="S302" s="26" t="n">
        <f aca="false">IF(A302=Inputs!$C$12,"",F302)</f>
        <v>0.00501458073217398</v>
      </c>
      <c r="T302" s="27" t="n">
        <f aca="false">IF(AND(A302&gt;Risk_Metrics!$C$28,P302&gt;=Risk_Metrics!$C$30),1,0)</f>
        <v>0</v>
      </c>
      <c r="U302" s="26" t="n">
        <f aca="false">IF(A302=Inputs!$C$12,"",K302)</f>
        <v>0.0204494230534566</v>
      </c>
    </row>
    <row r="303" customFormat="false" ht="15" hidden="false" customHeight="false" outlineLevel="0" collapsed="false">
      <c r="A303" s="25" t="n">
        <f aca="false">Prices!A304</f>
        <v>44151</v>
      </c>
      <c r="B303" s="26" t="n">
        <f aca="false">Prices!B304/Prices!B303-1</f>
        <v>0.0357405511322417</v>
      </c>
      <c r="C303" s="26" t="n">
        <f aca="false">Prices!C304/Prices!C303-1</f>
        <v>-0.00558664804469267</v>
      </c>
      <c r="D303" s="26" t="n">
        <f aca="false">Prices!D304/Prices!D303-1</f>
        <v>-0.0102124183006536</v>
      </c>
      <c r="E303" s="26" t="n">
        <f aca="false">Prices!E304/Prices!E303-1</f>
        <v>-0.00268656716417925</v>
      </c>
      <c r="F303" s="26" t="n">
        <f aca="false">Prices!F304/Prices!F303-1</f>
        <v>-0.0195425065478341</v>
      </c>
      <c r="G303" s="26" t="n">
        <f aca="false">Prices!G304/Prices!G303-1</f>
        <v>0.0120266364353392</v>
      </c>
      <c r="H303" s="26" t="n">
        <f aca="false">Prices!H304/Prices!H303-1</f>
        <v>0.0291649151199698</v>
      </c>
      <c r="I303" s="26" t="n">
        <f aca="false">Prices!I304/Prices!I303-1</f>
        <v>0.0214285710610882</v>
      </c>
      <c r="J303" s="26" t="n">
        <f aca="false">Prices!J304/Prices!J303-1</f>
        <v>0.0264031304347827</v>
      </c>
      <c r="K303" s="26" t="n">
        <f aca="false">SUMPRODUCT(B303:J303,Optimization!$C$7:$K$7)</f>
        <v>0.00963729601400689</v>
      </c>
      <c r="L303" s="26" t="n">
        <f aca="false">SUMPRODUCT(B303:J303,Optimization!$C$8:$K$8)</f>
        <v>0.00678275593902549</v>
      </c>
      <c r="M303" s="26" t="n">
        <f aca="false">SUMPRODUCT(B303:J303,Optimization!$C$9:$K$9)</f>
        <v>0.0116812948895089</v>
      </c>
      <c r="N303" s="26" t="n">
        <f aca="false">SUMPRODUCT(B303:J303,Optimization!$C$10:$K$10)</f>
        <v>0.00510020972242883</v>
      </c>
      <c r="O303" s="27" t="n">
        <f aca="false">IF(AND(A303&gt;=Inputs!$C$6,A303&lt;=Inputs!$C$7),1,0)</f>
        <v>0</v>
      </c>
      <c r="P303" s="28" t="n">
        <f aca="false">P302*(1+K303)</f>
        <v>129.319366915106</v>
      </c>
      <c r="Q303" s="28" t="n">
        <f aca="false">MAX(Q302,P303)</f>
        <v>130.050976087113</v>
      </c>
      <c r="R303" s="29" t="n">
        <f aca="false">P303/Q303-1</f>
        <v>-0.00562555694712019</v>
      </c>
      <c r="S303" s="26" t="n">
        <f aca="false">IF(A303=Inputs!$C$12,"",F303)</f>
        <v>-0.0195425065478341</v>
      </c>
      <c r="T303" s="27" t="n">
        <f aca="false">IF(AND(A303&gt;Risk_Metrics!$C$28,P303&gt;=Risk_Metrics!$C$30),1,0)</f>
        <v>0</v>
      </c>
      <c r="U303" s="26" t="n">
        <f aca="false">IF(A303=Inputs!$C$12,"",K303)</f>
        <v>0.00963729601400689</v>
      </c>
    </row>
    <row r="304" customFormat="false" ht="15" hidden="false" customHeight="false" outlineLevel="0" collapsed="false">
      <c r="A304" s="25" t="n">
        <f aca="false">Prices!A305</f>
        <v>44152</v>
      </c>
      <c r="B304" s="26" t="n">
        <f aca="false">Prices!B305/Prices!B304-1</f>
        <v>-0.0170405713445208</v>
      </c>
      <c r="C304" s="26" t="n">
        <f aca="false">Prices!C305/Prices!C304-1</f>
        <v>0.00280904510163182</v>
      </c>
      <c r="D304" s="26" t="n">
        <f aca="false">Prices!D305/Prices!D304-1</f>
        <v>-0.0177466364011556</v>
      </c>
      <c r="E304" s="26" t="n">
        <f aca="false">Prices!E305/Prices!E304-1</f>
        <v>-0.0122717749176892</v>
      </c>
      <c r="F304" s="26" t="n">
        <f aca="false">Prices!F305/Prices!F304-1</f>
        <v>0.0122984674860234</v>
      </c>
      <c r="G304" s="26" t="n">
        <f aca="false">Prices!G305/Prices!G304-1</f>
        <v>0.0162852559984708</v>
      </c>
      <c r="H304" s="26" t="n">
        <f aca="false">Prices!H305/Prices!H304-1</f>
        <v>0.0171747523754937</v>
      </c>
      <c r="I304" s="26" t="n">
        <f aca="false">Prices!I305/Prices!I304-1</f>
        <v>0.0016317329446105</v>
      </c>
      <c r="J304" s="26" t="n">
        <f aca="false">Prices!J305/Prices!J304-1</f>
        <v>0.0315773731231475</v>
      </c>
      <c r="K304" s="26" t="n">
        <f aca="false">SUMPRODUCT(B304:J304,Optimization!$C$7:$K$7)</f>
        <v>0.00385751604066801</v>
      </c>
      <c r="L304" s="26" t="n">
        <f aca="false">SUMPRODUCT(B304:J304,Optimization!$C$8:$K$8)</f>
        <v>-0.00489041741672403</v>
      </c>
      <c r="M304" s="26" t="n">
        <f aca="false">SUMPRODUCT(B304:J304,Optimization!$C$9:$K$9)</f>
        <v>-0.000547964419008503</v>
      </c>
      <c r="N304" s="26" t="n">
        <f aca="false">SUMPRODUCT(B304:J304,Optimization!$C$10:$K$10)</f>
        <v>-0.00684679086051137</v>
      </c>
      <c r="O304" s="27" t="n">
        <f aca="false">IF(AND(A304&gt;=Inputs!$C$6,A304&lt;=Inputs!$C$7),1,0)</f>
        <v>0</v>
      </c>
      <c r="P304" s="28" t="n">
        <f aca="false">P303*(1+K304)</f>
        <v>129.81821844735</v>
      </c>
      <c r="Q304" s="28" t="n">
        <f aca="false">MAX(Q303,P304)</f>
        <v>130.050976087113</v>
      </c>
      <c r="R304" s="29" t="n">
        <f aca="false">P304/Q304-1</f>
        <v>-0.00178974158261325</v>
      </c>
      <c r="S304" s="26" t="n">
        <f aca="false">IF(A304=Inputs!$C$12,"",F304)</f>
        <v>0.0122984674860234</v>
      </c>
      <c r="T304" s="27" t="n">
        <f aca="false">IF(AND(A304&gt;Risk_Metrics!$C$28,P304&gt;=Risk_Metrics!$C$30),1,0)</f>
        <v>0</v>
      </c>
      <c r="U304" s="26" t="n">
        <f aca="false">IF(A304=Inputs!$C$12,"",K304)</f>
        <v>0.00385751604066801</v>
      </c>
    </row>
    <row r="305" customFormat="false" ht="15" hidden="false" customHeight="false" outlineLevel="0" collapsed="false">
      <c r="A305" s="25" t="n">
        <f aca="false">Prices!A306</f>
        <v>44153</v>
      </c>
      <c r="B305" s="26" t="n">
        <f aca="false">Prices!B306/Prices!B305-1</f>
        <v>-0.00751233736618984</v>
      </c>
      <c r="C305" s="26" t="n">
        <f aca="false">Prices!C306/Prices!C305-1</f>
        <v>0.00933703081232484</v>
      </c>
      <c r="D305" s="26" t="n">
        <f aca="false">Prices!D306/Prices!D305-1</f>
        <v>0</v>
      </c>
      <c r="E305" s="26" t="n">
        <f aca="false">Prices!E306/Prices!E305-1</f>
        <v>-0.0228788181818181</v>
      </c>
      <c r="F305" s="26" t="n">
        <f aca="false">Prices!F306/Prices!F305-1</f>
        <v>0.0217846806838635</v>
      </c>
      <c r="G305" s="26" t="n">
        <f aca="false">Prices!G306/Prices!G305-1</f>
        <v>-0.042009484625379</v>
      </c>
      <c r="H305" s="26" t="n">
        <f aca="false">Prices!H306/Prices!H305-1</f>
        <v>-0.00590975070030597</v>
      </c>
      <c r="I305" s="26" t="n">
        <f aca="false">Prices!I306/Prices!I305-1</f>
        <v>-0.028624617101312</v>
      </c>
      <c r="J305" s="26" t="n">
        <f aca="false">Prices!J306/Prices!J305-1</f>
        <v>-0.00776473036038927</v>
      </c>
      <c r="K305" s="26" t="n">
        <f aca="false">SUMPRODUCT(B305:J305,Optimization!$C$7:$K$7)</f>
        <v>-0.00928644742657843</v>
      </c>
      <c r="L305" s="26" t="n">
        <f aca="false">SUMPRODUCT(B305:J305,Optimization!$C$8:$K$8)</f>
        <v>-0.00407908914389966</v>
      </c>
      <c r="M305" s="26" t="n">
        <f aca="false">SUMPRODUCT(B305:J305,Optimization!$C$9:$K$9)</f>
        <v>-0.00568810913904836</v>
      </c>
      <c r="N305" s="26" t="n">
        <f aca="false">SUMPRODUCT(B305:J305,Optimization!$C$10:$K$10)</f>
        <v>-0.00220343267213186</v>
      </c>
      <c r="O305" s="27" t="n">
        <f aca="false">IF(AND(A305&gt;=Inputs!$C$6,A305&lt;=Inputs!$C$7),1,0)</f>
        <v>0</v>
      </c>
      <c r="P305" s="28" t="n">
        <f aca="false">P304*(1+K305)</f>
        <v>128.612668386727</v>
      </c>
      <c r="Q305" s="28" t="n">
        <f aca="false">MAX(Q304,P305)</f>
        <v>130.050976087113</v>
      </c>
      <c r="R305" s="29" t="n">
        <f aca="false">P305/Q305-1</f>
        <v>-0.0110595686680778</v>
      </c>
      <c r="S305" s="26" t="n">
        <f aca="false">IF(A305=Inputs!$C$12,"",F305)</f>
        <v>0.0217846806838635</v>
      </c>
      <c r="T305" s="27" t="n">
        <f aca="false">IF(AND(A305&gt;Risk_Metrics!$C$28,P305&gt;=Risk_Metrics!$C$30),1,0)</f>
        <v>0</v>
      </c>
      <c r="U305" s="26" t="n">
        <f aca="false">IF(A305=Inputs!$C$12,"",K305)</f>
        <v>-0.00928644742657843</v>
      </c>
    </row>
    <row r="306" customFormat="false" ht="15" hidden="false" customHeight="false" outlineLevel="0" collapsed="false">
      <c r="A306" s="25" t="n">
        <f aca="false">Prices!A307</f>
        <v>44154</v>
      </c>
      <c r="B306" s="26" t="n">
        <f aca="false">Prices!B307/Prices!B306-1</f>
        <v>0.00742361022228288</v>
      </c>
      <c r="C306" s="26" t="n">
        <f aca="false">Prices!C307/Prices!C306-1</f>
        <v>0.023496855633556</v>
      </c>
      <c r="D306" s="26" t="n">
        <f aca="false">Prices!D307/Prices!D306-1</f>
        <v>-0.0184873117011475</v>
      </c>
      <c r="E306" s="26" t="n">
        <f aca="false">Prices!E307/Prices!E306-1</f>
        <v>0.0153512952504666</v>
      </c>
      <c r="F306" s="26" t="n">
        <f aca="false">Prices!F307/Prices!F306-1</f>
        <v>-0.00533006686324777</v>
      </c>
      <c r="G306" s="26" t="n">
        <f aca="false">Prices!G307/Prices!G306-1</f>
        <v>-0.00542499975474675</v>
      </c>
      <c r="H306" s="26" t="n">
        <f aca="false">Prices!H307/Prices!H306-1</f>
        <v>0.0114650111025483</v>
      </c>
      <c r="I306" s="26" t="n">
        <f aca="false">Prices!I307/Prices!I306-1</f>
        <v>-0.000718826445358589</v>
      </c>
      <c r="J306" s="26" t="n">
        <f aca="false">Prices!J307/Prices!J306-1</f>
        <v>0.0191121754301959</v>
      </c>
      <c r="K306" s="26" t="n">
        <f aca="false">SUMPRODUCT(B306:J306,Optimization!$C$7:$K$7)</f>
        <v>0.00520974920828323</v>
      </c>
      <c r="L306" s="26" t="n">
        <f aca="false">SUMPRODUCT(B306:J306,Optimization!$C$8:$K$8)</f>
        <v>-0.000982480682077612</v>
      </c>
      <c r="M306" s="26" t="n">
        <f aca="false">SUMPRODUCT(B306:J306,Optimization!$C$9:$K$9)</f>
        <v>0.00356287438189554</v>
      </c>
      <c r="N306" s="26" t="n">
        <f aca="false">SUMPRODUCT(B306:J306,Optimization!$C$10:$K$10)</f>
        <v>-0.00193491742725607</v>
      </c>
      <c r="O306" s="27" t="n">
        <f aca="false">IF(AND(A306&gt;=Inputs!$C$6,A306&lt;=Inputs!$C$7),1,0)</f>
        <v>0</v>
      </c>
      <c r="P306" s="28" t="n">
        <f aca="false">P305*(1+K306)</f>
        <v>129.28270813403</v>
      </c>
      <c r="Q306" s="28" t="n">
        <f aca="false">MAX(Q305,P306)</f>
        <v>130.050976087113</v>
      </c>
      <c r="R306" s="29" t="n">
        <f aca="false">P306/Q306-1</f>
        <v>-0.00590743703890695</v>
      </c>
      <c r="S306" s="26" t="n">
        <f aca="false">IF(A306=Inputs!$C$12,"",F306)</f>
        <v>-0.00533006686324777</v>
      </c>
      <c r="T306" s="27" t="n">
        <f aca="false">IF(AND(A306&gt;Risk_Metrics!$C$28,P306&gt;=Risk_Metrics!$C$30),1,0)</f>
        <v>0</v>
      </c>
      <c r="U306" s="26" t="n">
        <f aca="false">IF(A306=Inputs!$C$12,"",K306)</f>
        <v>0.00520974920828323</v>
      </c>
    </row>
    <row r="307" customFormat="false" ht="15" hidden="false" customHeight="false" outlineLevel="0" collapsed="false">
      <c r="A307" s="25" t="n">
        <f aca="false">Prices!A308</f>
        <v>44158</v>
      </c>
      <c r="B307" s="26" t="n">
        <f aca="false">Prices!B308/Prices!B307-1</f>
        <v>0.0385782117985583</v>
      </c>
      <c r="C307" s="26" t="n">
        <f aca="false">Prices!C308/Prices!C307-1</f>
        <v>-0.0222342721131089</v>
      </c>
      <c r="D307" s="26" t="n">
        <f aca="false">Prices!D308/Prices!D307-1</f>
        <v>0.00299653240597042</v>
      </c>
      <c r="E307" s="26" t="n">
        <f aca="false">Prices!E308/Prices!E307-1</f>
        <v>-0.00183265110723951</v>
      </c>
      <c r="F307" s="26" t="n">
        <f aca="false">Prices!F308/Prices!F307-1</f>
        <v>-0.0230832219921701</v>
      </c>
      <c r="G307" s="26" t="n">
        <f aca="false">Prices!G308/Prices!G307-1</f>
        <v>-0.00318181818181817</v>
      </c>
      <c r="H307" s="26" t="n">
        <f aca="false">Prices!H308/Prices!H307-1</f>
        <v>0.0537363560033586</v>
      </c>
      <c r="I307" s="26" t="n">
        <f aca="false">Prices!I308/Prices!I307-1</f>
        <v>0.00743236167259154</v>
      </c>
      <c r="J307" s="26" t="n">
        <f aca="false">Prices!J308/Prices!J307-1</f>
        <v>0.0527170695109707</v>
      </c>
      <c r="K307" s="26" t="n">
        <f aca="false">SUMPRODUCT(B307:J307,Optimization!$C$7:$K$7)</f>
        <v>0.0116809519996792</v>
      </c>
      <c r="L307" s="26" t="n">
        <f aca="false">SUMPRODUCT(B307:J307,Optimization!$C$8:$K$8)</f>
        <v>0.0139492707223508</v>
      </c>
      <c r="M307" s="26" t="n">
        <f aca="false">SUMPRODUCT(B307:J307,Optimization!$C$9:$K$9)</f>
        <v>0.0178454815736433</v>
      </c>
      <c r="N307" s="26" t="n">
        <f aca="false">SUMPRODUCT(B307:J307,Optimization!$C$10:$K$10)</f>
        <v>0.0133160044187026</v>
      </c>
      <c r="O307" s="27" t="n">
        <f aca="false">IF(AND(A307&gt;=Inputs!$C$6,A307&lt;=Inputs!$C$7),1,0)</f>
        <v>0</v>
      </c>
      <c r="P307" s="28" t="n">
        <f aca="false">P306*(1+K307)</f>
        <v>130.792853242132</v>
      </c>
      <c r="Q307" s="28" t="n">
        <f aca="false">MAX(Q306,P307)</f>
        <v>130.792853242132</v>
      </c>
      <c r="R307" s="29" t="n">
        <f aca="false">P307/Q307-1</f>
        <v>0</v>
      </c>
      <c r="S307" s="26" t="n">
        <f aca="false">IF(A307=Inputs!$C$12,"",F307)</f>
        <v>-0.0230832219921701</v>
      </c>
      <c r="T307" s="27" t="n">
        <f aca="false">IF(AND(A307&gt;Risk_Metrics!$C$28,P307&gt;=Risk_Metrics!$C$30),1,0)</f>
        <v>1</v>
      </c>
      <c r="U307" s="26" t="n">
        <f aca="false">IF(A307=Inputs!$C$12,"",K307)</f>
        <v>0.0116809519996792</v>
      </c>
    </row>
    <row r="308" customFormat="false" ht="15" hidden="false" customHeight="false" outlineLevel="0" collapsed="false">
      <c r="A308" s="25" t="n">
        <f aca="false">Prices!A309</f>
        <v>44159</v>
      </c>
      <c r="B308" s="26" t="n">
        <f aca="false">Prices!B309/Prices!B308-1</f>
        <v>0.000695645549345203</v>
      </c>
      <c r="C308" s="26" t="n">
        <f aca="false">Prices!C309/Prices!C308-1</f>
        <v>0.0297651120485243</v>
      </c>
      <c r="D308" s="26" t="n">
        <f aca="false">Prices!D309/Prices!D308-1</f>
        <v>0.00426807511737093</v>
      </c>
      <c r="E308" s="26" t="n">
        <f aca="false">Prices!E309/Prices!E308-1</f>
        <v>0.00367192466842226</v>
      </c>
      <c r="F308" s="26" t="n">
        <f aca="false">Prices!F309/Prices!F308-1</f>
        <v>0.000421915965351793</v>
      </c>
      <c r="G308" s="26" t="n">
        <f aca="false">Prices!G309/Prices!G308-1</f>
        <v>0.0715914272685818</v>
      </c>
      <c r="H308" s="26" t="n">
        <f aca="false">Prices!H309/Prices!H308-1</f>
        <v>0.0446214741035857</v>
      </c>
      <c r="I308" s="26" t="n">
        <f aca="false">Prices!I309/Prices!I308-1</f>
        <v>0.0235601722028562</v>
      </c>
      <c r="J308" s="26" t="n">
        <f aca="false">Prices!J309/Prices!J308-1</f>
        <v>0.0492355442665795</v>
      </c>
      <c r="K308" s="26" t="n">
        <f aca="false">SUMPRODUCT(B308:J308,Optimization!$C$7:$K$7)</f>
        <v>0.0253145879100686</v>
      </c>
      <c r="L308" s="26" t="n">
        <f aca="false">SUMPRODUCT(B308:J308,Optimization!$C$8:$K$8)</f>
        <v>0.0163679837428713</v>
      </c>
      <c r="M308" s="26" t="n">
        <f aca="false">SUMPRODUCT(B308:J308,Optimization!$C$9:$K$9)</f>
        <v>0.0203358198185135</v>
      </c>
      <c r="N308" s="26" t="n">
        <f aca="false">SUMPRODUCT(B308:J308,Optimization!$C$10:$K$10)</f>
        <v>0.0144443884928388</v>
      </c>
      <c r="O308" s="27" t="n">
        <f aca="false">IF(AND(A308&gt;=Inputs!$C$6,A308&lt;=Inputs!$C$7),1,0)</f>
        <v>0</v>
      </c>
      <c r="P308" s="28" t="n">
        <f aca="false">P307*(1+K308)</f>
        <v>134.103820423539</v>
      </c>
      <c r="Q308" s="28" t="n">
        <f aca="false">MAX(Q307,P308)</f>
        <v>134.103820423539</v>
      </c>
      <c r="R308" s="29" t="n">
        <f aca="false">P308/Q308-1</f>
        <v>0</v>
      </c>
      <c r="S308" s="26" t="n">
        <f aca="false">IF(A308=Inputs!$C$12,"",F308)</f>
        <v>0.000421915965351793</v>
      </c>
      <c r="T308" s="27" t="n">
        <f aca="false">IF(AND(A308&gt;Risk_Metrics!$C$28,P308&gt;=Risk_Metrics!$C$30),1,0)</f>
        <v>1</v>
      </c>
      <c r="U308" s="26" t="n">
        <f aca="false">IF(A308=Inputs!$C$12,"",K308)</f>
        <v>0.0253145879100686</v>
      </c>
    </row>
    <row r="309" customFormat="false" ht="15" hidden="false" customHeight="false" outlineLevel="0" collapsed="false">
      <c r="A309" s="25" t="n">
        <f aca="false">Prices!A310</f>
        <v>44160</v>
      </c>
      <c r="B309" s="26" t="n">
        <f aca="false">Prices!B310/Prices!B309-1</f>
        <v>-0.00570002780481027</v>
      </c>
      <c r="C309" s="26" t="n">
        <f aca="false">Prices!C310/Prices!C309-1</f>
        <v>0.0163376127948871</v>
      </c>
      <c r="D309" s="26" t="n">
        <f aca="false">Prices!D310/Prices!D309-1</f>
        <v>-0.00807484028581207</v>
      </c>
      <c r="E309" s="26" t="n">
        <f aca="false">Prices!E310/Prices!E309-1</f>
        <v>0.00228661592337254</v>
      </c>
      <c r="F309" s="26" t="n">
        <f aca="false">Prices!F310/Prices!F309-1</f>
        <v>-0.00253059724817306</v>
      </c>
      <c r="G309" s="26" t="n">
        <f aca="false">Prices!G310/Prices!G309-1</f>
        <v>0.0102127659574467</v>
      </c>
      <c r="H309" s="26" t="n">
        <f aca="false">Prices!H310/Prices!H309-1</f>
        <v>0.00114420294218931</v>
      </c>
      <c r="I309" s="26" t="n">
        <f aca="false">Prices!I310/Prices!I309-1</f>
        <v>0.0183677971464551</v>
      </c>
      <c r="J309" s="26" t="n">
        <f aca="false">Prices!J310/Prices!J309-1</f>
        <v>0.00935824828777077</v>
      </c>
      <c r="K309" s="26" t="n">
        <f aca="false">SUMPRODUCT(B309:J309,Optimization!$C$7:$K$7)</f>
        <v>0.0046001975237029</v>
      </c>
      <c r="L309" s="26" t="n">
        <f aca="false">SUMPRODUCT(B309:J309,Optimization!$C$8:$K$8)</f>
        <v>0.00097476787412933</v>
      </c>
      <c r="M309" s="26" t="n">
        <f aca="false">SUMPRODUCT(B309:J309,Optimization!$C$9:$K$9)</f>
        <v>0.00359464929641161</v>
      </c>
      <c r="N309" s="26" t="n">
        <f aca="false">SUMPRODUCT(B309:J309,Optimization!$C$10:$K$10)</f>
        <v>-0.000788253717209286</v>
      </c>
      <c r="O309" s="27" t="n">
        <f aca="false">IF(AND(A309&gt;=Inputs!$C$6,A309&lt;=Inputs!$C$7),1,0)</f>
        <v>0</v>
      </c>
      <c r="P309" s="28" t="n">
        <f aca="false">P308*(1+K309)</f>
        <v>134.72072448617</v>
      </c>
      <c r="Q309" s="28" t="n">
        <f aca="false">MAX(Q308,P309)</f>
        <v>134.72072448617</v>
      </c>
      <c r="R309" s="29" t="n">
        <f aca="false">P309/Q309-1</f>
        <v>0</v>
      </c>
      <c r="S309" s="26" t="n">
        <f aca="false">IF(A309=Inputs!$C$12,"",F309)</f>
        <v>-0.00253059724817306</v>
      </c>
      <c r="T309" s="27" t="n">
        <f aca="false">IF(AND(A309&gt;Risk_Metrics!$C$28,P309&gt;=Risk_Metrics!$C$30),1,0)</f>
        <v>1</v>
      </c>
      <c r="U309" s="26" t="n">
        <f aca="false">IF(A309=Inputs!$C$12,"",K309)</f>
        <v>0.0046001975237029</v>
      </c>
    </row>
    <row r="310" customFormat="false" ht="15" hidden="false" customHeight="false" outlineLevel="0" collapsed="false">
      <c r="A310" s="25" t="n">
        <f aca="false">Prices!A311</f>
        <v>44161</v>
      </c>
      <c r="B310" s="26" t="n">
        <f aca="false">Prices!B311/Prices!B310-1</f>
        <v>-0.00447427311832815</v>
      </c>
      <c r="C310" s="26" t="n">
        <f aca="false">Prices!C311/Prices!C310-1</f>
        <v>0.0068891888241025</v>
      </c>
      <c r="D310" s="26" t="n">
        <f aca="false">Prices!D311/Prices!D310-1</f>
        <v>0.032133676092545</v>
      </c>
      <c r="E310" s="26" t="n">
        <f aca="false">Prices!E311/Prices!E310-1</f>
        <v>-0.0047147984790874</v>
      </c>
      <c r="F310" s="26" t="n">
        <f aca="false">Prices!F311/Prices!F310-1</f>
        <v>0.00211420943340257</v>
      </c>
      <c r="G310" s="26" t="n">
        <f aca="false">Prices!G311/Prices!G310-1</f>
        <v>-0.0126368576242628</v>
      </c>
      <c r="H310" s="26" t="n">
        <f aca="false">Prices!H311/Prices!H310-1</f>
        <v>-0.0163809523809524</v>
      </c>
      <c r="I310" s="26" t="n">
        <f aca="false">Prices!I311/Prices!I310-1</f>
        <v>0.0100456824645556</v>
      </c>
      <c r="J310" s="26" t="n">
        <f aca="false">Prices!J311/Prices!J310-1</f>
        <v>0.0141721854304635</v>
      </c>
      <c r="K310" s="26" t="n">
        <f aca="false">SUMPRODUCT(B310:J310,Optimization!$C$7:$K$7)</f>
        <v>0.00301645118249316</v>
      </c>
      <c r="L310" s="26" t="n">
        <f aca="false">SUMPRODUCT(B310:J310,Optimization!$C$8:$K$8)</f>
        <v>0.0179478471063224</v>
      </c>
      <c r="M310" s="26" t="n">
        <f aca="false">SUMPRODUCT(B310:J310,Optimization!$C$9:$K$9)</f>
        <v>0.0144675893710118</v>
      </c>
      <c r="N310" s="26" t="n">
        <f aca="false">SUMPRODUCT(B310:J310,Optimization!$C$10:$K$10)</f>
        <v>0.0187227323503856</v>
      </c>
      <c r="O310" s="27" t="n">
        <f aca="false">IF(AND(A310&gt;=Inputs!$C$6,A310&lt;=Inputs!$C$7),1,0)</f>
        <v>0</v>
      </c>
      <c r="P310" s="28" t="n">
        <f aca="false">P309*(1+K310)</f>
        <v>135.127102974853</v>
      </c>
      <c r="Q310" s="28" t="n">
        <f aca="false">MAX(Q309,P310)</f>
        <v>135.127102974853</v>
      </c>
      <c r="R310" s="29" t="n">
        <f aca="false">P310/Q310-1</f>
        <v>0</v>
      </c>
      <c r="S310" s="26" t="n">
        <f aca="false">IF(A310=Inputs!$C$12,"",F310)</f>
        <v>0.00211420943340257</v>
      </c>
      <c r="T310" s="27" t="n">
        <f aca="false">IF(AND(A310&gt;Risk_Metrics!$C$28,P310&gt;=Risk_Metrics!$C$30),1,0)</f>
        <v>1</v>
      </c>
      <c r="U310" s="26" t="n">
        <f aca="false">IF(A310=Inputs!$C$12,"",K310)</f>
        <v>0.00301645118249316</v>
      </c>
    </row>
    <row r="311" customFormat="false" ht="15" hidden="false" customHeight="false" outlineLevel="0" collapsed="false">
      <c r="A311" s="25" t="n">
        <f aca="false">Prices!A312</f>
        <v>44162</v>
      </c>
      <c r="B311" s="26" t="n">
        <f aca="false">Prices!B312/Prices!B311-1</f>
        <v>-0.00280894674756793</v>
      </c>
      <c r="C311" s="26" t="n">
        <f aca="false">Prices!C312/Prices!C311-1</f>
        <v>-0.00175447368421056</v>
      </c>
      <c r="D311" s="26" t="n">
        <f aca="false">Prices!D312/Prices!D311-1</f>
        <v>0.0381901203819013</v>
      </c>
      <c r="E311" s="26" t="n">
        <f aca="false">Prices!E312/Prices!E311-1</f>
        <v>0.0152811731271034</v>
      </c>
      <c r="F311" s="26" t="n">
        <f aca="false">Prices!F312/Prices!F311-1</f>
        <v>-0.00253166494755408</v>
      </c>
      <c r="G311" s="26" t="n">
        <f aca="false">Prices!G312/Prices!G311-1</f>
        <v>0.00255968419113972</v>
      </c>
      <c r="H311" s="26" t="n">
        <f aca="false">Prices!H312/Prices!H311-1</f>
        <v>-0.0123934934159566</v>
      </c>
      <c r="I311" s="26" t="n">
        <f aca="false">Prices!I312/Prices!I311-1</f>
        <v>0.00452896590821905</v>
      </c>
      <c r="J311" s="26" t="n">
        <f aca="false">Prices!J312/Prices!J311-1</f>
        <v>0.0244221235470812</v>
      </c>
      <c r="K311" s="26" t="n">
        <f aca="false">SUMPRODUCT(B311:J311,Optimization!$C$7:$K$7)</f>
        <v>0.00727705426223949</v>
      </c>
      <c r="L311" s="26" t="n">
        <f aca="false">SUMPRODUCT(B311:J311,Optimization!$C$8:$K$8)</f>
        <v>0.0209485013289163</v>
      </c>
      <c r="M311" s="26" t="n">
        <f aca="false">SUMPRODUCT(B311:J311,Optimization!$C$9:$K$9)</f>
        <v>0.0169137818473776</v>
      </c>
      <c r="N311" s="26" t="n">
        <f aca="false">SUMPRODUCT(B311:J311,Optimization!$C$10:$K$10)</f>
        <v>0.022180058241681</v>
      </c>
      <c r="O311" s="27" t="n">
        <f aca="false">IF(AND(A311&gt;=Inputs!$C$6,A311&lt;=Inputs!$C$7),1,0)</f>
        <v>0</v>
      </c>
      <c r="P311" s="28" t="n">
        <f aca="false">P310*(1+K311)</f>
        <v>136.1104302355</v>
      </c>
      <c r="Q311" s="28" t="n">
        <f aca="false">MAX(Q310,P311)</f>
        <v>136.1104302355</v>
      </c>
      <c r="R311" s="29" t="n">
        <f aca="false">P311/Q311-1</f>
        <v>0</v>
      </c>
      <c r="S311" s="26" t="n">
        <f aca="false">IF(A311=Inputs!$C$12,"",F311)</f>
        <v>-0.00253166494755408</v>
      </c>
      <c r="T311" s="27" t="n">
        <f aca="false">IF(AND(A311&gt;Risk_Metrics!$C$28,P311&gt;=Risk_Metrics!$C$30),1,0)</f>
        <v>1</v>
      </c>
      <c r="U311" s="26" t="n">
        <f aca="false">IF(A311=Inputs!$C$12,"",K311)</f>
        <v>0.00727705426223949</v>
      </c>
    </row>
    <row r="312" customFormat="false" ht="15" hidden="false" customHeight="false" outlineLevel="0" collapsed="false">
      <c r="A312" s="25" t="n">
        <f aca="false">Prices!A313</f>
        <v>44165</v>
      </c>
      <c r="B312" s="26" t="n">
        <f aca="false">Prices!B313/Prices!B312-1</f>
        <v>-0.0218310281690142</v>
      </c>
      <c r="C312" s="26" t="n">
        <f aca="false">Prices!C313/Prices!C312-1</f>
        <v>-0.0135324792207802</v>
      </c>
      <c r="D312" s="26" t="n">
        <f aca="false">Prices!D313/Prices!D312-1</f>
        <v>0</v>
      </c>
      <c r="E312" s="26" t="n">
        <f aca="false">Prices!E313/Prices!E312-1</f>
        <v>0.011739900308853</v>
      </c>
      <c r="F312" s="26" t="n">
        <f aca="false">Prices!F313/Prices!F312-1</f>
        <v>-0.0300338453055309</v>
      </c>
      <c r="G312" s="26" t="n">
        <f aca="false">Prices!G313/Prices!G312-1</f>
        <v>-0.0353191489361702</v>
      </c>
      <c r="H312" s="26" t="n">
        <f aca="false">Prices!H313/Prices!H312-1</f>
        <v>-0.0235294117647059</v>
      </c>
      <c r="I312" s="26" t="n">
        <f aca="false">Prices!I313/Prices!I312-1</f>
        <v>-0.0217789718278485</v>
      </c>
      <c r="J312" s="26" t="n">
        <f aca="false">Prices!J313/Prices!J312-1</f>
        <v>-0.00560940832204471</v>
      </c>
      <c r="K312" s="26" t="n">
        <f aca="false">SUMPRODUCT(B312:J312,Optimization!$C$7:$K$7)</f>
        <v>-0.0155438214708046</v>
      </c>
      <c r="L312" s="26" t="n">
        <f aca="false">SUMPRODUCT(B312:J312,Optimization!$C$8:$K$8)</f>
        <v>-0.00827026969549278</v>
      </c>
      <c r="M312" s="26" t="n">
        <f aca="false">SUMPRODUCT(B312:J312,Optimization!$C$9:$K$9)</f>
        <v>-0.0103383794861998</v>
      </c>
      <c r="N312" s="26" t="n">
        <f aca="false">SUMPRODUCT(B312:J312,Optimization!$C$10:$K$10)</f>
        <v>-0.00734172978756019</v>
      </c>
      <c r="O312" s="27" t="n">
        <f aca="false">IF(AND(A312&gt;=Inputs!$C$6,A312&lt;=Inputs!$C$7),1,0)</f>
        <v>0</v>
      </c>
      <c r="P312" s="28" t="n">
        <f aca="false">P311*(1+K312)</f>
        <v>133.994754007605</v>
      </c>
      <c r="Q312" s="28" t="n">
        <f aca="false">MAX(Q311,P312)</f>
        <v>136.1104302355</v>
      </c>
      <c r="R312" s="29" t="n">
        <f aca="false">P312/Q312-1</f>
        <v>-0.0155438214708047</v>
      </c>
      <c r="S312" s="26" t="n">
        <f aca="false">IF(A312=Inputs!$C$12,"",F312)</f>
        <v>-0.0300338453055309</v>
      </c>
      <c r="T312" s="27" t="n">
        <f aca="false">IF(AND(A312&gt;Risk_Metrics!$C$28,P312&gt;=Risk_Metrics!$C$30),1,0)</f>
        <v>1</v>
      </c>
      <c r="U312" s="26" t="n">
        <f aca="false">IF(A312=Inputs!$C$12,"",K312)</f>
        <v>-0.0155438214708046</v>
      </c>
    </row>
    <row r="313" customFormat="false" ht="15" hidden="false" customHeight="false" outlineLevel="0" collapsed="false">
      <c r="A313" s="25" t="n">
        <f aca="false">Prices!A314</f>
        <v>44166</v>
      </c>
      <c r="B313" s="26" t="n">
        <f aca="false">Prices!B314/Prices!B313-1</f>
        <v>-0.00417556533515751</v>
      </c>
      <c r="C313" s="26" t="n">
        <f aca="false">Prices!C314/Prices!C313-1</f>
        <v>0.011580278545178</v>
      </c>
      <c r="D313" s="26" t="n">
        <f aca="false">Prices!D314/Prices!D313-1</f>
        <v>0.0219911635345862</v>
      </c>
      <c r="E313" s="26" t="n">
        <f aca="false">Prices!E314/Prices!E313-1</f>
        <v>-0.0263315080878979</v>
      </c>
      <c r="F313" s="26" t="n">
        <f aca="false">Prices!F314/Prices!F313-1</f>
        <v>0.00261667948941313</v>
      </c>
      <c r="G313" s="26" t="n">
        <f aca="false">Prices!G314/Prices!G313-1</f>
        <v>0.0604323334803705</v>
      </c>
      <c r="H313" s="26" t="n">
        <f aca="false">Prices!H314/Prices!H313-1</f>
        <v>0.0281124497991969</v>
      </c>
      <c r="I313" s="26" t="n">
        <f aca="false">Prices!I314/Prices!I313-1</f>
        <v>0.0154674870648852</v>
      </c>
      <c r="J313" s="26" t="n">
        <f aca="false">Prices!J314/Prices!J313-1</f>
        <v>0.0416666666666667</v>
      </c>
      <c r="K313" s="26" t="n">
        <f aca="false">SUMPRODUCT(B313:J313,Optimization!$C$7:$K$7)</f>
        <v>0.0168177761285824</v>
      </c>
      <c r="L313" s="26" t="n">
        <f aca="false">SUMPRODUCT(B313:J313,Optimization!$C$8:$K$8)</f>
        <v>0.0191352225271542</v>
      </c>
      <c r="M313" s="26" t="n">
        <f aca="false">SUMPRODUCT(B313:J313,Optimization!$C$9:$K$9)</f>
        <v>0.019235544658966</v>
      </c>
      <c r="N313" s="26" t="n">
        <f aca="false">SUMPRODUCT(B313:J313,Optimization!$C$10:$K$10)</f>
        <v>0.0185680196830211</v>
      </c>
      <c r="O313" s="27" t="n">
        <f aca="false">IF(AND(A313&gt;=Inputs!$C$6,A313&lt;=Inputs!$C$7),1,0)</f>
        <v>0</v>
      </c>
      <c r="P313" s="28" t="n">
        <f aca="false">P312*(1+K313)</f>
        <v>136.248247782909</v>
      </c>
      <c r="Q313" s="28" t="n">
        <f aca="false">MAX(Q312,P313)</f>
        <v>136.248247782909</v>
      </c>
      <c r="R313" s="29" t="n">
        <f aca="false">P313/Q313-1</f>
        <v>0</v>
      </c>
      <c r="S313" s="26" t="n">
        <f aca="false">IF(A313=Inputs!$C$12,"",F313)</f>
        <v>0.00261667948941313</v>
      </c>
      <c r="T313" s="27" t="n">
        <f aca="false">IF(AND(A313&gt;Risk_Metrics!$C$28,P313&gt;=Risk_Metrics!$C$30),1,0)</f>
        <v>1</v>
      </c>
      <c r="U313" s="26" t="n">
        <f aca="false">IF(A313=Inputs!$C$12,"",K313)</f>
        <v>0.0168177761285824</v>
      </c>
    </row>
    <row r="314" customFormat="false" ht="15" hidden="false" customHeight="false" outlineLevel="0" collapsed="false">
      <c r="A314" s="25" t="n">
        <f aca="false">Prices!A315</f>
        <v>44167</v>
      </c>
      <c r="B314" s="26" t="n">
        <f aca="false">Prices!B315/Prices!B314-1</f>
        <v>0.0244360020569114</v>
      </c>
      <c r="C314" s="26" t="n">
        <f aca="false">Prices!C315/Prices!C314-1</f>
        <v>0.049665429716993</v>
      </c>
      <c r="D314" s="26" t="n">
        <f aca="false">Prices!D315/Prices!D314-1</f>
        <v>-0.0254303218086981</v>
      </c>
      <c r="E314" s="26" t="n">
        <f aca="false">Prices!E315/Prices!E314-1</f>
        <v>0.00183350657754811</v>
      </c>
      <c r="F314" s="26" t="n">
        <f aca="false">Prices!F315/Prices!F314-1</f>
        <v>0.00130488157890163</v>
      </c>
      <c r="G314" s="26" t="n">
        <f aca="false">Prices!G315/Prices!G314-1</f>
        <v>0.0149749993770798</v>
      </c>
      <c r="H314" s="26" t="n">
        <f aca="false">Prices!H315/Prices!H314-1</f>
        <v>0.0121093749999999</v>
      </c>
      <c r="I314" s="26" t="n">
        <f aca="false">Prices!I315/Prices!I314-1</f>
        <v>0.0145396418445236</v>
      </c>
      <c r="J314" s="26" t="n">
        <f aca="false">Prices!J315/Prices!J314-1</f>
        <v>-0.0173538953846154</v>
      </c>
      <c r="K314" s="26" t="n">
        <f aca="false">SUMPRODUCT(B314:J314,Optimization!$C$7:$K$7)</f>
        <v>0.00845329099540488</v>
      </c>
      <c r="L314" s="26" t="n">
        <f aca="false">SUMPRODUCT(B314:J314,Optimization!$C$8:$K$8)</f>
        <v>-0.00253595849893015</v>
      </c>
      <c r="M314" s="26" t="n">
        <f aca="false">SUMPRODUCT(B314:J314,Optimization!$C$9:$K$9)</f>
        <v>0.00218066677304775</v>
      </c>
      <c r="N314" s="26" t="n">
        <f aca="false">SUMPRODUCT(B314:J314,Optimization!$C$10:$K$10)</f>
        <v>-0.0036133565333157</v>
      </c>
      <c r="O314" s="27" t="n">
        <f aca="false">IF(AND(A314&gt;=Inputs!$C$6,A314&lt;=Inputs!$C$7),1,0)</f>
        <v>0</v>
      </c>
      <c r="P314" s="28" t="n">
        <f aca="false">P313*(1+K314)</f>
        <v>137.399993869032</v>
      </c>
      <c r="Q314" s="28" t="n">
        <f aca="false">MAX(Q313,P314)</f>
        <v>137.399993869032</v>
      </c>
      <c r="R314" s="29" t="n">
        <f aca="false">P314/Q314-1</f>
        <v>0</v>
      </c>
      <c r="S314" s="26" t="n">
        <f aca="false">IF(A314=Inputs!$C$12,"",F314)</f>
        <v>0.00130488157890163</v>
      </c>
      <c r="T314" s="27" t="n">
        <f aca="false">IF(AND(A314&gt;Risk_Metrics!$C$28,P314&gt;=Risk_Metrics!$C$30),1,0)</f>
        <v>1</v>
      </c>
      <c r="U314" s="26" t="n">
        <f aca="false">IF(A314=Inputs!$C$12,"",K314)</f>
        <v>0.00845329099540488</v>
      </c>
    </row>
    <row r="315" customFormat="false" ht="15" hidden="false" customHeight="false" outlineLevel="0" collapsed="false">
      <c r="A315" s="25" t="n">
        <f aca="false">Prices!A316</f>
        <v>44168</v>
      </c>
      <c r="B315" s="26" t="n">
        <f aca="false">Prices!B316/Prices!B315-1</f>
        <v>-0.0203245453867197</v>
      </c>
      <c r="C315" s="26" t="n">
        <f aca="false">Prices!C316/Prices!C315-1</f>
        <v>-0.0119128185920667</v>
      </c>
      <c r="D315" s="26" t="n">
        <f aca="false">Prices!D316/Prices!D315-1</f>
        <v>-0.0272982737856282</v>
      </c>
      <c r="E315" s="26" t="n">
        <f aca="false">Prices!E316/Prices!E315-1</f>
        <v>0.0384321488485588</v>
      </c>
      <c r="F315" s="26" t="n">
        <f aca="false">Prices!F316/Prices!F315-1</f>
        <v>0.0273674993290787</v>
      </c>
      <c r="G315" s="26" t="n">
        <f aca="false">Prices!G316/Prices!G315-1</f>
        <v>0.0307377049180329</v>
      </c>
      <c r="H315" s="26" t="n">
        <f aca="false">Prices!H316/Prices!H315-1</f>
        <v>0.0281744114241604</v>
      </c>
      <c r="I315" s="26" t="n">
        <f aca="false">Prices!I316/Prices!I315-1</f>
        <v>0.00773424369238596</v>
      </c>
      <c r="J315" s="26" t="n">
        <f aca="false">Prices!J316/Prices!J315-1</f>
        <v>-0.0110220070652308</v>
      </c>
      <c r="K315" s="26" t="n">
        <f aca="false">SUMPRODUCT(B315:J315,Optimization!$C$7:$K$7)</f>
        <v>0.0068764848202857</v>
      </c>
      <c r="L315" s="26" t="n">
        <f aca="false">SUMPRODUCT(B315:J315,Optimization!$C$8:$K$8)</f>
        <v>-0.0180435445538089</v>
      </c>
      <c r="M315" s="26" t="n">
        <f aca="false">SUMPRODUCT(B315:J315,Optimization!$C$9:$K$9)</f>
        <v>-0.0151160643783</v>
      </c>
      <c r="N315" s="26" t="n">
        <f aca="false">SUMPRODUCT(B315:J315,Optimization!$C$10:$K$10)</f>
        <v>-0.0203045455492391</v>
      </c>
      <c r="O315" s="27" t="n">
        <f aca="false">IF(AND(A315&gt;=Inputs!$C$6,A315&lt;=Inputs!$C$7),1,0)</f>
        <v>0</v>
      </c>
      <c r="P315" s="28" t="n">
        <f aca="false">P314*(1+K315)</f>
        <v>138.34482284118</v>
      </c>
      <c r="Q315" s="28" t="n">
        <f aca="false">MAX(Q314,P315)</f>
        <v>138.34482284118</v>
      </c>
      <c r="R315" s="29" t="n">
        <f aca="false">P315/Q315-1</f>
        <v>0</v>
      </c>
      <c r="S315" s="26" t="n">
        <f aca="false">IF(A315=Inputs!$C$12,"",F315)</f>
        <v>0.0273674993290787</v>
      </c>
      <c r="T315" s="27" t="n">
        <f aca="false">IF(AND(A315&gt;Risk_Metrics!$C$28,P315&gt;=Risk_Metrics!$C$30),1,0)</f>
        <v>1</v>
      </c>
      <c r="U315" s="26" t="n">
        <f aca="false">IF(A315=Inputs!$C$12,"",K315)</f>
        <v>0.0068764848202857</v>
      </c>
    </row>
    <row r="316" customFormat="false" ht="15" hidden="false" customHeight="false" outlineLevel="0" collapsed="false">
      <c r="A316" s="25" t="n">
        <f aca="false">Prices!A317</f>
        <v>44169</v>
      </c>
      <c r="B316" s="26" t="n">
        <f aca="false">Prices!B317/Prices!B316-1</f>
        <v>0.0214666174057561</v>
      </c>
      <c r="C316" s="26" t="n">
        <f aca="false">Prices!C317/Prices!C316-1</f>
        <v>-0.00203764656330352</v>
      </c>
      <c r="D316" s="26" t="n">
        <f aca="false">Prices!D317/Prices!D316-1</f>
        <v>-0.00206355757325627</v>
      </c>
      <c r="E316" s="26" t="n">
        <f aca="false">Prices!E317/Prices!E316-1</f>
        <v>-0.0157144817573495</v>
      </c>
      <c r="F316" s="26" t="n">
        <f aca="false">Prices!F317/Prices!F316-1</f>
        <v>0.070190320803492</v>
      </c>
      <c r="G316" s="26" t="n">
        <f aca="false">Prices!G317/Prices!G316-1</f>
        <v>-0.0155069582504969</v>
      </c>
      <c r="H316" s="26" t="n">
        <f aca="false">Prices!H317/Prices!H316-1</f>
        <v>0.0334084847375558</v>
      </c>
      <c r="I316" s="26" t="n">
        <f aca="false">Prices!I317/Prices!I316-1</f>
        <v>-0.00541754705945674</v>
      </c>
      <c r="J316" s="26" t="n">
        <f aca="false">Prices!J317/Prices!J316-1</f>
        <v>0.0382472649220778</v>
      </c>
      <c r="K316" s="26" t="n">
        <f aca="false">SUMPRODUCT(B316:J316,Optimization!$C$7:$K$7)</f>
        <v>0.0136191662961132</v>
      </c>
      <c r="L316" s="26" t="n">
        <f aca="false">SUMPRODUCT(B316:J316,Optimization!$C$8:$K$8)</f>
        <v>0.00796124094842425</v>
      </c>
      <c r="M316" s="26" t="n">
        <f aca="false">SUMPRODUCT(B316:J316,Optimization!$C$9:$K$9)</f>
        <v>0.0112035587001816</v>
      </c>
      <c r="N316" s="26" t="n">
        <f aca="false">SUMPRODUCT(B316:J316,Optimization!$C$10:$K$10)</f>
        <v>0.00793455221385911</v>
      </c>
      <c r="O316" s="27" t="n">
        <f aca="false">IF(AND(A316&gt;=Inputs!$C$6,A316&lt;=Inputs!$C$7),1,0)</f>
        <v>0</v>
      </c>
      <c r="P316" s="28" t="n">
        <f aca="false">P315*(1+K316)</f>
        <v>140.22896398966</v>
      </c>
      <c r="Q316" s="28" t="n">
        <f aca="false">MAX(Q315,P316)</f>
        <v>140.22896398966</v>
      </c>
      <c r="R316" s="29" t="n">
        <f aca="false">P316/Q316-1</f>
        <v>0</v>
      </c>
      <c r="S316" s="26" t="n">
        <f aca="false">IF(A316=Inputs!$C$12,"",F316)</f>
        <v>0.070190320803492</v>
      </c>
      <c r="T316" s="27" t="n">
        <f aca="false">IF(AND(A316&gt;Risk_Metrics!$C$28,P316&gt;=Risk_Metrics!$C$30),1,0)</f>
        <v>1</v>
      </c>
      <c r="U316" s="26" t="n">
        <f aca="false">IF(A316=Inputs!$C$12,"",K316)</f>
        <v>0.0136191662961132</v>
      </c>
    </row>
    <row r="317" customFormat="false" ht="15" hidden="false" customHeight="false" outlineLevel="0" collapsed="false">
      <c r="A317" s="25" t="n">
        <f aca="false">Prices!A318</f>
        <v>44172</v>
      </c>
      <c r="B317" s="26" t="n">
        <f aca="false">Prices!B318/Prices!B317-1</f>
        <v>-0.01001410408987</v>
      </c>
      <c r="C317" s="26" t="n">
        <f aca="false">Prices!C318/Prices!C317-1</f>
        <v>-0.00527483409903018</v>
      </c>
      <c r="D317" s="26" t="n">
        <f aca="false">Prices!D318/Prices!D317-1</f>
        <v>0.0053763027295286</v>
      </c>
      <c r="E317" s="26" t="n">
        <f aca="false">Prices!E318/Prices!E317-1</f>
        <v>-0.0307370649389914</v>
      </c>
      <c r="F317" s="26" t="n">
        <f aca="false">Prices!F318/Prices!F317-1</f>
        <v>0.00513632268218922</v>
      </c>
      <c r="G317" s="26" t="n">
        <f aca="false">Prices!G318/Prices!G317-1</f>
        <v>0.00565428109854582</v>
      </c>
      <c r="H317" s="26" t="n">
        <f aca="false">Prices!H318/Prices!H317-1</f>
        <v>-0.0192517610151921</v>
      </c>
      <c r="I317" s="26" t="n">
        <f aca="false">Prices!I318/Prices!I317-1</f>
        <v>-0.0217885398730138</v>
      </c>
      <c r="J317" s="26" t="n">
        <f aca="false">Prices!J318/Prices!J317-1</f>
        <v>0.0118320805623782</v>
      </c>
      <c r="K317" s="26" t="n">
        <f aca="false">SUMPRODUCT(B317:J317,Optimization!$C$7:$K$7)</f>
        <v>-0.00656303521593952</v>
      </c>
      <c r="L317" s="26" t="n">
        <f aca="false">SUMPRODUCT(B317:J317,Optimization!$C$8:$K$8)</f>
        <v>-4.74765275326248E-005</v>
      </c>
      <c r="M317" s="26" t="n">
        <f aca="false">SUMPRODUCT(B317:J317,Optimization!$C$9:$K$9)</f>
        <v>-0.0012675210719547</v>
      </c>
      <c r="N317" s="26" t="n">
        <f aca="false">SUMPRODUCT(B317:J317,Optimization!$C$10:$K$10)</f>
        <v>0.00116105808534897</v>
      </c>
      <c r="O317" s="27" t="n">
        <f aca="false">IF(AND(A317&gt;=Inputs!$C$6,A317&lt;=Inputs!$C$7),1,0)</f>
        <v>0</v>
      </c>
      <c r="P317" s="28" t="n">
        <f aca="false">P316*(1+K317)</f>
        <v>139.308636360702</v>
      </c>
      <c r="Q317" s="28" t="n">
        <f aca="false">MAX(Q316,P317)</f>
        <v>140.22896398966</v>
      </c>
      <c r="R317" s="29" t="n">
        <f aca="false">P317/Q317-1</f>
        <v>-0.00656303521593948</v>
      </c>
      <c r="S317" s="26" t="n">
        <f aca="false">IF(A317=Inputs!$C$12,"",F317)</f>
        <v>0.00513632268218922</v>
      </c>
      <c r="T317" s="27" t="n">
        <f aca="false">IF(AND(A317&gt;Risk_Metrics!$C$28,P317&gt;=Risk_Metrics!$C$30),1,0)</f>
        <v>1</v>
      </c>
      <c r="U317" s="26" t="n">
        <f aca="false">IF(A317=Inputs!$C$12,"",K317)</f>
        <v>-0.00656303521593952</v>
      </c>
    </row>
    <row r="318" customFormat="false" ht="15" hidden="false" customHeight="false" outlineLevel="0" collapsed="false">
      <c r="A318" s="25" t="n">
        <f aca="false">Prices!A319</f>
        <v>44173</v>
      </c>
      <c r="B318" s="26" t="n">
        <f aca="false">Prices!B319/Prices!B318-1</f>
        <v>-0.000712394907753433</v>
      </c>
      <c r="C318" s="26" t="n">
        <f aca="false">Prices!C319/Prices!C318-1</f>
        <v>-0.0058159256180611</v>
      </c>
      <c r="D318" s="26" t="n">
        <f aca="false">Prices!D319/Prices!D318-1</f>
        <v>-0.0180994659851694</v>
      </c>
      <c r="E318" s="26" t="n">
        <f aca="false">Prices!E319/Prices!E318-1</f>
        <v>0.0153940889069286</v>
      </c>
      <c r="F318" s="26" t="n">
        <f aca="false">Prices!F319/Prices!F318-1</f>
        <v>0</v>
      </c>
      <c r="G318" s="26" t="n">
        <f aca="false">Prices!G319/Prices!G318-1</f>
        <v>-0.0164658634538153</v>
      </c>
      <c r="H318" s="26" t="n">
        <f aca="false">Prices!H319/Prices!H318-1</f>
        <v>-0.0125925925925926</v>
      </c>
      <c r="I318" s="26" t="n">
        <f aca="false">Prices!I319/Prices!I318-1</f>
        <v>-0.00580040480918009</v>
      </c>
      <c r="J318" s="26" t="n">
        <f aca="false">Prices!J319/Prices!J318-1</f>
        <v>-0.000602712499193858</v>
      </c>
      <c r="K318" s="26" t="n">
        <f aca="false">SUMPRODUCT(B318:J318,Optimization!$C$7:$K$7)</f>
        <v>-0.00496614121764858</v>
      </c>
      <c r="L318" s="26" t="n">
        <f aca="false">SUMPRODUCT(B318:J318,Optimization!$C$8:$K$8)</f>
        <v>-0.00966306600841058</v>
      </c>
      <c r="M318" s="26" t="n">
        <f aca="false">SUMPRODUCT(B318:J318,Optimization!$C$9:$K$9)</f>
        <v>-0.0073499976684698</v>
      </c>
      <c r="N318" s="26" t="n">
        <f aca="false">SUMPRODUCT(B318:J318,Optimization!$C$10:$K$10)</f>
        <v>-0.0103065321672143</v>
      </c>
      <c r="O318" s="27" t="n">
        <f aca="false">IF(AND(A318&gt;=Inputs!$C$6,A318&lt;=Inputs!$C$7),1,0)</f>
        <v>0</v>
      </c>
      <c r="P318" s="28" t="n">
        <f aca="false">P317*(1+K318)</f>
        <v>138.616809999696</v>
      </c>
      <c r="Q318" s="28" t="n">
        <f aca="false">MAX(Q317,P318)</f>
        <v>140.22896398966</v>
      </c>
      <c r="R318" s="29" t="n">
        <f aca="false">P318/Q318-1</f>
        <v>-0.0114965834738894</v>
      </c>
      <c r="S318" s="26" t="n">
        <f aca="false">IF(A318=Inputs!$C$12,"",F318)</f>
        <v>0</v>
      </c>
      <c r="T318" s="27" t="n">
        <f aca="false">IF(AND(A318&gt;Risk_Metrics!$C$28,P318&gt;=Risk_Metrics!$C$30),1,0)</f>
        <v>1</v>
      </c>
      <c r="U318" s="26" t="n">
        <f aca="false">IF(A318=Inputs!$C$12,"",K318)</f>
        <v>-0.00496614121764858</v>
      </c>
    </row>
    <row r="319" customFormat="false" ht="15" hidden="false" customHeight="false" outlineLevel="0" collapsed="false">
      <c r="A319" s="25" t="n">
        <f aca="false">Prices!A320</f>
        <v>44174</v>
      </c>
      <c r="B319" s="26" t="n">
        <f aca="false">Prices!B320/Prices!B319-1</f>
        <v>-0.0027088965313502</v>
      </c>
      <c r="C319" s="26" t="n">
        <f aca="false">Prices!C320/Prices!C319-1</f>
        <v>-0.025292498714599</v>
      </c>
      <c r="D319" s="26" t="n">
        <f aca="false">Prices!D320/Prices!D319-1</f>
        <v>-0.00628412206601903</v>
      </c>
      <c r="E319" s="26" t="n">
        <f aca="false">Prices!E320/Prices!E319-1</f>
        <v>-0.0316858707047585</v>
      </c>
      <c r="F319" s="26" t="n">
        <f aca="false">Prices!F320/Prices!F319-1</f>
        <v>-0.043239035275198</v>
      </c>
      <c r="G319" s="26" t="n">
        <f aca="false">Prices!G320/Prices!G319-1</f>
        <v>0.014291547570437</v>
      </c>
      <c r="H319" s="26" t="n">
        <f aca="false">Prices!H320/Prices!H319-1</f>
        <v>0.0105026631657914</v>
      </c>
      <c r="I319" s="26" t="n">
        <f aca="false">Prices!I320/Prices!I319-1</f>
        <v>-0.0109685157373798</v>
      </c>
      <c r="J319" s="26" t="n">
        <f aca="false">Prices!J320/Prices!J319-1</f>
        <v>-0.00241260549064892</v>
      </c>
      <c r="K319" s="26" t="n">
        <f aca="false">SUMPRODUCT(B319:J319,Optimization!$C$7:$K$7)</f>
        <v>-0.0108663704204139</v>
      </c>
      <c r="L319" s="26" t="n">
        <f aca="false">SUMPRODUCT(B319:J319,Optimization!$C$8:$K$8)</f>
        <v>-0.00802233130497193</v>
      </c>
      <c r="M319" s="26" t="n">
        <f aca="false">SUMPRODUCT(B319:J319,Optimization!$C$9:$K$9)</f>
        <v>-0.00823098837911327</v>
      </c>
      <c r="N319" s="26" t="n">
        <f aca="false">SUMPRODUCT(B319:J319,Optimization!$C$10:$K$10)</f>
        <v>-0.00786445284432632</v>
      </c>
      <c r="O319" s="27" t="n">
        <f aca="false">IF(AND(A319&gt;=Inputs!$C$6,A319&lt;=Inputs!$C$7),1,0)</f>
        <v>0</v>
      </c>
      <c r="P319" s="28" t="n">
        <f aca="false">P318*(1+K319)</f>
        <v>137.110548395743</v>
      </c>
      <c r="Q319" s="28" t="n">
        <f aca="false">MAX(Q318,P319)</f>
        <v>140.22896398966</v>
      </c>
      <c r="R319" s="29" t="n">
        <f aca="false">P319/Q319-1</f>
        <v>-0.0222380277597068</v>
      </c>
      <c r="S319" s="26" t="n">
        <f aca="false">IF(A319=Inputs!$C$12,"",F319)</f>
        <v>-0.043239035275198</v>
      </c>
      <c r="T319" s="27" t="n">
        <f aca="false">IF(AND(A319&gt;Risk_Metrics!$C$28,P319&gt;=Risk_Metrics!$C$30),1,0)</f>
        <v>1</v>
      </c>
      <c r="U319" s="26" t="n">
        <f aca="false">IF(A319=Inputs!$C$12,"",K319)</f>
        <v>-0.0108663704204139</v>
      </c>
    </row>
    <row r="320" customFormat="false" ht="15" hidden="false" customHeight="false" outlineLevel="0" collapsed="false">
      <c r="A320" s="25" t="n">
        <f aca="false">Prices!A321</f>
        <v>44175</v>
      </c>
      <c r="B320" s="26" t="n">
        <f aca="false">Prices!B321/Prices!B320-1</f>
        <v>-0.00500355990008117</v>
      </c>
      <c r="C320" s="26" t="n">
        <f aca="false">Prices!C321/Prices!C320-1</f>
        <v>0.0275375644755087</v>
      </c>
      <c r="D320" s="26" t="n">
        <f aca="false">Prices!D321/Prices!D320-1</f>
        <v>0.00379426660178184</v>
      </c>
      <c r="E320" s="26" t="n">
        <f aca="false">Prices!E321/Prices!E320-1</f>
        <v>-0.00532331306283573</v>
      </c>
      <c r="F320" s="26" t="n">
        <f aca="false">Prices!F321/Prices!F320-1</f>
        <v>0.0262942171062561</v>
      </c>
      <c r="G320" s="26" t="n">
        <f aca="false">Prices!G321/Prices!G320-1</f>
        <v>0.0446860305958132</v>
      </c>
      <c r="H320" s="26" t="n">
        <f aca="false">Prices!H321/Prices!H320-1</f>
        <v>0.0326651435536325</v>
      </c>
      <c r="I320" s="26" t="n">
        <f aca="false">Prices!I321/Prices!I320-1</f>
        <v>0.0488437790684202</v>
      </c>
      <c r="J320" s="26" t="n">
        <f aca="false">Prices!J321/Prices!J320-1</f>
        <v>0.0278114036690957</v>
      </c>
      <c r="K320" s="26" t="n">
        <f aca="false">SUMPRODUCT(B320:J320,Optimization!$C$7:$K$7)</f>
        <v>0.0223672813452879</v>
      </c>
      <c r="L320" s="26" t="n">
        <f aca="false">SUMPRODUCT(B320:J320,Optimization!$C$8:$K$8)</f>
        <v>0.0139332319441365</v>
      </c>
      <c r="M320" s="26" t="n">
        <f aca="false">SUMPRODUCT(B320:J320,Optimization!$C$9:$K$9)</f>
        <v>0.0173990565264588</v>
      </c>
      <c r="N320" s="26" t="n">
        <f aca="false">SUMPRODUCT(B320:J320,Optimization!$C$10:$K$10)</f>
        <v>0.0106290563081986</v>
      </c>
      <c r="O320" s="27" t="n">
        <f aca="false">IF(AND(A320&gt;=Inputs!$C$6,A320&lt;=Inputs!$C$7),1,0)</f>
        <v>0</v>
      </c>
      <c r="P320" s="28" t="n">
        <f aca="false">P319*(1+K320)</f>
        <v>140.177338607118</v>
      </c>
      <c r="Q320" s="28" t="n">
        <f aca="false">MAX(Q319,P320)</f>
        <v>140.22896398966</v>
      </c>
      <c r="R320" s="29" t="n">
        <f aca="false">P320/Q320-1</f>
        <v>-0.000368150637884535</v>
      </c>
      <c r="S320" s="26" t="n">
        <f aca="false">IF(A320=Inputs!$C$12,"",F320)</f>
        <v>0.0262942171062561</v>
      </c>
      <c r="T320" s="27" t="n">
        <f aca="false">IF(AND(A320&gt;Risk_Metrics!$C$28,P320&gt;=Risk_Metrics!$C$30),1,0)</f>
        <v>1</v>
      </c>
      <c r="U320" s="26" t="n">
        <f aca="false">IF(A320=Inputs!$C$12,"",K320)</f>
        <v>0.0223672813452879</v>
      </c>
    </row>
    <row r="321" customFormat="false" ht="15" hidden="false" customHeight="false" outlineLevel="0" collapsed="false">
      <c r="A321" s="25" t="n">
        <f aca="false">Prices!A322</f>
        <v>44176</v>
      </c>
      <c r="B321" s="26" t="n">
        <f aca="false">Prices!B322/Prices!B321-1</f>
        <v>0.000143721268497599</v>
      </c>
      <c r="C321" s="26" t="n">
        <f aca="false">Prices!C322/Prices!C321-1</f>
        <v>0.0108228307568174</v>
      </c>
      <c r="D321" s="26" t="n">
        <f aca="false">Prices!D322/Prices!D321-1</f>
        <v>0.000420033616969073</v>
      </c>
      <c r="E321" s="26" t="n">
        <f aca="false">Prices!E322/Prices!E321-1</f>
        <v>0.0026759326723742</v>
      </c>
      <c r="F321" s="26" t="n">
        <f aca="false">Prices!F322/Prices!F321-1</f>
        <v>-0.0548438793242873</v>
      </c>
      <c r="G321" s="26" t="n">
        <f aca="false">Prices!G322/Prices!G321-1</f>
        <v>-0.0358381874436151</v>
      </c>
      <c r="H321" s="26" t="n">
        <f aca="false">Prices!H322/Prices!H321-1</f>
        <v>-0.00898634076204175</v>
      </c>
      <c r="I321" s="26" t="n">
        <f aca="false">Prices!I322/Prices!I321-1</f>
        <v>0.0132733910695921</v>
      </c>
      <c r="J321" s="26" t="n">
        <f aca="false">Prices!J322/Prices!J321-1</f>
        <v>-0.00164704705882357</v>
      </c>
      <c r="K321" s="26" t="n">
        <f aca="false">SUMPRODUCT(B321:J321,Optimization!$C$7:$K$7)</f>
        <v>-0.00821994946716858</v>
      </c>
      <c r="L321" s="26" t="n">
        <f aca="false">SUMPRODUCT(B321:J321,Optimization!$C$8:$K$8)</f>
        <v>0.00266193632635499</v>
      </c>
      <c r="M321" s="26" t="n">
        <f aca="false">SUMPRODUCT(B321:J321,Optimization!$C$9:$K$9)</f>
        <v>0.00309583285091451</v>
      </c>
      <c r="N321" s="26" t="n">
        <f aca="false">SUMPRODUCT(B321:J321,Optimization!$C$10:$K$10)</f>
        <v>0.00195520226437207</v>
      </c>
      <c r="O321" s="27" t="n">
        <f aca="false">IF(AND(A321&gt;=Inputs!$C$6,A321&lt;=Inputs!$C$7),1,0)</f>
        <v>0</v>
      </c>
      <c r="P321" s="28" t="n">
        <f aca="false">P320*(1+K321)</f>
        <v>139.025087967325</v>
      </c>
      <c r="Q321" s="28" t="n">
        <f aca="false">MAX(Q320,P321)</f>
        <v>140.22896398966</v>
      </c>
      <c r="R321" s="29" t="n">
        <f aca="false">P321/Q321-1</f>
        <v>-0.0085850739254133</v>
      </c>
      <c r="S321" s="26" t="n">
        <f aca="false">IF(A321=Inputs!$C$12,"",F321)</f>
        <v>-0.0548438793242873</v>
      </c>
      <c r="T321" s="27" t="n">
        <f aca="false">IF(AND(A321&gt;Risk_Metrics!$C$28,P321&gt;=Risk_Metrics!$C$30),1,0)</f>
        <v>1</v>
      </c>
      <c r="U321" s="26" t="n">
        <f aca="false">IF(A321=Inputs!$C$12,"",K321)</f>
        <v>-0.00821994946716858</v>
      </c>
    </row>
    <row r="322" customFormat="false" ht="15" hidden="false" customHeight="false" outlineLevel="0" collapsed="false">
      <c r="A322" s="25" t="n">
        <f aca="false">Prices!A323</f>
        <v>44179</v>
      </c>
      <c r="B322" s="26" t="n">
        <f aca="false">Prices!B323/Prices!B322-1</f>
        <v>0.00818846418347285</v>
      </c>
      <c r="C322" s="26" t="n">
        <f aca="false">Prices!C323/Prices!C322-1</f>
        <v>-0.0095173523031501</v>
      </c>
      <c r="D322" s="26" t="n">
        <f aca="false">Prices!D323/Prices!D322-1</f>
        <v>0.00545764063811927</v>
      </c>
      <c r="E322" s="26" t="n">
        <f aca="false">Prices!E323/Prices!E322-1</f>
        <v>-0.0064364206210924</v>
      </c>
      <c r="F322" s="26" t="n">
        <f aca="false">Prices!F323/Prices!F322-1</f>
        <v>-0.00423553994845971</v>
      </c>
      <c r="G322" s="26" t="n">
        <f aca="false">Prices!G323/Prices!G322-1</f>
        <v>0.00159868105515604</v>
      </c>
      <c r="H322" s="26" t="n">
        <f aca="false">Prices!H323/Prices!H322-1</f>
        <v>0.00181360174102285</v>
      </c>
      <c r="I322" s="26" t="n">
        <f aca="false">Prices!I323/Prices!I322-1</f>
        <v>-0.00421849501001315</v>
      </c>
      <c r="J322" s="26" t="n">
        <f aca="false">Prices!J323/Prices!J322-1</f>
        <v>-0.0154371669168375</v>
      </c>
      <c r="K322" s="26" t="n">
        <f aca="false">SUMPRODUCT(B322:J322,Optimization!$C$7:$K$7)</f>
        <v>-0.00253184302019798</v>
      </c>
      <c r="L322" s="26" t="n">
        <f aca="false">SUMPRODUCT(B322:J322,Optimization!$C$8:$K$8)</f>
        <v>-0.000474444028225602</v>
      </c>
      <c r="M322" s="26" t="n">
        <f aca="false">SUMPRODUCT(B322:J322,Optimization!$C$9:$K$9)</f>
        <v>-0.00238696481903508</v>
      </c>
      <c r="N322" s="26" t="n">
        <f aca="false">SUMPRODUCT(B322:J322,Optimization!$C$10:$K$10)</f>
        <v>0.000463237138437518</v>
      </c>
      <c r="O322" s="27" t="n">
        <f aca="false">IF(AND(A322&gt;=Inputs!$C$6,A322&lt;=Inputs!$C$7),1,0)</f>
        <v>0</v>
      </c>
      <c r="P322" s="28" t="n">
        <f aca="false">P321*(1+K322)</f>
        <v>138.673098268723</v>
      </c>
      <c r="Q322" s="28" t="n">
        <f aca="false">MAX(Q321,P322)</f>
        <v>140.22896398966</v>
      </c>
      <c r="R322" s="29" t="n">
        <f aca="false">P322/Q322-1</f>
        <v>-0.0110951808861152</v>
      </c>
      <c r="S322" s="26" t="n">
        <f aca="false">IF(A322=Inputs!$C$12,"",F322)</f>
        <v>-0.00423553994845971</v>
      </c>
      <c r="T322" s="27" t="n">
        <f aca="false">IF(AND(A322&gt;Risk_Metrics!$C$28,P322&gt;=Risk_Metrics!$C$30),1,0)</f>
        <v>1</v>
      </c>
      <c r="U322" s="26" t="n">
        <f aca="false">IF(A322=Inputs!$C$12,"",K322)</f>
        <v>-0.00253184302019798</v>
      </c>
    </row>
    <row r="323" customFormat="false" ht="15" hidden="false" customHeight="false" outlineLevel="0" collapsed="false">
      <c r="A323" s="25" t="n">
        <f aca="false">Prices!A324</f>
        <v>44180</v>
      </c>
      <c r="B323" s="26" t="n">
        <f aca="false">Prices!B324/Prices!B323-1</f>
        <v>0.00341974921630084</v>
      </c>
      <c r="C323" s="26" t="n">
        <f aca="false">Prices!C324/Prices!C323-1</f>
        <v>0.0102950758508948</v>
      </c>
      <c r="D323" s="26" t="n">
        <f aca="false">Prices!D324/Prices!D323-1</f>
        <v>0.0187891015119372</v>
      </c>
      <c r="E323" s="26" t="n">
        <f aca="false">Prices!E324/Prices!E323-1</f>
        <v>0.0222783374580766</v>
      </c>
      <c r="F323" s="26" t="n">
        <f aca="false">Prices!F324/Prices!F323-1</f>
        <v>0.0748617254302859</v>
      </c>
      <c r="G323" s="26" t="n">
        <f aca="false">Prices!G324/Prices!G323-1</f>
        <v>0</v>
      </c>
      <c r="H323" s="26" t="n">
        <f aca="false">Prices!H324/Prices!H323-1</f>
        <v>0.00832726255151117</v>
      </c>
      <c r="I323" s="26" t="n">
        <f aca="false">Prices!I324/Prices!I323-1</f>
        <v>-0.00646602126725815</v>
      </c>
      <c r="J323" s="26" t="n">
        <f aca="false">Prices!J324/Prices!J323-1</f>
        <v>0.0113704005492374</v>
      </c>
      <c r="K323" s="26" t="n">
        <f aca="false">SUMPRODUCT(B323:J323,Optimization!$C$7:$K$7)</f>
        <v>0.015875070144554</v>
      </c>
      <c r="L323" s="26" t="n">
        <f aca="false">SUMPRODUCT(B323:J323,Optimization!$C$8:$K$8)</f>
        <v>0.0115458287735166</v>
      </c>
      <c r="M323" s="26" t="n">
        <f aca="false">SUMPRODUCT(B323:J323,Optimization!$C$9:$K$9)</f>
        <v>0.00962926923141165</v>
      </c>
      <c r="N323" s="26" t="n">
        <f aca="false">SUMPRODUCT(B323:J323,Optimization!$C$10:$K$10)</f>
        <v>0.0129014254721341</v>
      </c>
      <c r="O323" s="27" t="n">
        <f aca="false">IF(AND(A323&gt;=Inputs!$C$6,A323&lt;=Inputs!$C$7),1,0)</f>
        <v>0</v>
      </c>
      <c r="P323" s="28" t="n">
        <f aca="false">P322*(1+K323)</f>
        <v>140.874543430901</v>
      </c>
      <c r="Q323" s="28" t="n">
        <f aca="false">MAX(Q322,P323)</f>
        <v>140.874543430901</v>
      </c>
      <c r="R323" s="29" t="n">
        <f aca="false">P323/Q323-1</f>
        <v>0</v>
      </c>
      <c r="S323" s="26" t="n">
        <f aca="false">IF(A323=Inputs!$C$12,"",F323)</f>
        <v>0.0748617254302859</v>
      </c>
      <c r="T323" s="27" t="n">
        <f aca="false">IF(AND(A323&gt;Risk_Metrics!$C$28,P323&gt;=Risk_Metrics!$C$30),1,0)</f>
        <v>1</v>
      </c>
      <c r="U323" s="26" t="n">
        <f aca="false">IF(A323=Inputs!$C$12,"",K323)</f>
        <v>0.015875070144554</v>
      </c>
    </row>
    <row r="324" customFormat="false" ht="15" hidden="false" customHeight="false" outlineLevel="0" collapsed="false">
      <c r="A324" s="25" t="n">
        <f aca="false">Prices!A325</f>
        <v>44181</v>
      </c>
      <c r="B324" s="26" t="n">
        <f aca="false">Prices!B325/Prices!B324-1</f>
        <v>0.00596418648009611</v>
      </c>
      <c r="C324" s="26" t="n">
        <f aca="false">Prices!C325/Prices!C324-1</f>
        <v>0.0283627911313511</v>
      </c>
      <c r="D324" s="26" t="n">
        <f aca="false">Prices!D325/Prices!D324-1</f>
        <v>0.014344262295082</v>
      </c>
      <c r="E324" s="26" t="n">
        <f aca="false">Prices!E325/Prices!E324-1</f>
        <v>0.0194745294965006</v>
      </c>
      <c r="F324" s="26" t="n">
        <f aca="false">Prices!F325/Prices!F324-1</f>
        <v>0.0138504695663637</v>
      </c>
      <c r="G324" s="26" t="n">
        <f aca="false">Prices!G325/Prices!G324-1</f>
        <v>0.00957701554577062</v>
      </c>
      <c r="H324" s="26" t="n">
        <f aca="false">Prices!H325/Prices!H324-1</f>
        <v>0.0122082944344704</v>
      </c>
      <c r="I324" s="26" t="n">
        <f aca="false">Prices!I325/Prices!I324-1</f>
        <v>0.0132405293822393</v>
      </c>
      <c r="J324" s="26" t="n">
        <f aca="false">Prices!J325/Prices!J324-1</f>
        <v>0.0203550414201183</v>
      </c>
      <c r="K324" s="26" t="n">
        <f aca="false">SUMPRODUCT(B324:J324,Optimization!$C$7:$K$7)</f>
        <v>0.015264124416888</v>
      </c>
      <c r="L324" s="26" t="n">
        <f aca="false">SUMPRODUCT(B324:J324,Optimization!$C$8:$K$8)</f>
        <v>0.0157388878401769</v>
      </c>
      <c r="M324" s="26" t="n">
        <f aca="false">SUMPRODUCT(B324:J324,Optimization!$C$9:$K$9)</f>
        <v>0.0160897704051785</v>
      </c>
      <c r="N324" s="26" t="n">
        <f aca="false">SUMPRODUCT(B324:J324,Optimization!$C$10:$K$10)</f>
        <v>0.0156316874034071</v>
      </c>
      <c r="O324" s="27" t="n">
        <f aca="false">IF(AND(A324&gt;=Inputs!$C$6,A324&lt;=Inputs!$C$7),1,0)</f>
        <v>0</v>
      </c>
      <c r="P324" s="28" t="n">
        <f aca="false">P323*(1+K324)</f>
        <v>143.024869989003</v>
      </c>
      <c r="Q324" s="28" t="n">
        <f aca="false">MAX(Q323,P324)</f>
        <v>143.024869989003</v>
      </c>
      <c r="R324" s="29" t="n">
        <f aca="false">P324/Q324-1</f>
        <v>0</v>
      </c>
      <c r="S324" s="26" t="n">
        <f aca="false">IF(A324=Inputs!$C$12,"",F324)</f>
        <v>0.0138504695663637</v>
      </c>
      <c r="T324" s="27" t="n">
        <f aca="false">IF(AND(A324&gt;Risk_Metrics!$C$28,P324&gt;=Risk_Metrics!$C$30),1,0)</f>
        <v>1</v>
      </c>
      <c r="U324" s="26" t="n">
        <f aca="false">IF(A324=Inputs!$C$12,"",K324)</f>
        <v>0.015264124416888</v>
      </c>
    </row>
    <row r="325" customFormat="false" ht="15" hidden="false" customHeight="false" outlineLevel="0" collapsed="false">
      <c r="A325" s="25" t="n">
        <f aca="false">Prices!A326</f>
        <v>44182</v>
      </c>
      <c r="B325" s="26" t="n">
        <f aca="false">Prices!B326/Prices!B325-1</f>
        <v>-0.00875204736036406</v>
      </c>
      <c r="C325" s="26" t="n">
        <f aca="false">Prices!C326/Prices!C325-1</f>
        <v>-0.00165146171107933</v>
      </c>
      <c r="D325" s="26" t="n">
        <f aca="false">Prices!D326/Prices!D325-1</f>
        <v>0.0105050505050506</v>
      </c>
      <c r="E325" s="26" t="n">
        <f aca="false">Prices!E326/Prices!E325-1</f>
        <v>0.0177379929917829</v>
      </c>
      <c r="F325" s="26" t="n">
        <f aca="false">Prices!F326/Prices!F325-1</f>
        <v>0.0226385937635574</v>
      </c>
      <c r="G325" s="26" t="n">
        <f aca="false">Prices!G326/Prices!G325-1</f>
        <v>-0.0154149808464419</v>
      </c>
      <c r="H325" s="26" t="n">
        <f aca="false">Prices!H326/Prices!H325-1</f>
        <v>0.00177364307294625</v>
      </c>
      <c r="I325" s="26" t="n">
        <f aca="false">Prices!I326/Prices!I325-1</f>
        <v>-0.00908077725795675</v>
      </c>
      <c r="J325" s="26" t="n">
        <f aca="false">Prices!J326/Prices!J325-1</f>
        <v>0.0113662258018299</v>
      </c>
      <c r="K325" s="26" t="n">
        <f aca="false">SUMPRODUCT(B325:J325,Optimization!$C$7:$K$7)</f>
        <v>0.00323580432881389</v>
      </c>
      <c r="L325" s="26" t="n">
        <f aca="false">SUMPRODUCT(B325:J325,Optimization!$C$8:$K$8)</f>
        <v>0.00410415122736035</v>
      </c>
      <c r="M325" s="26" t="n">
        <f aca="false">SUMPRODUCT(B325:J325,Optimization!$C$9:$K$9)</f>
        <v>0.00270031047091057</v>
      </c>
      <c r="N325" s="26" t="n">
        <f aca="false">SUMPRODUCT(B325:J325,Optimization!$C$10:$K$10)</f>
        <v>0.00483999022179907</v>
      </c>
      <c r="O325" s="27" t="n">
        <f aca="false">IF(AND(A325&gt;=Inputs!$C$6,A325&lt;=Inputs!$C$7),1,0)</f>
        <v>0</v>
      </c>
      <c r="P325" s="28" t="n">
        <f aca="false">P324*(1+K325)</f>
        <v>143.487670482441</v>
      </c>
      <c r="Q325" s="28" t="n">
        <f aca="false">MAX(Q324,P325)</f>
        <v>143.487670482441</v>
      </c>
      <c r="R325" s="29" t="n">
        <f aca="false">P325/Q325-1</f>
        <v>0</v>
      </c>
      <c r="S325" s="26" t="n">
        <f aca="false">IF(A325=Inputs!$C$12,"",F325)</f>
        <v>0.0226385937635574</v>
      </c>
      <c r="T325" s="27" t="n">
        <f aca="false">IF(AND(A325&gt;Risk_Metrics!$C$28,P325&gt;=Risk_Metrics!$C$30),1,0)</f>
        <v>1</v>
      </c>
      <c r="U325" s="26" t="n">
        <f aca="false">IF(A325=Inputs!$C$12,"",K325)</f>
        <v>0.00323580432881389</v>
      </c>
    </row>
    <row r="326" customFormat="false" ht="15" hidden="false" customHeight="false" outlineLevel="0" collapsed="false">
      <c r="A326" s="25" t="n">
        <f aca="false">Prices!A327</f>
        <v>44183</v>
      </c>
      <c r="B326" s="26" t="n">
        <f aca="false">Prices!B327/Prices!B326-1</f>
        <v>-0.025348888844362</v>
      </c>
      <c r="C326" s="26" t="n">
        <f aca="false">Prices!C327/Prices!C326-1</f>
        <v>-0.0107527543424317</v>
      </c>
      <c r="D326" s="26" t="n">
        <f aca="false">Prices!D327/Prices!D326-1</f>
        <v>0.0251898840463813</v>
      </c>
      <c r="E326" s="26" t="n">
        <f aca="false">Prices!E327/Prices!E326-1</f>
        <v>-0.00625648769208209</v>
      </c>
      <c r="F326" s="26" t="n">
        <f aca="false">Prices!F327/Prices!F326-1</f>
        <v>-0.0255725358893002</v>
      </c>
      <c r="G326" s="26" t="n">
        <f aca="false">Prices!G327/Prices!G326-1</f>
        <v>-0.0216780008028905</v>
      </c>
      <c r="H326" s="26" t="n">
        <f aca="false">Prices!H327/Prices!H326-1</f>
        <v>-0.00495750708215292</v>
      </c>
      <c r="I326" s="26" t="n">
        <f aca="false">Prices!I327/Prices!I326-1</f>
        <v>-0.0113992490712943</v>
      </c>
      <c r="J326" s="26" t="n">
        <f aca="false">Prices!J327/Prices!J326-1</f>
        <v>0.00688080298901861</v>
      </c>
      <c r="K326" s="26" t="n">
        <f aca="false">SUMPRODUCT(B326:J326,Optimization!$C$7:$K$7)</f>
        <v>-0.00821052629879043</v>
      </c>
      <c r="L326" s="26" t="n">
        <f aca="false">SUMPRODUCT(B326:J326,Optimization!$C$8:$K$8)</f>
        <v>0.00593232923897879</v>
      </c>
      <c r="M326" s="26" t="n">
        <f aca="false">SUMPRODUCT(B326:J326,Optimization!$C$9:$K$9)</f>
        <v>0.00128127163919445</v>
      </c>
      <c r="N326" s="26" t="n">
        <f aca="false">SUMPRODUCT(B326:J326,Optimization!$C$10:$K$10)</f>
        <v>0.00726381690763295</v>
      </c>
      <c r="O326" s="27" t="n">
        <f aca="false">IF(AND(A326&gt;=Inputs!$C$6,A326&lt;=Inputs!$C$7),1,0)</f>
        <v>0</v>
      </c>
      <c r="P326" s="28" t="n">
        <f aca="false">P325*(1+K326)</f>
        <v>142.309561190393</v>
      </c>
      <c r="Q326" s="28" t="n">
        <f aca="false">MAX(Q325,P326)</f>
        <v>143.487670482441</v>
      </c>
      <c r="R326" s="29" t="n">
        <f aca="false">P326/Q326-1</f>
        <v>-0.00821052629879038</v>
      </c>
      <c r="S326" s="26" t="n">
        <f aca="false">IF(A326=Inputs!$C$12,"",F326)</f>
        <v>-0.0255725358893002</v>
      </c>
      <c r="T326" s="27" t="n">
        <f aca="false">IF(AND(A326&gt;Risk_Metrics!$C$28,P326&gt;=Risk_Metrics!$C$30),1,0)</f>
        <v>1</v>
      </c>
      <c r="U326" s="26" t="n">
        <f aca="false">IF(A326=Inputs!$C$12,"",K326)</f>
        <v>-0.00821052629879043</v>
      </c>
    </row>
    <row r="327" customFormat="false" ht="15" hidden="false" customHeight="false" outlineLevel="0" collapsed="false">
      <c r="A327" s="25" t="n">
        <f aca="false">Prices!A328</f>
        <v>44186</v>
      </c>
      <c r="B327" s="26" t="n">
        <f aca="false">Prices!B328/Prices!B327-1</f>
        <v>-0.00701348606038921</v>
      </c>
      <c r="C327" s="26" t="n">
        <f aca="false">Prices!C328/Prices!C327-1</f>
        <v>-0.0133778938714311</v>
      </c>
      <c r="D327" s="26" t="n">
        <f aca="false">Prices!D328/Prices!D327-1</f>
        <v>-0.0280810853385758</v>
      </c>
      <c r="E327" s="26" t="n">
        <f aca="false">Prices!E328/Prices!E327-1</f>
        <v>-0.0145405638516048</v>
      </c>
      <c r="F327" s="26" t="n">
        <f aca="false">Prices!F328/Prices!F327-1</f>
        <v>-0.0235017855132309</v>
      </c>
      <c r="G327" s="26" t="n">
        <f aca="false">Prices!G328/Prices!G327-1</f>
        <v>-0.0233894943213174</v>
      </c>
      <c r="H327" s="26" t="n">
        <f aca="false">Prices!H328/Prices!H327-1</f>
        <v>-0.0384341637010677</v>
      </c>
      <c r="I327" s="26" t="n">
        <f aca="false">Prices!I328/Prices!I327-1</f>
        <v>-0.0117566637786014</v>
      </c>
      <c r="J327" s="26" t="n">
        <f aca="false">Prices!J328/Prices!J327-1</f>
        <v>-0.0107061727549145</v>
      </c>
      <c r="K327" s="26" t="n">
        <f aca="false">SUMPRODUCT(B327:J327,Optimization!$C$7:$K$7)</f>
        <v>-0.0189779232434592</v>
      </c>
      <c r="L327" s="26" t="n">
        <f aca="false">SUMPRODUCT(B327:J327,Optimization!$C$8:$K$8)</f>
        <v>-0.0183738014596671</v>
      </c>
      <c r="M327" s="26" t="n">
        <f aca="false">SUMPRODUCT(B327:J327,Optimization!$C$9:$K$9)</f>
        <v>-0.0157954504855617</v>
      </c>
      <c r="N327" s="26" t="n">
        <f aca="false">SUMPRODUCT(B327:J327,Optimization!$C$10:$K$10)</f>
        <v>-0.0191758861340649</v>
      </c>
      <c r="O327" s="27" t="n">
        <f aca="false">IF(AND(A327&gt;=Inputs!$C$6,A327&lt;=Inputs!$C$7),1,0)</f>
        <v>0</v>
      </c>
      <c r="P327" s="28" t="n">
        <f aca="false">P326*(1+K327)</f>
        <v>139.608821261311</v>
      </c>
      <c r="Q327" s="28" t="n">
        <f aca="false">MAX(Q326,P327)</f>
        <v>143.487670482441</v>
      </c>
      <c r="R327" s="29" t="n">
        <f aca="false">P327/Q327-1</f>
        <v>-0.0270326308043627</v>
      </c>
      <c r="S327" s="26" t="n">
        <f aca="false">IF(A327=Inputs!$C$12,"",F327)</f>
        <v>-0.0235017855132309</v>
      </c>
      <c r="T327" s="27" t="n">
        <f aca="false">IF(AND(A327&gt;Risk_Metrics!$C$28,P327&gt;=Risk_Metrics!$C$30),1,0)</f>
        <v>1</v>
      </c>
      <c r="U327" s="26" t="n">
        <f aca="false">IF(A327=Inputs!$C$12,"",K327)</f>
        <v>-0.0189779232434592</v>
      </c>
    </row>
    <row r="328" customFormat="false" ht="15" hidden="false" customHeight="false" outlineLevel="0" collapsed="false">
      <c r="A328" s="25" t="n">
        <f aca="false">Prices!A329</f>
        <v>44187</v>
      </c>
      <c r="B328" s="26" t="n">
        <f aca="false">Prices!B329/Prices!B328-1</f>
        <v>-0.000882828147186876</v>
      </c>
      <c r="C328" s="26" t="n">
        <f aca="false">Prices!C329/Prices!C328-1</f>
        <v>0.0216948820913521</v>
      </c>
      <c r="D328" s="26" t="n">
        <f aca="false">Prices!D329/Prices!D328-1</f>
        <v>0.030497592295345</v>
      </c>
      <c r="E328" s="26" t="n">
        <f aca="false">Prices!E329/Prices!E328-1</f>
        <v>-0.013081853151258</v>
      </c>
      <c r="F328" s="26" t="n">
        <f aca="false">Prices!F329/Prices!F328-1</f>
        <v>-0.0020056177236657</v>
      </c>
      <c r="G328" s="26" t="n">
        <f aca="false">Prices!G329/Prices!G328-1</f>
        <v>-0.0235293707365283</v>
      </c>
      <c r="H328" s="26" t="n">
        <f aca="false">Prices!H329/Prices!H328-1</f>
        <v>0.00962253886010367</v>
      </c>
      <c r="I328" s="26" t="n">
        <f aca="false">Prices!I329/Prices!I328-1</f>
        <v>-0.0187599960687155</v>
      </c>
      <c r="J328" s="26" t="n">
        <f aca="false">Prices!J329/Prices!J328-1</f>
        <v>0.000921033836967178</v>
      </c>
      <c r="K328" s="26" t="n">
        <f aca="false">SUMPRODUCT(B328:J328,Optimization!$C$7:$K$7)</f>
        <v>0.000497375695157065</v>
      </c>
      <c r="L328" s="26" t="n">
        <f aca="false">SUMPRODUCT(B328:J328,Optimization!$C$8:$K$8)</f>
        <v>0.0146646513610324</v>
      </c>
      <c r="M328" s="26" t="n">
        <f aca="false">SUMPRODUCT(B328:J328,Optimization!$C$9:$K$9)</f>
        <v>0.00981085906384564</v>
      </c>
      <c r="N328" s="26" t="n">
        <f aca="false">SUMPRODUCT(B328:J328,Optimization!$C$10:$K$10)</f>
        <v>0.0176123613903816</v>
      </c>
      <c r="O328" s="27" t="n">
        <f aca="false">IF(AND(A328&gt;=Inputs!$C$6,A328&lt;=Inputs!$C$7),1,0)</f>
        <v>0</v>
      </c>
      <c r="P328" s="28" t="n">
        <f aca="false">P327*(1+K328)</f>
        <v>139.678259295836</v>
      </c>
      <c r="Q328" s="28" t="n">
        <f aca="false">MAX(Q327,P328)</f>
        <v>143.487670482441</v>
      </c>
      <c r="R328" s="29" t="n">
        <f aca="false">P328/Q328-1</f>
        <v>-0.0265487004827439</v>
      </c>
      <c r="S328" s="26" t="n">
        <f aca="false">IF(A328=Inputs!$C$12,"",F328)</f>
        <v>-0.0020056177236657</v>
      </c>
      <c r="T328" s="27" t="n">
        <f aca="false">IF(AND(A328&gt;Risk_Metrics!$C$28,P328&gt;=Risk_Metrics!$C$30),1,0)</f>
        <v>1</v>
      </c>
      <c r="U328" s="26" t="n">
        <f aca="false">IF(A328=Inputs!$C$12,"",K328)</f>
        <v>0.000497375695157065</v>
      </c>
    </row>
    <row r="329" customFormat="false" ht="15" hidden="false" customHeight="false" outlineLevel="0" collapsed="false">
      <c r="A329" s="25" t="n">
        <f aca="false">Prices!A330</f>
        <v>44188</v>
      </c>
      <c r="B329" s="26" t="n">
        <f aca="false">Prices!B330/Prices!B329-1</f>
        <v>-0.00648016181207189</v>
      </c>
      <c r="C329" s="26" t="n">
        <f aca="false">Prices!C330/Prices!C329-1</f>
        <v>-0.00481084968884205</v>
      </c>
      <c r="D329" s="26" t="n">
        <f aca="false">Prices!D330/Prices!D329-1</f>
        <v>-0.0210280763239875</v>
      </c>
      <c r="E329" s="26" t="n">
        <f aca="false">Prices!E330/Prices!E329-1</f>
        <v>0.0265104975266877</v>
      </c>
      <c r="F329" s="26" t="n">
        <f aca="false">Prices!F330/Prices!F329-1</f>
        <v>0.011254038592273</v>
      </c>
      <c r="G329" s="26" t="n">
        <f aca="false">Prices!G330/Prices!G329-1</f>
        <v>0.0215146299483648</v>
      </c>
      <c r="H329" s="26" t="n">
        <f aca="false">Prices!H330/Prices!H329-1</f>
        <v>0.0245601164017553</v>
      </c>
      <c r="I329" s="26" t="n">
        <f aca="false">Prices!I330/Prices!I329-1</f>
        <v>0.00442996073564705</v>
      </c>
      <c r="J329" s="26" t="n">
        <f aca="false">Prices!J330/Prices!J329-1</f>
        <v>0.00483090626107874</v>
      </c>
      <c r="K329" s="26" t="n">
        <f aca="false">SUMPRODUCT(B329:J329,Optimization!$C$7:$K$7)</f>
        <v>0.0067534512934339</v>
      </c>
      <c r="L329" s="26" t="n">
        <f aca="false">SUMPRODUCT(B329:J329,Optimization!$C$8:$K$8)</f>
        <v>-0.00984067598127414</v>
      </c>
      <c r="M329" s="26" t="n">
        <f aca="false">SUMPRODUCT(B329:J329,Optimization!$C$9:$K$9)</f>
        <v>-0.0064734441761752</v>
      </c>
      <c r="N329" s="26" t="n">
        <f aca="false">SUMPRODUCT(B329:J329,Optimization!$C$10:$K$10)</f>
        <v>-0.0115021559537007</v>
      </c>
      <c r="O329" s="27" t="n">
        <f aca="false">IF(AND(A329&gt;=Inputs!$C$6,A329&lt;=Inputs!$C$7),1,0)</f>
        <v>0</v>
      </c>
      <c r="P329" s="28" t="n">
        <f aca="false">P328*(1+K329)</f>
        <v>140.621569616742</v>
      </c>
      <c r="Q329" s="28" t="n">
        <f aca="false">MAX(Q328,P329)</f>
        <v>143.487670482441</v>
      </c>
      <c r="R329" s="29" t="n">
        <f aca="false">P329/Q329-1</f>
        <v>-0.0199745445449241</v>
      </c>
      <c r="S329" s="26" t="n">
        <f aca="false">IF(A329=Inputs!$C$12,"",F329)</f>
        <v>0.011254038592273</v>
      </c>
      <c r="T329" s="27" t="n">
        <f aca="false">IF(AND(A329&gt;Risk_Metrics!$C$28,P329&gt;=Risk_Metrics!$C$30),1,0)</f>
        <v>1</v>
      </c>
      <c r="U329" s="26" t="n">
        <f aca="false">IF(A329=Inputs!$C$12,"",K329)</f>
        <v>0.0067534512934339</v>
      </c>
    </row>
    <row r="330" customFormat="false" ht="15" hidden="false" customHeight="false" outlineLevel="0" collapsed="false">
      <c r="A330" s="25" t="n">
        <f aca="false">Prices!A331</f>
        <v>44193</v>
      </c>
      <c r="B330" s="26" t="n">
        <f aca="false">Prices!B331/Prices!B330-1</f>
        <v>0.0168988884805648</v>
      </c>
      <c r="C330" s="26" t="n">
        <f aca="false">Prices!C331/Prices!C330-1</f>
        <v>0.0251708959883612</v>
      </c>
      <c r="D330" s="26" t="n">
        <f aca="false">Prices!D331/Prices!D330-1</f>
        <v>0.0119332542535104</v>
      </c>
      <c r="E330" s="26" t="n">
        <f aca="false">Prices!E331/Prices!E330-1</f>
        <v>0.00150148653157611</v>
      </c>
      <c r="F330" s="26" t="n">
        <f aca="false">Prices!F331/Prices!F330-1</f>
        <v>0.0357710604013757</v>
      </c>
      <c r="G330" s="26" t="n">
        <f aca="false">Prices!G331/Prices!G330-1</f>
        <v>0.021903959561921</v>
      </c>
      <c r="H330" s="26" t="n">
        <f aca="false">Prices!H331/Prices!H330-1</f>
        <v>0.00822894424941167</v>
      </c>
      <c r="I330" s="26" t="n">
        <f aca="false">Prices!I331/Prices!I330-1</f>
        <v>0.00417819546412424</v>
      </c>
      <c r="J330" s="26" t="n">
        <f aca="false">Prices!J331/Prices!J330-1</f>
        <v>-0.000572378656451766</v>
      </c>
      <c r="K330" s="26" t="n">
        <f aca="false">SUMPRODUCT(B330:J330,Optimization!$C$7:$K$7)</f>
        <v>0.0138904784749326</v>
      </c>
      <c r="L330" s="26" t="n">
        <f aca="false">SUMPRODUCT(B330:J330,Optimization!$C$8:$K$8)</f>
        <v>0.0116021836432142</v>
      </c>
      <c r="M330" s="26" t="n">
        <f aca="false">SUMPRODUCT(B330:J330,Optimization!$C$9:$K$9)</f>
        <v>0.0108938650793838</v>
      </c>
      <c r="N330" s="26" t="n">
        <f aca="false">SUMPRODUCT(B330:J330,Optimization!$C$10:$K$10)</f>
        <v>0.0125265191098789</v>
      </c>
      <c r="O330" s="27" t="n">
        <f aca="false">IF(AND(A330&gt;=Inputs!$C$6,A330&lt;=Inputs!$C$7),1,0)</f>
        <v>0</v>
      </c>
      <c r="P330" s="28" t="n">
        <f aca="false">P329*(1+K330)</f>
        <v>142.574870502615</v>
      </c>
      <c r="Q330" s="28" t="n">
        <f aca="false">MAX(Q329,P330)</f>
        <v>143.487670482441</v>
      </c>
      <c r="R330" s="29" t="n">
        <f aca="false">P330/Q330-1</f>
        <v>-0.00636152205103946</v>
      </c>
      <c r="S330" s="26" t="n">
        <f aca="false">IF(A330=Inputs!$C$12,"",F330)</f>
        <v>0.0357710604013757</v>
      </c>
      <c r="T330" s="27" t="n">
        <f aca="false">IF(AND(A330&gt;Risk_Metrics!$C$28,P330&gt;=Risk_Metrics!$C$30),1,0)</f>
        <v>1</v>
      </c>
      <c r="U330" s="26" t="n">
        <f aca="false">IF(A330=Inputs!$C$12,"",K330)</f>
        <v>0.0138904784749326</v>
      </c>
    </row>
    <row r="331" customFormat="false" ht="15" hidden="false" customHeight="false" outlineLevel="0" collapsed="false">
      <c r="A331" s="25" t="n">
        <f aca="false">Prices!A332</f>
        <v>44194</v>
      </c>
      <c r="B331" s="26" t="n">
        <f aca="false">Prices!B332/Prices!B331-1</f>
        <v>-0.00670552497683741</v>
      </c>
      <c r="C331" s="26" t="n">
        <f aca="false">Prices!C332/Prices!C331-1</f>
        <v>0.00520326829268303</v>
      </c>
      <c r="D331" s="26" t="n">
        <f aca="false">Prices!D332/Prices!D331-1</f>
        <v>0.00511002338403999</v>
      </c>
      <c r="E331" s="26" t="n">
        <f aca="false">Prices!E332/Prices!E331-1</f>
        <v>0.00539731658458686</v>
      </c>
      <c r="F331" s="26" t="n">
        <f aca="false">Prices!F332/Prices!F331-1</f>
        <v>0.00575595347978597</v>
      </c>
      <c r="G331" s="26" t="n">
        <f aca="false">Prices!G332/Prices!G331-1</f>
        <v>-0.0370980626545755</v>
      </c>
      <c r="H331" s="26" t="n">
        <f aca="false">Prices!H332/Prices!H331-1</f>
        <v>0.00319375443577008</v>
      </c>
      <c r="I331" s="26" t="n">
        <f aca="false">Prices!I332/Prices!I331-1</f>
        <v>0.0353675657819197</v>
      </c>
      <c r="J331" s="26" t="n">
        <f aca="false">Prices!J332/Prices!J331-1</f>
        <v>-0.00274880317830262</v>
      </c>
      <c r="K331" s="26" t="n">
        <f aca="false">SUMPRODUCT(B331:J331,Optimization!$C$7:$K$7)</f>
        <v>0.00149727679434112</v>
      </c>
      <c r="L331" s="26" t="n">
        <f aca="false">SUMPRODUCT(B331:J331,Optimization!$C$8:$K$8)</f>
        <v>0.00496426338709551</v>
      </c>
      <c r="M331" s="26" t="n">
        <f aca="false">SUMPRODUCT(B331:J331,Optimization!$C$9:$K$9)</f>
        <v>0.00528934148906707</v>
      </c>
      <c r="N331" s="26" t="n">
        <f aca="false">SUMPRODUCT(B331:J331,Optimization!$C$10:$K$10)</f>
        <v>0.00293646993677812</v>
      </c>
      <c r="O331" s="27" t="n">
        <f aca="false">IF(AND(A331&gt;=Inputs!$C$6,A331&lt;=Inputs!$C$7),1,0)</f>
        <v>0</v>
      </c>
      <c r="P331" s="28" t="n">
        <f aca="false">P330*(1+K331)</f>
        <v>142.788344547675</v>
      </c>
      <c r="Q331" s="28" t="n">
        <f aca="false">MAX(Q330,P331)</f>
        <v>143.487670482441</v>
      </c>
      <c r="R331" s="29" t="n">
        <f aca="false">P331/Q331-1</f>
        <v>-0.00487377021604218</v>
      </c>
      <c r="S331" s="26" t="n">
        <f aca="false">IF(A331=Inputs!$C$12,"",F331)</f>
        <v>0.00575595347978597</v>
      </c>
      <c r="T331" s="27" t="n">
        <f aca="false">IF(AND(A331&gt;Risk_Metrics!$C$28,P331&gt;=Risk_Metrics!$C$30),1,0)</f>
        <v>1</v>
      </c>
      <c r="U331" s="26" t="n">
        <f aca="false">IF(A331=Inputs!$C$12,"",K331)</f>
        <v>0.00149727679434112</v>
      </c>
    </row>
    <row r="332" customFormat="false" ht="15" hidden="false" customHeight="false" outlineLevel="0" collapsed="false">
      <c r="A332" s="25" t="n">
        <f aca="false">Prices!A333</f>
        <v>44195</v>
      </c>
      <c r="B332" s="26" t="n">
        <f aca="false">Prices!B333/Prices!B332-1</f>
        <v>0.000587041393998344</v>
      </c>
      <c r="C332" s="26" t="n">
        <f aca="false">Prices!C333/Prices!C332-1</f>
        <v>0.00258814295392829</v>
      </c>
      <c r="D332" s="26" t="n">
        <f aca="false">Prices!D333/Prices!D332-1</f>
        <v>0.0383261243644897</v>
      </c>
      <c r="E332" s="26" t="n">
        <f aca="false">Prices!E333/Prices!E332-1</f>
        <v>0.0281837020036893</v>
      </c>
      <c r="F332" s="26" t="n">
        <f aca="false">Prices!F333/Prices!F332-1</f>
        <v>0.00305228076164887</v>
      </c>
      <c r="G332" s="26" t="n">
        <f aca="false">Prices!G333/Prices!G332-1</f>
        <v>0.00727739694874141</v>
      </c>
      <c r="H332" s="26" t="n">
        <f aca="false">Prices!H333/Prices!H332-1</f>
        <v>0.00247612309869116</v>
      </c>
      <c r="I332" s="26" t="n">
        <f aca="false">Prices!I333/Prices!I332-1</f>
        <v>-0.0154052748727541</v>
      </c>
      <c r="J332" s="26" t="n">
        <f aca="false">Prices!J333/Prices!J332-1</f>
        <v>0.00436427012748375</v>
      </c>
      <c r="K332" s="26" t="n">
        <f aca="false">SUMPRODUCT(B332:J332,Optimization!$C$7:$K$7)</f>
        <v>0.00793886741999074</v>
      </c>
      <c r="L332" s="26" t="n">
        <f aca="false">SUMPRODUCT(B332:J332,Optimization!$C$8:$K$8)</f>
        <v>0.0168204061282322</v>
      </c>
      <c r="M332" s="26" t="n">
        <f aca="false">SUMPRODUCT(B332:J332,Optimization!$C$9:$K$9)</f>
        <v>0.0108821690098526</v>
      </c>
      <c r="N332" s="26" t="n">
        <f aca="false">SUMPRODUCT(B332:J332,Optimization!$C$10:$K$10)</f>
        <v>0.019794834484843</v>
      </c>
      <c r="O332" s="27" t="n">
        <f aca="false">IF(AND(A332&gt;=Inputs!$C$6,A332&lt;=Inputs!$C$7),1,0)</f>
        <v>0</v>
      </c>
      <c r="P332" s="28" t="n">
        <f aca="false">P331*(1+K332)</f>
        <v>143.921922284159</v>
      </c>
      <c r="Q332" s="28" t="n">
        <f aca="false">MAX(Q331,P332)</f>
        <v>143.921922284159</v>
      </c>
      <c r="R332" s="29" t="n">
        <f aca="false">P332/Q332-1</f>
        <v>0</v>
      </c>
      <c r="S332" s="26" t="n">
        <f aca="false">IF(A332=Inputs!$C$12,"",F332)</f>
        <v>0.00305228076164887</v>
      </c>
      <c r="T332" s="27" t="n">
        <f aca="false">IF(AND(A332&gt;Risk_Metrics!$C$28,P332&gt;=Risk_Metrics!$C$30),1,0)</f>
        <v>1</v>
      </c>
      <c r="U332" s="26" t="n">
        <f aca="false">IF(A332=Inputs!$C$12,"",K332)</f>
        <v>0.00793886741999074</v>
      </c>
    </row>
    <row r="333" customFormat="false" ht="15" hidden="false" customHeight="false" outlineLevel="0" collapsed="false">
      <c r="A333" s="25" t="n">
        <f aca="false">Prices!A334</f>
        <v>44200</v>
      </c>
      <c r="B333" s="26" t="n">
        <f aca="false">Prices!B334/Prices!B333-1</f>
        <v>-0.00264007040187753</v>
      </c>
      <c r="C333" s="26" t="n">
        <f aca="false">Prices!C334/Prices!C333-1</f>
        <v>-0.0161342691190707</v>
      </c>
      <c r="D333" s="26" t="n">
        <f aca="false">Prices!D334/Prices!D333-1</f>
        <v>-0.0188323924230657</v>
      </c>
      <c r="E333" s="26" t="n">
        <f aca="false">Prices!E334/Prices!E333-1</f>
        <v>-0.0169687897158283</v>
      </c>
      <c r="F333" s="26" t="n">
        <f aca="false">Prices!F334/Prices!F333-1</f>
        <v>-0.0300494241850843</v>
      </c>
      <c r="G333" s="26" t="n">
        <f aca="false">Prices!G334/Prices!G333-1</f>
        <v>-0.0416490420038655</v>
      </c>
      <c r="H333" s="26" t="n">
        <f aca="false">Prices!H334/Prices!H333-1</f>
        <v>0.0201129146083274</v>
      </c>
      <c r="I333" s="26" t="n">
        <f aca="false">Prices!I334/Prices!I333-1</f>
        <v>-0.0310656929827224</v>
      </c>
      <c r="J333" s="26" t="n">
        <f aca="false">Prices!J334/Prices!J333-1</f>
        <v>0.045854798599936</v>
      </c>
      <c r="K333" s="26" t="n">
        <f aca="false">SUMPRODUCT(B333:J333,Optimization!$C$7:$K$7)</f>
        <v>-0.0101524408470279</v>
      </c>
      <c r="L333" s="26" t="n">
        <f aca="false">SUMPRODUCT(B333:J333,Optimization!$C$8:$K$8)</f>
        <v>-0.00646170709783211</v>
      </c>
      <c r="M333" s="26" t="n">
        <f aca="false">SUMPRODUCT(B333:J333,Optimization!$C$9:$K$9)</f>
        <v>-0.00227338270023347</v>
      </c>
      <c r="N333" s="26" t="n">
        <f aca="false">SUMPRODUCT(B333:J333,Optimization!$C$10:$K$10)</f>
        <v>-0.00649868151714237</v>
      </c>
      <c r="O333" s="27" t="n">
        <f aca="false">IF(AND(A333&gt;=Inputs!$C$6,A333&lt;=Inputs!$C$7),1,0)</f>
        <v>0</v>
      </c>
      <c r="P333" s="28" t="n">
        <f aca="false">P332*(1+K333)</f>
        <v>142.460763481578</v>
      </c>
      <c r="Q333" s="28" t="n">
        <f aca="false">MAX(Q332,P333)</f>
        <v>143.921922284159</v>
      </c>
      <c r="R333" s="29" t="n">
        <f aca="false">P333/Q333-1</f>
        <v>-0.010152440847028</v>
      </c>
      <c r="S333" s="26" t="n">
        <f aca="false">IF(A333=Inputs!$C$12,"",F333)</f>
        <v>-0.0300494241850843</v>
      </c>
      <c r="T333" s="27" t="n">
        <f aca="false">IF(AND(A333&gt;Risk_Metrics!$C$28,P333&gt;=Risk_Metrics!$C$30),1,0)</f>
        <v>1</v>
      </c>
      <c r="U333" s="26" t="n">
        <f aca="false">IF(A333=Inputs!$C$12,"",K333)</f>
        <v>-0.0101524408470279</v>
      </c>
    </row>
    <row r="334" customFormat="false" ht="15" hidden="false" customHeight="false" outlineLevel="0" collapsed="false">
      <c r="A334" s="25" t="n">
        <f aca="false">Prices!A335</f>
        <v>44201</v>
      </c>
      <c r="B334" s="26" t="n">
        <f aca="false">Prices!B335/Prices!B334-1</f>
        <v>-0.0152941323529412</v>
      </c>
      <c r="C334" s="26" t="n">
        <f aca="false">Prices!C335/Prices!C334-1</f>
        <v>0.00196790757520193</v>
      </c>
      <c r="D334" s="26" t="n">
        <f aca="false">Prices!D335/Prices!D334-1</f>
        <v>-0.00690971235737869</v>
      </c>
      <c r="E334" s="26" t="n">
        <f aca="false">Prices!E335/Prices!E334-1</f>
        <v>-0.0059014754485317</v>
      </c>
      <c r="F334" s="26" t="n">
        <f aca="false">Prices!F335/Prices!F334-1</f>
        <v>-0.0201571710345725</v>
      </c>
      <c r="G334" s="26" t="n">
        <f aca="false">Prices!G335/Prices!G334-1</f>
        <v>0.00133042134502981</v>
      </c>
      <c r="H334" s="26" t="n">
        <f aca="false">Prices!H335/Prices!H334-1</f>
        <v>0.0390868557592528</v>
      </c>
      <c r="I334" s="26" t="n">
        <f aca="false">Prices!I335/Prices!I334-1</f>
        <v>-0.00327639765464538</v>
      </c>
      <c r="J334" s="26" t="n">
        <f aca="false">Prices!J335/Prices!J334-1</f>
        <v>0.0168379730684232</v>
      </c>
      <c r="K334" s="26" t="n">
        <f aca="false">SUMPRODUCT(B334:J334,Optimization!$C$7:$K$7)</f>
        <v>0.000853807655537577</v>
      </c>
      <c r="L334" s="26" t="n">
        <f aca="false">SUMPRODUCT(B334:J334,Optimization!$C$8:$K$8)</f>
        <v>-0.00278541233339987</v>
      </c>
      <c r="M334" s="26" t="n">
        <f aca="false">SUMPRODUCT(B334:J334,Optimization!$C$9:$K$9)</f>
        <v>-0.00121336816910827</v>
      </c>
      <c r="N334" s="26" t="n">
        <f aca="false">SUMPRODUCT(B334:J334,Optimization!$C$10:$K$10)</f>
        <v>-0.00355482518749898</v>
      </c>
      <c r="O334" s="27" t="n">
        <f aca="false">IF(AND(A334&gt;=Inputs!$C$6,A334&lt;=Inputs!$C$7),1,0)</f>
        <v>0</v>
      </c>
      <c r="P334" s="28" t="n">
        <f aca="false">P333*(1+K334)</f>
        <v>142.582397572052</v>
      </c>
      <c r="Q334" s="28" t="n">
        <f aca="false">MAX(Q333,P334)</f>
        <v>143.921922284159</v>
      </c>
      <c r="R334" s="29" t="n">
        <f aca="false">P334/Q334-1</f>
        <v>-0.00930730142320813</v>
      </c>
      <c r="S334" s="26" t="n">
        <f aca="false">IF(A334=Inputs!$C$12,"",F334)</f>
        <v>-0.0201571710345725</v>
      </c>
      <c r="T334" s="27" t="n">
        <f aca="false">IF(AND(A334&gt;Risk_Metrics!$C$28,P334&gt;=Risk_Metrics!$C$30),1,0)</f>
        <v>1</v>
      </c>
      <c r="U334" s="26" t="n">
        <f aca="false">IF(A334=Inputs!$C$12,"",K334)</f>
        <v>0.000853807655537577</v>
      </c>
    </row>
    <row r="335" customFormat="false" ht="15" hidden="false" customHeight="false" outlineLevel="0" collapsed="false">
      <c r="A335" s="25" t="n">
        <f aca="false">Prices!A336</f>
        <v>44202</v>
      </c>
      <c r="B335" s="26" t="n">
        <f aca="false">Prices!B336/Prices!B335-1</f>
        <v>-0.0591397708951578</v>
      </c>
      <c r="C335" s="26" t="n">
        <f aca="false">Prices!C336/Prices!C335-1</f>
        <v>-0.0163666445766507</v>
      </c>
      <c r="D335" s="26" t="n">
        <f aca="false">Prices!D336/Prices!D335-1</f>
        <v>0.0189408574046828</v>
      </c>
      <c r="E335" s="26" t="n">
        <f aca="false">Prices!E336/Prices!E335-1</f>
        <v>-0.0575838108155452</v>
      </c>
      <c r="F335" s="26" t="n">
        <f aca="false">Prices!F336/Prices!F335-1</f>
        <v>-0.0585640192539109</v>
      </c>
      <c r="G335" s="26" t="n">
        <f aca="false">Prices!G336/Prices!G335-1</f>
        <v>-0.0425154561558901</v>
      </c>
      <c r="H335" s="26" t="n">
        <f aca="false">Prices!H336/Prices!H335-1</f>
        <v>0.00199730352871841</v>
      </c>
      <c r="I335" s="26" t="n">
        <f aca="false">Prices!I336/Prices!I335-1</f>
        <v>-0.0211317035809783</v>
      </c>
      <c r="J335" s="26" t="n">
        <f aca="false">Prices!J336/Prices!J335-1</f>
        <v>0.0327957311827958</v>
      </c>
      <c r="K335" s="26" t="n">
        <f aca="false">SUMPRODUCT(B335:J335,Optimization!$C$7:$K$7)</f>
        <v>-0.0223963903513262</v>
      </c>
      <c r="L335" s="26" t="n">
        <f aca="false">SUMPRODUCT(B335:J335,Optimization!$C$8:$K$8)</f>
        <v>0.000414618330928763</v>
      </c>
      <c r="M335" s="26" t="n">
        <f aca="false">SUMPRODUCT(B335:J335,Optimization!$C$9:$K$9)</f>
        <v>-0.0030769223004937</v>
      </c>
      <c r="N335" s="26" t="n">
        <f aca="false">SUMPRODUCT(B335:J335,Optimization!$C$10:$K$10)</f>
        <v>0.000814222247535748</v>
      </c>
      <c r="O335" s="27" t="n">
        <f aca="false">IF(AND(A335&gt;=Inputs!$C$6,A335&lt;=Inputs!$C$7),1,0)</f>
        <v>0</v>
      </c>
      <c r="P335" s="28" t="n">
        <f aca="false">P334*(1+K335)</f>
        <v>139.389066538801</v>
      </c>
      <c r="Q335" s="28" t="n">
        <f aca="false">MAX(Q334,P335)</f>
        <v>143.921922284159</v>
      </c>
      <c r="R335" s="29" t="n">
        <f aca="false">P335/Q335-1</f>
        <v>-0.0314952418187426</v>
      </c>
      <c r="S335" s="26" t="n">
        <f aca="false">IF(A335=Inputs!$C$12,"",F335)</f>
        <v>-0.0585640192539109</v>
      </c>
      <c r="T335" s="27" t="n">
        <f aca="false">IF(AND(A335&gt;Risk_Metrics!$C$28,P335&gt;=Risk_Metrics!$C$30),1,0)</f>
        <v>1</v>
      </c>
      <c r="U335" s="26" t="n">
        <f aca="false">IF(A335=Inputs!$C$12,"",K335)</f>
        <v>-0.0223963903513262</v>
      </c>
    </row>
    <row r="336" customFormat="false" ht="15" hidden="false" customHeight="false" outlineLevel="0" collapsed="false">
      <c r="A336" s="25" t="n">
        <f aca="false">Prices!A337</f>
        <v>44203</v>
      </c>
      <c r="B336" s="26" t="n">
        <f aca="false">Prices!B337/Prices!B336-1</f>
        <v>-0.001269873015873</v>
      </c>
      <c r="C336" s="26" t="n">
        <f aca="false">Prices!C337/Prices!C336-1</f>
        <v>0.0279533615300061</v>
      </c>
      <c r="D336" s="26" t="n">
        <f aca="false">Prices!D337/Prices!D336-1</f>
        <v>0.0531107339487582</v>
      </c>
      <c r="E336" s="26" t="n">
        <f aca="false">Prices!E337/Prices!E336-1</f>
        <v>0.0474016062992126</v>
      </c>
      <c r="F336" s="26" t="n">
        <f aca="false">Prices!F337/Prices!F336-1</f>
        <v>-0.0123561573223757</v>
      </c>
      <c r="G336" s="26" t="n">
        <f aca="false">Prices!G337/Prices!G336-1</f>
        <v>-0.000925115590882597</v>
      </c>
      <c r="H336" s="26" t="n">
        <f aca="false">Prices!H337/Prices!H336-1</f>
        <v>0.0299003322259135</v>
      </c>
      <c r="I336" s="26" t="n">
        <f aca="false">Prices!I337/Prices!I336-1</f>
        <v>-0.0153514693777465</v>
      </c>
      <c r="J336" s="26" t="n">
        <f aca="false">Prices!J337/Prices!J336-1</f>
        <v>0.0652784675082205</v>
      </c>
      <c r="K336" s="26" t="n">
        <f aca="false">SUMPRODUCT(B336:J336,Optimization!$C$7:$K$7)</f>
        <v>0.0215268762450259</v>
      </c>
      <c r="L336" s="26" t="n">
        <f aca="false">SUMPRODUCT(B336:J336,Optimization!$C$8:$K$8)</f>
        <v>0.0365364107732159</v>
      </c>
      <c r="M336" s="26" t="n">
        <f aca="false">SUMPRODUCT(B336:J336,Optimization!$C$9:$K$9)</f>
        <v>0.0326916739677444</v>
      </c>
      <c r="N336" s="26" t="n">
        <f aca="false">SUMPRODUCT(B336:J336,Optimization!$C$10:$K$10)</f>
        <v>0.0393440387478671</v>
      </c>
      <c r="O336" s="27" t="n">
        <f aca="false">IF(AND(A336&gt;=Inputs!$C$6,A336&lt;=Inputs!$C$7),1,0)</f>
        <v>0</v>
      </c>
      <c r="P336" s="28" t="n">
        <f aca="false">P335*(1+K336)</f>
        <v>142.389677724091</v>
      </c>
      <c r="Q336" s="28" t="n">
        <f aca="false">MAX(Q335,P336)</f>
        <v>143.921922284159</v>
      </c>
      <c r="R336" s="29" t="n">
        <f aca="false">P336/Q336-1</f>
        <v>-0.0106463597466561</v>
      </c>
      <c r="S336" s="26" t="n">
        <f aca="false">IF(A336=Inputs!$C$12,"",F336)</f>
        <v>-0.0123561573223757</v>
      </c>
      <c r="T336" s="27" t="n">
        <f aca="false">IF(AND(A336&gt;Risk_Metrics!$C$28,P336&gt;=Risk_Metrics!$C$30),1,0)</f>
        <v>1</v>
      </c>
      <c r="U336" s="26" t="n">
        <f aca="false">IF(A336=Inputs!$C$12,"",K336)</f>
        <v>0.0215268762450259</v>
      </c>
    </row>
    <row r="337" customFormat="false" ht="15" hidden="false" customHeight="false" outlineLevel="0" collapsed="false">
      <c r="A337" s="25" t="n">
        <f aca="false">Prices!A338</f>
        <v>44204</v>
      </c>
      <c r="B337" s="26" t="n">
        <f aca="false">Prices!B338/Prices!B337-1</f>
        <v>0.0187539738955491</v>
      </c>
      <c r="C337" s="26" t="n">
        <f aca="false">Prices!C338/Prices!C337-1</f>
        <v>0.0147297193091434</v>
      </c>
      <c r="D337" s="26" t="n">
        <f aca="false">Prices!D338/Prices!D337-1</f>
        <v>0.040706015850144</v>
      </c>
      <c r="E337" s="26" t="n">
        <f aca="false">Prices!E338/Prices!E337-1</f>
        <v>0.0675086132157987</v>
      </c>
      <c r="F337" s="26" t="n">
        <f aca="false">Prices!F338/Prices!F337-1</f>
        <v>0.0284728213977568</v>
      </c>
      <c r="G337" s="26" t="n">
        <f aca="false">Prices!G338/Prices!G337-1</f>
        <v>0.0361110648148149</v>
      </c>
      <c r="H337" s="26" t="n">
        <f aca="false">Prices!H338/Prices!H337-1</f>
        <v>0.00387099999999996</v>
      </c>
      <c r="I337" s="26" t="n">
        <f aca="false">Prices!I338/Prices!I337-1</f>
        <v>0.0409257632526647</v>
      </c>
      <c r="J337" s="26" t="n">
        <f aca="false">Prices!J338/Prices!J337-1</f>
        <v>-0.00312744331508985</v>
      </c>
      <c r="K337" s="26" t="n">
        <f aca="false">SUMPRODUCT(B337:J337,Optimization!$C$7:$K$7)</f>
        <v>0.0275501698245313</v>
      </c>
      <c r="L337" s="26" t="n">
        <f aca="false">SUMPRODUCT(B337:J337,Optimization!$C$8:$K$8)</f>
        <v>0.0266571999885246</v>
      </c>
      <c r="M337" s="26" t="n">
        <f aca="false">SUMPRODUCT(B337:J337,Optimization!$C$9:$K$9)</f>
        <v>0.0227733534867932</v>
      </c>
      <c r="N337" s="26" t="n">
        <f aca="false">SUMPRODUCT(B337:J337,Optimization!$C$10:$K$10)</f>
        <v>0.0267828777784464</v>
      </c>
      <c r="O337" s="27" t="n">
        <f aca="false">IF(AND(A337&gt;=Inputs!$C$6,A337&lt;=Inputs!$C$7),1,0)</f>
        <v>0</v>
      </c>
      <c r="P337" s="28" t="n">
        <f aca="false">P336*(1+K337)</f>
        <v>146.31253752665</v>
      </c>
      <c r="Q337" s="28" t="n">
        <f aca="false">MAX(Q336,P337)</f>
        <v>146.31253752665</v>
      </c>
      <c r="R337" s="29" t="n">
        <f aca="false">P337/Q337-1</f>
        <v>0</v>
      </c>
      <c r="S337" s="26" t="n">
        <f aca="false">IF(A337=Inputs!$C$12,"",F337)</f>
        <v>0.0284728213977568</v>
      </c>
      <c r="T337" s="27" t="n">
        <f aca="false">IF(AND(A337&gt;Risk_Metrics!$C$28,P337&gt;=Risk_Metrics!$C$30),1,0)</f>
        <v>1</v>
      </c>
      <c r="U337" s="26" t="n">
        <f aca="false">IF(A337=Inputs!$C$12,"",K337)</f>
        <v>0.0275501698245313</v>
      </c>
    </row>
    <row r="338" customFormat="false" ht="15" hidden="false" customHeight="false" outlineLevel="0" collapsed="false">
      <c r="A338" s="25" t="n">
        <f aca="false">Prices!A339</f>
        <v>44207</v>
      </c>
      <c r="B338" s="26" t="n">
        <f aca="false">Prices!B339/Prices!B338-1</f>
        <v>-0.01560062451172</v>
      </c>
      <c r="C338" s="26" t="n">
        <f aca="false">Prices!C339/Prices!C338-1</f>
        <v>-0.0411548425954647</v>
      </c>
      <c r="D338" s="26" t="n">
        <f aca="false">Prices!D339/Prices!D338-1</f>
        <v>0.0211146078613571</v>
      </c>
      <c r="E338" s="26" t="n">
        <f aca="false">Prices!E339/Prices!E338-1</f>
        <v>-0.0194365774647888</v>
      </c>
      <c r="F338" s="26" t="n">
        <f aca="false">Prices!F339/Prices!F338-1</f>
        <v>-0.0192953439597314</v>
      </c>
      <c r="G338" s="26" t="n">
        <f aca="false">Prices!G339/Prices!G338-1</f>
        <v>-0.0428953995931813</v>
      </c>
      <c r="H338" s="26" t="n">
        <f aca="false">Prices!H339/Prices!H338-1</f>
        <v>-0.00835475551559262</v>
      </c>
      <c r="I338" s="26" t="n">
        <f aca="false">Prices!I339/Prices!I338-1</f>
        <v>-0.00748891601565282</v>
      </c>
      <c r="J338" s="26" t="n">
        <f aca="false">Prices!J339/Prices!J338-1</f>
        <v>-0.000196049019607902</v>
      </c>
      <c r="K338" s="26" t="n">
        <f aca="false">SUMPRODUCT(B338:J338,Optimization!$C$7:$K$7)</f>
        <v>-0.0148119889793758</v>
      </c>
      <c r="L338" s="26" t="n">
        <f aca="false">SUMPRODUCT(B338:J338,Optimization!$C$8:$K$8)</f>
        <v>0.000892143757642544</v>
      </c>
      <c r="M338" s="26" t="n">
        <f aca="false">SUMPRODUCT(B338:J338,Optimization!$C$9:$K$9)</f>
        <v>-0.0036933987606681</v>
      </c>
      <c r="N338" s="26" t="n">
        <f aca="false">SUMPRODUCT(B338:J338,Optimization!$C$10:$K$10)</f>
        <v>0.0018586026264353</v>
      </c>
      <c r="O338" s="27" t="n">
        <f aca="false">IF(AND(A338&gt;=Inputs!$C$6,A338&lt;=Inputs!$C$7),1,0)</f>
        <v>0</v>
      </c>
      <c r="P338" s="28" t="n">
        <f aca="false">P337*(1+K338)</f>
        <v>144.145357833261</v>
      </c>
      <c r="Q338" s="28" t="n">
        <f aca="false">MAX(Q337,P338)</f>
        <v>146.31253752665</v>
      </c>
      <c r="R338" s="29" t="n">
        <f aca="false">P338/Q338-1</f>
        <v>-0.014811988979376</v>
      </c>
      <c r="S338" s="26" t="n">
        <f aca="false">IF(A338=Inputs!$C$12,"",F338)</f>
        <v>-0.0192953439597314</v>
      </c>
      <c r="T338" s="27" t="n">
        <f aca="false">IF(AND(A338&gt;Risk_Metrics!$C$28,P338&gt;=Risk_Metrics!$C$30),1,0)</f>
        <v>1</v>
      </c>
      <c r="U338" s="26" t="n">
        <f aca="false">IF(A338=Inputs!$C$12,"",K338)</f>
        <v>-0.0148119889793758</v>
      </c>
    </row>
    <row r="339" customFormat="false" ht="15" hidden="false" customHeight="false" outlineLevel="0" collapsed="false">
      <c r="A339" s="25" t="n">
        <f aca="false">Prices!A340</f>
        <v>44208</v>
      </c>
      <c r="B339" s="26" t="n">
        <f aca="false">Prices!B340/Prices!B339-1</f>
        <v>0.0112520288827902</v>
      </c>
      <c r="C339" s="26" t="n">
        <f aca="false">Prices!C340/Prices!C339-1</f>
        <v>0.0289469301456176</v>
      </c>
      <c r="D339" s="26" t="n">
        <f aca="false">Prices!D340/Prices!D339-1</f>
        <v>0.00644071186440676</v>
      </c>
      <c r="E339" s="26" t="n">
        <f aca="false">Prices!E340/Prices!E339-1</f>
        <v>0.0209709700816876</v>
      </c>
      <c r="F339" s="26" t="n">
        <f aca="false">Prices!F340/Prices!F339-1</f>
        <v>0.0119760911880278</v>
      </c>
      <c r="G339" s="26" t="n">
        <f aca="false">Prices!G340/Prices!G339-1</f>
        <v>0.0102707282913164</v>
      </c>
      <c r="H339" s="26" t="n">
        <f aca="false">Prices!H340/Prices!H339-1</f>
        <v>-0.00745307817715235</v>
      </c>
      <c r="I339" s="26" t="n">
        <f aca="false">Prices!I340/Prices!I339-1</f>
        <v>0.000235796033280611</v>
      </c>
      <c r="J339" s="26" t="n">
        <f aca="false">Prices!J340/Prices!J339-1</f>
        <v>-0.0273583145511379</v>
      </c>
      <c r="K339" s="26" t="n">
        <f aca="false">SUMPRODUCT(B339:J339,Optimization!$C$7:$K$7)</f>
        <v>0.0061424293065374</v>
      </c>
      <c r="L339" s="26" t="n">
        <f aca="false">SUMPRODUCT(B339:J339,Optimization!$C$8:$K$8)</f>
        <v>0.0039271613553923</v>
      </c>
      <c r="M339" s="26" t="n">
        <f aca="false">SUMPRODUCT(B339:J339,Optimization!$C$9:$K$9)</f>
        <v>0.00202201148886727</v>
      </c>
      <c r="N339" s="26" t="n">
        <f aca="false">SUMPRODUCT(B339:J339,Optimization!$C$10:$K$10)</f>
        <v>0.00520639537752097</v>
      </c>
      <c r="O339" s="27" t="n">
        <f aca="false">IF(AND(A339&gt;=Inputs!$C$6,A339&lt;=Inputs!$C$7),1,0)</f>
        <v>0</v>
      </c>
      <c r="P339" s="28" t="n">
        <f aca="false">P338*(1+K339)</f>
        <v>145.030760503617</v>
      </c>
      <c r="Q339" s="28" t="n">
        <f aca="false">MAX(Q338,P339)</f>
        <v>146.31253752665</v>
      </c>
      <c r="R339" s="29" t="n">
        <f aca="false">P339/Q339-1</f>
        <v>-0.00876054126803361</v>
      </c>
      <c r="S339" s="26" t="n">
        <f aca="false">IF(A339=Inputs!$C$12,"",F339)</f>
        <v>0.0119760911880278</v>
      </c>
      <c r="T339" s="27" t="n">
        <f aca="false">IF(AND(A339&gt;Risk_Metrics!$C$28,P339&gt;=Risk_Metrics!$C$30),1,0)</f>
        <v>1</v>
      </c>
      <c r="U339" s="26" t="n">
        <f aca="false">IF(A339=Inputs!$C$12,"",K339)</f>
        <v>0.0061424293065374</v>
      </c>
    </row>
    <row r="340" customFormat="false" ht="15" hidden="false" customHeight="false" outlineLevel="0" collapsed="false">
      <c r="A340" s="25" t="n">
        <f aca="false">Prices!A341</f>
        <v>44209</v>
      </c>
      <c r="B340" s="26" t="n">
        <f aca="false">Prices!B341/Prices!B340-1</f>
        <v>-0.0001567465889869</v>
      </c>
      <c r="C340" s="26" t="n">
        <f aca="false">Prices!C341/Prices!C340-1</f>
        <v>0.00404206945768681</v>
      </c>
      <c r="D340" s="26" t="n">
        <f aca="false">Prices!D341/Prices!D340-1</f>
        <v>-0.0272819795459083</v>
      </c>
      <c r="E340" s="26" t="n">
        <f aca="false">Prices!E341/Prices!E340-1</f>
        <v>-0.000422045570566909</v>
      </c>
      <c r="F340" s="26" t="n">
        <f aca="false">Prices!F341/Prices!F340-1</f>
        <v>-0.00253592561284866</v>
      </c>
      <c r="G340" s="26" t="n">
        <f aca="false">Prices!G341/Prices!G340-1</f>
        <v>-0.00739366947290521</v>
      </c>
      <c r="H340" s="26" t="n">
        <f aca="false">Prices!H341/Prices!H340-1</f>
        <v>-0.0483186107841532</v>
      </c>
      <c r="I340" s="26" t="n">
        <f aca="false">Prices!I341/Prices!I340-1</f>
        <v>0.00542200527323633</v>
      </c>
      <c r="J340" s="26" t="n">
        <f aca="false">Prices!J341/Prices!J340-1</f>
        <v>-0.0299425440076109</v>
      </c>
      <c r="K340" s="26" t="n">
        <f aca="false">SUMPRODUCT(B340:J340,Optimization!$C$7:$K$7)</f>
        <v>-0.0118430496502285</v>
      </c>
      <c r="L340" s="26" t="n">
        <f aca="false">SUMPRODUCT(B340:J340,Optimization!$C$8:$K$8)</f>
        <v>-0.0161494133130206</v>
      </c>
      <c r="M340" s="26" t="n">
        <f aca="false">SUMPRODUCT(B340:J340,Optimization!$C$9:$K$9)</f>
        <v>-0.0137646467997962</v>
      </c>
      <c r="N340" s="26" t="n">
        <f aca="false">SUMPRODUCT(B340:J340,Optimization!$C$10:$K$10)</f>
        <v>-0.0173771103472644</v>
      </c>
      <c r="O340" s="27" t="n">
        <f aca="false">IF(AND(A340&gt;=Inputs!$C$6,A340&lt;=Inputs!$C$7),1,0)</f>
        <v>0</v>
      </c>
      <c r="P340" s="28" t="n">
        <f aca="false">P339*(1+K340)</f>
        <v>143.313154006163</v>
      </c>
      <c r="Q340" s="28" t="n">
        <f aca="false">MAX(Q339,P340)</f>
        <v>146.31253752665</v>
      </c>
      <c r="R340" s="29" t="n">
        <f aca="false">P340/Q340-1</f>
        <v>-0.0204998393930619</v>
      </c>
      <c r="S340" s="26" t="n">
        <f aca="false">IF(A340=Inputs!$C$12,"",F340)</f>
        <v>-0.00253592561284866</v>
      </c>
      <c r="T340" s="27" t="n">
        <f aca="false">IF(AND(A340&gt;Risk_Metrics!$C$28,P340&gt;=Risk_Metrics!$C$30),1,0)</f>
        <v>1</v>
      </c>
      <c r="U340" s="26" t="n">
        <f aca="false">IF(A340=Inputs!$C$12,"",K340)</f>
        <v>-0.0118430496502285</v>
      </c>
    </row>
    <row r="341" customFormat="false" ht="15" hidden="false" customHeight="false" outlineLevel="0" collapsed="false">
      <c r="A341" s="25" t="n">
        <f aca="false">Prices!A342</f>
        <v>44210</v>
      </c>
      <c r="B341" s="26" t="n">
        <f aca="false">Prices!B342/Prices!B341-1</f>
        <v>0.0377742952629199</v>
      </c>
      <c r="C341" s="26" t="n">
        <f aca="false">Prices!C342/Prices!C341-1</f>
        <v>-0.00708541028572907</v>
      </c>
      <c r="D341" s="26" t="n">
        <f aca="false">Prices!D342/Prices!D341-1</f>
        <v>-0.015927943764818</v>
      </c>
      <c r="E341" s="26" t="n">
        <f aca="false">Prices!E342/Prices!E341-1</f>
        <v>0.0405347906881863</v>
      </c>
      <c r="F341" s="26" t="n">
        <f aca="false">Prices!F342/Prices!F341-1</f>
        <v>0.0161016949152542</v>
      </c>
      <c r="G341" s="26" t="n">
        <f aca="false">Prices!G342/Prices!G341-1</f>
        <v>0.0214153165735567</v>
      </c>
      <c r="H341" s="26" t="n">
        <f aca="false">Prices!H342/Prices!H341-1</f>
        <v>0.010291629502573</v>
      </c>
      <c r="I341" s="26" t="n">
        <f aca="false">Prices!I342/Prices!I341-1</f>
        <v>0.00445486419064256</v>
      </c>
      <c r="J341" s="26" t="n">
        <f aca="false">Prices!J342/Prices!J341-1</f>
        <v>0.0164207231716824</v>
      </c>
      <c r="K341" s="26" t="n">
        <f aca="false">SUMPRODUCT(B341:J341,Optimization!$C$7:$K$7)</f>
        <v>0.0137755511393631</v>
      </c>
      <c r="L341" s="26" t="n">
        <f aca="false">SUMPRODUCT(B341:J341,Optimization!$C$8:$K$8)</f>
        <v>0.00101292824734249</v>
      </c>
      <c r="M341" s="26" t="n">
        <f aca="false">SUMPRODUCT(B341:J341,Optimization!$C$9:$K$9)</f>
        <v>0.0055560094520779</v>
      </c>
      <c r="N341" s="26" t="n">
        <f aca="false">SUMPRODUCT(B341:J341,Optimization!$C$10:$K$10)</f>
        <v>0.000317612874789186</v>
      </c>
      <c r="O341" s="27" t="n">
        <f aca="false">IF(AND(A341&gt;=Inputs!$C$6,A341&lt;=Inputs!$C$7),1,0)</f>
        <v>0</v>
      </c>
      <c r="P341" s="28" t="n">
        <f aca="false">P340*(1+K341)</f>
        <v>145.287371688118</v>
      </c>
      <c r="Q341" s="28" t="n">
        <f aca="false">MAX(Q340,P341)</f>
        <v>146.31253752665</v>
      </c>
      <c r="R341" s="29" t="n">
        <f aca="false">P341/Q341-1</f>
        <v>-0.00700668483960665</v>
      </c>
      <c r="S341" s="26" t="n">
        <f aca="false">IF(A341=Inputs!$C$12,"",F341)</f>
        <v>0.0161016949152542</v>
      </c>
      <c r="T341" s="27" t="n">
        <f aca="false">IF(AND(A341&gt;Risk_Metrics!$C$28,P341&gt;=Risk_Metrics!$C$30),1,0)</f>
        <v>1</v>
      </c>
      <c r="U341" s="26" t="n">
        <f aca="false">IF(A341=Inputs!$C$12,"",K341)</f>
        <v>0.0137755511393631</v>
      </c>
    </row>
    <row r="342" customFormat="false" ht="15" hidden="false" customHeight="false" outlineLevel="0" collapsed="false">
      <c r="A342" s="25" t="n">
        <f aca="false">Prices!A343</f>
        <v>44211</v>
      </c>
      <c r="B342" s="26" t="n">
        <f aca="false">Prices!B343/Prices!B342-1</f>
        <v>0.0181242262214807</v>
      </c>
      <c r="C342" s="26" t="n">
        <f aca="false">Prices!C343/Prices!C342-1</f>
        <v>-0.0298409995108823</v>
      </c>
      <c r="D342" s="26" t="n">
        <f aca="false">Prices!D343/Prices!D342-1</f>
        <v>0.0165376143560871</v>
      </c>
      <c r="E342" s="26" t="n">
        <f aca="false">Prices!E343/Prices!E342-1</f>
        <v>-0.0435547274448804</v>
      </c>
      <c r="F342" s="26" t="n">
        <f aca="false">Prices!F343/Prices!F342-1</f>
        <v>0.0133444120100084</v>
      </c>
      <c r="G342" s="26" t="n">
        <f aca="false">Prices!G343/Prices!G342-1</f>
        <v>-0.0268915666868018</v>
      </c>
      <c r="H342" s="26" t="n">
        <f aca="false">Prices!H343/Prices!H342-1</f>
        <v>-0.0451612887890904</v>
      </c>
      <c r="I342" s="26" t="n">
        <f aca="false">Prices!I343/Prices!I342-1</f>
        <v>-0.0156396365157423</v>
      </c>
      <c r="J342" s="26" t="n">
        <f aca="false">Prices!J343/Prices!J342-1</f>
        <v>-0.0434560313868293</v>
      </c>
      <c r="K342" s="26" t="n">
        <f aca="false">SUMPRODUCT(B342:J342,Optimization!$C$7:$K$7)</f>
        <v>-0.0173931108607389</v>
      </c>
      <c r="L342" s="26" t="n">
        <f aca="false">SUMPRODUCT(B342:J342,Optimization!$C$8:$K$8)</f>
        <v>-0.00235148080524556</v>
      </c>
      <c r="M342" s="26" t="n">
        <f aca="false">SUMPRODUCT(B342:J342,Optimization!$C$9:$K$9)</f>
        <v>-0.00819868677142452</v>
      </c>
      <c r="N342" s="26" t="n">
        <f aca="false">SUMPRODUCT(B342:J342,Optimization!$C$10:$K$10)</f>
        <v>0.000464119525583712</v>
      </c>
      <c r="O342" s="27" t="n">
        <f aca="false">IF(AND(A342&gt;=Inputs!$C$6,A342&lt;=Inputs!$C$7),1,0)</f>
        <v>0</v>
      </c>
      <c r="P342" s="28" t="n">
        <f aca="false">P341*(1+K342)</f>
        <v>142.760372325681</v>
      </c>
      <c r="Q342" s="28" t="n">
        <f aca="false">MAX(Q341,P342)</f>
        <v>146.31253752665</v>
      </c>
      <c r="R342" s="29" t="n">
        <f aca="false">P342/Q342-1</f>
        <v>-0.024277927654164</v>
      </c>
      <c r="S342" s="26" t="n">
        <f aca="false">IF(A342=Inputs!$C$12,"",F342)</f>
        <v>0.0133444120100084</v>
      </c>
      <c r="T342" s="27" t="n">
        <f aca="false">IF(AND(A342&gt;Risk_Metrics!$C$28,P342&gt;=Risk_Metrics!$C$30),1,0)</f>
        <v>1</v>
      </c>
      <c r="U342" s="26" t="n">
        <f aca="false">IF(A342=Inputs!$C$12,"",K342)</f>
        <v>-0.0173931108607389</v>
      </c>
    </row>
    <row r="343" customFormat="false" ht="15" hidden="false" customHeight="false" outlineLevel="0" collapsed="false">
      <c r="A343" s="25" t="n">
        <f aca="false">Prices!A344</f>
        <v>44214</v>
      </c>
      <c r="B343" s="26" t="n">
        <f aca="false">Prices!B344/Prices!B343-1</f>
        <v>0.0192848972386948</v>
      </c>
      <c r="C343" s="26" t="n">
        <f aca="false">Prices!C344/Prices!C343-1</f>
        <v>0.0163823963699903</v>
      </c>
      <c r="D343" s="26" t="n">
        <f aca="false">Prices!D344/Prices!D343-1</f>
        <v>0.013845691029619</v>
      </c>
      <c r="E343" s="26" t="n">
        <f aca="false">Prices!E344/Prices!E343-1</f>
        <v>-0.000282803002160881</v>
      </c>
      <c r="F343" s="26" t="n">
        <f aca="false">Prices!F344/Prices!F343-1</f>
        <v>0.00288074085928969</v>
      </c>
      <c r="G343" s="26" t="n">
        <f aca="false">Prices!G344/Prices!G343-1</f>
        <v>0.00327868852459012</v>
      </c>
      <c r="H343" s="26" t="n">
        <f aca="false">Prices!H344/Prices!H343-1</f>
        <v>-0.00177812938200106</v>
      </c>
      <c r="I343" s="26" t="n">
        <f aca="false">Prices!I344/Prices!I343-1</f>
        <v>-0.010433896421688</v>
      </c>
      <c r="J343" s="26" t="n">
        <f aca="false">Prices!J344/Prices!J343-1</f>
        <v>0.00812394415422935</v>
      </c>
      <c r="K343" s="26" t="n">
        <f aca="false">SUMPRODUCT(B343:J343,Optimization!$C$7:$K$7)</f>
        <v>0.00570016993006258</v>
      </c>
      <c r="L343" s="26" t="n">
        <f aca="false">SUMPRODUCT(B343:J343,Optimization!$C$8:$K$8)</f>
        <v>0.0116809299597899</v>
      </c>
      <c r="M343" s="26" t="n">
        <f aca="false">SUMPRODUCT(B343:J343,Optimization!$C$9:$K$9)</f>
        <v>0.0105580300127324</v>
      </c>
      <c r="N343" s="26" t="n">
        <f aca="false">SUMPRODUCT(B343:J343,Optimization!$C$10:$K$10)</f>
        <v>0.0134617826338345</v>
      </c>
      <c r="O343" s="27" t="n">
        <f aca="false">IF(AND(A343&gt;=Inputs!$C$6,A343&lt;=Inputs!$C$7),1,0)</f>
        <v>0</v>
      </c>
      <c r="P343" s="28" t="n">
        <f aca="false">P342*(1+K343)</f>
        <v>143.574130707216</v>
      </c>
      <c r="Q343" s="28" t="n">
        <f aca="false">MAX(Q342,P343)</f>
        <v>146.31253752665</v>
      </c>
      <c r="R343" s="29" t="n">
        <f aca="false">P343/Q343-1</f>
        <v>-0.0187161460372801</v>
      </c>
      <c r="S343" s="26" t="n">
        <f aca="false">IF(A343=Inputs!$C$12,"",F343)</f>
        <v>0.00288074085928969</v>
      </c>
      <c r="T343" s="27" t="n">
        <f aca="false">IF(AND(A343&gt;Risk_Metrics!$C$28,P343&gt;=Risk_Metrics!$C$30),1,0)</f>
        <v>1</v>
      </c>
      <c r="U343" s="26" t="n">
        <f aca="false">IF(A343=Inputs!$C$12,"",K343)</f>
        <v>0.00570016993006258</v>
      </c>
    </row>
    <row r="344" customFormat="false" ht="15" hidden="false" customHeight="false" outlineLevel="0" collapsed="false">
      <c r="A344" s="25" t="n">
        <f aca="false">Prices!A345</f>
        <v>44215</v>
      </c>
      <c r="B344" s="26" t="n">
        <f aca="false">Prices!B345/Prices!B344-1</f>
        <v>0.022413055194485</v>
      </c>
      <c r="C344" s="26" t="n">
        <f aca="false">Prices!C345/Prices!C344-1</f>
        <v>-0.0034538981399308</v>
      </c>
      <c r="D344" s="26" t="n">
        <f aca="false">Prices!D345/Prices!D344-1</f>
        <v>-0.00341413440033689</v>
      </c>
      <c r="E344" s="26" t="n">
        <f aca="false">Prices!E345/Prices!E344-1</f>
        <v>-0.0267364400414079</v>
      </c>
      <c r="F344" s="26" t="n">
        <f aca="false">Prices!F345/Prices!F344-1</f>
        <v>0.0114894948096227</v>
      </c>
      <c r="G344" s="26" t="n">
        <f aca="false">Prices!G345/Prices!G344-1</f>
        <v>-0.0107375816993466</v>
      </c>
      <c r="H344" s="26" t="n">
        <f aca="false">Prices!H345/Prices!H344-1</f>
        <v>0.0220876736729605</v>
      </c>
      <c r="I344" s="26" t="n">
        <f aca="false">Prices!I345/Prices!I344-1</f>
        <v>-0.0150971158009867</v>
      </c>
      <c r="J344" s="26" t="n">
        <f aca="false">Prices!J345/Prices!J344-1</f>
        <v>-0.0026508324175768</v>
      </c>
      <c r="K344" s="26" t="n">
        <f aca="false">SUMPRODUCT(B344:J344,Optimization!$C$7:$K$7)</f>
        <v>-0.000677753202501938</v>
      </c>
      <c r="L344" s="26" t="n">
        <f aca="false">SUMPRODUCT(B344:J344,Optimization!$C$8:$K$8)</f>
        <v>-0.000396930779599441</v>
      </c>
      <c r="M344" s="26" t="n">
        <f aca="false">SUMPRODUCT(B344:J344,Optimization!$C$9:$K$9)</f>
        <v>-6.169670067122E-005</v>
      </c>
      <c r="N344" s="26" t="n">
        <f aca="false">SUMPRODUCT(B344:J344,Optimization!$C$10:$K$10)</f>
        <v>0.000870998739601849</v>
      </c>
      <c r="O344" s="27" t="n">
        <f aca="false">IF(AND(A344&gt;=Inputs!$C$6,A344&lt;=Inputs!$C$7),1,0)</f>
        <v>0</v>
      </c>
      <c r="P344" s="28" t="n">
        <f aca="false">P343*(1+K344)</f>
        <v>143.476822880333</v>
      </c>
      <c r="Q344" s="28" t="n">
        <f aca="false">MAX(Q343,P344)</f>
        <v>146.31253752665</v>
      </c>
      <c r="R344" s="29" t="n">
        <f aca="false">P344/Q344-1</f>
        <v>-0.0193812143118668</v>
      </c>
      <c r="S344" s="26" t="n">
        <f aca="false">IF(A344=Inputs!$C$12,"",F344)</f>
        <v>0.0114894948096227</v>
      </c>
      <c r="T344" s="27" t="n">
        <f aca="false">IF(AND(A344&gt;Risk_Metrics!$C$28,P344&gt;=Risk_Metrics!$C$30),1,0)</f>
        <v>1</v>
      </c>
      <c r="U344" s="26" t="n">
        <f aca="false">IF(A344=Inputs!$C$12,"",K344)</f>
        <v>-0.000677753202501938</v>
      </c>
    </row>
    <row r="345" customFormat="false" ht="15" hidden="false" customHeight="false" outlineLevel="0" collapsed="false">
      <c r="A345" s="25" t="n">
        <f aca="false">Prices!A346</f>
        <v>44216</v>
      </c>
      <c r="B345" s="26" t="n">
        <f aca="false">Prices!B346/Prices!B345-1</f>
        <v>-0.00355871886120995</v>
      </c>
      <c r="C345" s="26" t="n">
        <f aca="false">Prices!C346/Prices!C345-1</f>
        <v>-0.00973759680248243</v>
      </c>
      <c r="D345" s="26" t="n">
        <f aca="false">Prices!D346/Prices!D345-1</f>
        <v>0.000685097612706631</v>
      </c>
      <c r="E345" s="26" t="n">
        <f aca="false">Prices!E346/Prices!E345-1</f>
        <v>0.0111918163724498</v>
      </c>
      <c r="F345" s="26" t="n">
        <f aca="false">Prices!F346/Prices!F345-1</f>
        <v>0.0405679513184585</v>
      </c>
      <c r="G345" s="26" t="n">
        <f aca="false">Prices!G346/Prices!G345-1</f>
        <v>-0.0108542703702562</v>
      </c>
      <c r="H345" s="26" t="n">
        <f aca="false">Prices!H346/Prices!H345-1</f>
        <v>-0.0167306372697582</v>
      </c>
      <c r="I345" s="26" t="n">
        <f aca="false">Prices!I346/Prices!I345-1</f>
        <v>-0.00486620773388491</v>
      </c>
      <c r="J345" s="26" t="n">
        <f aca="false">Prices!J346/Prices!J345-1</f>
        <v>-0.018498809664019</v>
      </c>
      <c r="K345" s="26" t="n">
        <f aca="false">SUMPRODUCT(B345:J345,Optimization!$C$7:$K$7)</f>
        <v>-0.00131126393311064</v>
      </c>
      <c r="L345" s="26" t="n">
        <f aca="false">SUMPRODUCT(B345:J345,Optimization!$C$8:$K$8)</f>
        <v>-0.0050575968272847</v>
      </c>
      <c r="M345" s="26" t="n">
        <f aca="false">SUMPRODUCT(B345:J345,Optimization!$C$9:$K$9)</f>
        <v>-0.00673662170774164</v>
      </c>
      <c r="N345" s="26" t="n">
        <f aca="false">SUMPRODUCT(B345:J345,Optimization!$C$10:$K$10)</f>
        <v>-0.00452427052059487</v>
      </c>
      <c r="O345" s="27" t="n">
        <f aca="false">IF(AND(A345&gt;=Inputs!$C$6,A345&lt;=Inputs!$C$7),1,0)</f>
        <v>0</v>
      </c>
      <c r="P345" s="28" t="n">
        <f aca="false">P344*(1+K345)</f>
        <v>143.288686897253</v>
      </c>
      <c r="Q345" s="28" t="n">
        <f aca="false">MAX(Q344,P345)</f>
        <v>146.31253752665</v>
      </c>
      <c r="R345" s="29" t="n">
        <f aca="false">P345/Q345-1</f>
        <v>-0.0206670643576704</v>
      </c>
      <c r="S345" s="26" t="n">
        <f aca="false">IF(A345=Inputs!$C$12,"",F345)</f>
        <v>0.0405679513184585</v>
      </c>
      <c r="T345" s="27" t="n">
        <f aca="false">IF(AND(A345&gt;Risk_Metrics!$C$28,P345&gt;=Risk_Metrics!$C$30),1,0)</f>
        <v>1</v>
      </c>
      <c r="U345" s="26" t="n">
        <f aca="false">IF(A345=Inputs!$C$12,"",K345)</f>
        <v>-0.00131126393311064</v>
      </c>
    </row>
    <row r="346" customFormat="false" ht="15" hidden="false" customHeight="false" outlineLevel="0" collapsed="false">
      <c r="A346" s="25" t="n">
        <f aca="false">Prices!A347</f>
        <v>44217</v>
      </c>
      <c r="B346" s="26" t="n">
        <f aca="false">Prices!B347/Prices!B346-1</f>
        <v>0</v>
      </c>
      <c r="C346" s="26" t="n">
        <f aca="false">Prices!C347/Prices!C346-1</f>
        <v>-0.03166665</v>
      </c>
      <c r="D346" s="26" t="n">
        <f aca="false">Prices!D347/Prices!D346-1</f>
        <v>-0.00410814803519854</v>
      </c>
      <c r="E346" s="26" t="n">
        <f aca="false">Prices!E347/Prices!E346-1</f>
        <v>-0.0238608020698576</v>
      </c>
      <c r="F346" s="26" t="n">
        <f aca="false">Prices!F347/Prices!F346-1</f>
        <v>-0.0140350487329434</v>
      </c>
      <c r="G346" s="26" t="n">
        <f aca="false">Prices!G347/Prices!G346-1</f>
        <v>-0.0176526248880069</v>
      </c>
      <c r="H346" s="26" t="n">
        <f aca="false">Prices!H347/Prices!H346-1</f>
        <v>-0.0233959597091797</v>
      </c>
      <c r="I346" s="26" t="n">
        <f aca="false">Prices!I347/Prices!I346-1</f>
        <v>-0.00880187148634459</v>
      </c>
      <c r="J346" s="26" t="n">
        <f aca="false">Prices!J347/Prices!J346-1</f>
        <v>0.0112651754766031</v>
      </c>
      <c r="K346" s="26" t="n">
        <f aca="false">SUMPRODUCT(B346:J346,Optimization!$C$7:$K$7)</f>
        <v>-0.0124728810494364</v>
      </c>
      <c r="L346" s="26" t="n">
        <f aca="false">SUMPRODUCT(B346:J346,Optimization!$C$8:$K$8)</f>
        <v>-0.00497644008189268</v>
      </c>
      <c r="M346" s="26" t="n">
        <f aca="false">SUMPRODUCT(B346:J346,Optimization!$C$9:$K$9)</f>
        <v>-0.00452624253262614</v>
      </c>
      <c r="N346" s="26" t="n">
        <f aca="false">SUMPRODUCT(B346:J346,Optimization!$C$10:$K$10)</f>
        <v>-0.00508047220111829</v>
      </c>
      <c r="O346" s="27" t="n">
        <f aca="false">IF(AND(A346&gt;=Inputs!$C$6,A346&lt;=Inputs!$C$7),1,0)</f>
        <v>0</v>
      </c>
      <c r="P346" s="28" t="n">
        <f aca="false">P345*(1+K346)</f>
        <v>141.501464149854</v>
      </c>
      <c r="Q346" s="28" t="n">
        <f aca="false">MAX(Q345,P346)</f>
        <v>146.31253752665</v>
      </c>
      <c r="R346" s="29" t="n">
        <f aca="false">P346/Q346-1</f>
        <v>-0.0328821675717325</v>
      </c>
      <c r="S346" s="26" t="n">
        <f aca="false">IF(A346=Inputs!$C$12,"",F346)</f>
        <v>-0.0140350487329434</v>
      </c>
      <c r="T346" s="27" t="n">
        <f aca="false">IF(AND(A346&gt;Risk_Metrics!$C$28,P346&gt;=Risk_Metrics!$C$30),1,0)</f>
        <v>1</v>
      </c>
      <c r="U346" s="26" t="n">
        <f aca="false">IF(A346=Inputs!$C$12,"",K346)</f>
        <v>-0.0124728810494364</v>
      </c>
    </row>
    <row r="347" customFormat="false" ht="15" hidden="false" customHeight="false" outlineLevel="0" collapsed="false">
      <c r="A347" s="25" t="n">
        <f aca="false">Prices!A348</f>
        <v>44218</v>
      </c>
      <c r="B347" s="26" t="n">
        <f aca="false">Prices!B348/Prices!B347-1</f>
        <v>-0.00742852857142862</v>
      </c>
      <c r="C347" s="26" t="n">
        <f aca="false">Prices!C348/Prices!C347-1</f>
        <v>0.0077452150129913</v>
      </c>
      <c r="D347" s="26" t="n">
        <f aca="false">Prices!D348/Prices!D347-1</f>
        <v>-0.0199381230663458</v>
      </c>
      <c r="E347" s="26" t="n">
        <f aca="false">Prices!E348/Prices!E347-1</f>
        <v>-0.00589017783005874</v>
      </c>
      <c r="F347" s="26" t="n">
        <f aca="false">Prices!F348/Prices!F347-1</f>
        <v>-0.0205615254819485</v>
      </c>
      <c r="G347" s="26" t="n">
        <f aca="false">Prices!G348/Prices!G347-1</f>
        <v>-0.0101991743564837</v>
      </c>
      <c r="H347" s="26" t="n">
        <f aca="false">Prices!H348/Prices!H347-1</f>
        <v>-0.0166968790089611</v>
      </c>
      <c r="I347" s="26" t="n">
        <f aca="false">Prices!I348/Prices!I347-1</f>
        <v>-0.0120868815088687</v>
      </c>
      <c r="J347" s="26" t="n">
        <f aca="false">Prices!J348/Prices!J347-1</f>
        <v>-0.00203516493107137</v>
      </c>
      <c r="K347" s="26" t="n">
        <f aca="false">SUMPRODUCT(B347:J347,Optimization!$C$7:$K$7)</f>
        <v>-0.00967680441579724</v>
      </c>
      <c r="L347" s="26" t="n">
        <f aca="false">SUMPRODUCT(B347:J347,Optimization!$C$8:$K$8)</f>
        <v>-0.0106347482683046</v>
      </c>
      <c r="M347" s="26" t="n">
        <f aca="false">SUMPRODUCT(B347:J347,Optimization!$C$9:$K$9)</f>
        <v>-0.00837133105515035</v>
      </c>
      <c r="N347" s="26" t="n">
        <f aca="false">SUMPRODUCT(B347:J347,Optimization!$C$10:$K$10)</f>
        <v>-0.0109874536272793</v>
      </c>
      <c r="O347" s="27" t="n">
        <f aca="false">IF(AND(A347&gt;=Inputs!$C$6,A347&lt;=Inputs!$C$7),1,0)</f>
        <v>0</v>
      </c>
      <c r="P347" s="28" t="n">
        <f aca="false">P346*(1+K347)</f>
        <v>140.132182156726</v>
      </c>
      <c r="Q347" s="28" t="n">
        <f aca="false">MAX(Q346,P347)</f>
        <v>146.31253752665</v>
      </c>
      <c r="R347" s="29" t="n">
        <f aca="false">P347/Q347-1</f>
        <v>-0.0422407776831705</v>
      </c>
      <c r="S347" s="26" t="n">
        <f aca="false">IF(A347=Inputs!$C$12,"",F347)</f>
        <v>-0.0205615254819485</v>
      </c>
      <c r="T347" s="27" t="n">
        <f aca="false">IF(AND(A347&gt;Risk_Metrics!$C$28,P347&gt;=Risk_Metrics!$C$30),1,0)</f>
        <v>1</v>
      </c>
      <c r="U347" s="26" t="n">
        <f aca="false">IF(A347=Inputs!$C$12,"",K347)</f>
        <v>-0.00967680441579724</v>
      </c>
    </row>
    <row r="348" customFormat="false" ht="15" hidden="false" customHeight="false" outlineLevel="0" collapsed="false">
      <c r="A348" s="25" t="n">
        <f aca="false">Prices!A349</f>
        <v>44222</v>
      </c>
      <c r="B348" s="26" t="n">
        <f aca="false">Prices!B349/Prices!B348-1</f>
        <v>-0.00676455065783455</v>
      </c>
      <c r="C348" s="26" t="n">
        <f aca="false">Prices!C349/Prices!C348-1</f>
        <v>0.0128095649123676</v>
      </c>
      <c r="D348" s="26" t="n">
        <f aca="false">Prices!D349/Prices!D348-1</f>
        <v>0.0273588565415643</v>
      </c>
      <c r="E348" s="26" t="n">
        <f aca="false">Prices!E349/Prices!E348-1</f>
        <v>-0.0229596053041149</v>
      </c>
      <c r="F348" s="26" t="n">
        <f aca="false">Prices!F349/Prices!F348-1</f>
        <v>-0.0169559951554299</v>
      </c>
      <c r="G348" s="26" t="n">
        <f aca="false">Prices!G349/Prices!G348-1</f>
        <v>0.00637885212850109</v>
      </c>
      <c r="H348" s="26" t="n">
        <f aca="false">Prices!H349/Prices!H348-1</f>
        <v>-0.00332225913621265</v>
      </c>
      <c r="I348" s="26" t="n">
        <f aca="false">Prices!I349/Prices!I348-1</f>
        <v>0.000998762535336928</v>
      </c>
      <c r="J348" s="26" t="n">
        <f aca="false">Prices!J349/Prices!J348-1</f>
        <v>-0.0152409362507446</v>
      </c>
      <c r="K348" s="26" t="n">
        <f aca="false">SUMPRODUCT(B348:J348,Optimization!$C$7:$K$7)</f>
        <v>-0.00196636782072963</v>
      </c>
      <c r="L348" s="26" t="n">
        <f aca="false">SUMPRODUCT(B348:J348,Optimization!$C$8:$K$8)</f>
        <v>0.0104614002545603</v>
      </c>
      <c r="M348" s="26" t="n">
        <f aca="false">SUMPRODUCT(B348:J348,Optimization!$C$9:$K$9)</f>
        <v>0.00544849798203009</v>
      </c>
      <c r="N348" s="26" t="n">
        <f aca="false">SUMPRODUCT(B348:J348,Optimization!$C$10:$K$10)</f>
        <v>0.012088090965077</v>
      </c>
      <c r="O348" s="27" t="n">
        <f aca="false">IF(AND(A348&gt;=Inputs!$C$6,A348&lt;=Inputs!$C$7),1,0)</f>
        <v>0</v>
      </c>
      <c r="P348" s="28" t="n">
        <f aca="false">P347*(1+K348)</f>
        <v>139.856630743085</v>
      </c>
      <c r="Q348" s="28" t="n">
        <f aca="false">MAX(Q347,P348)</f>
        <v>146.31253752665</v>
      </c>
      <c r="R348" s="29" t="n">
        <f aca="false">P348/Q348-1</f>
        <v>-0.0441240845979414</v>
      </c>
      <c r="S348" s="26" t="n">
        <f aca="false">IF(A348=Inputs!$C$12,"",F348)</f>
        <v>-0.0169559951554299</v>
      </c>
      <c r="T348" s="27" t="n">
        <f aca="false">IF(AND(A348&gt;Risk_Metrics!$C$28,P348&gt;=Risk_Metrics!$C$30),1,0)</f>
        <v>1</v>
      </c>
      <c r="U348" s="26" t="n">
        <f aca="false">IF(A348=Inputs!$C$12,"",K348)</f>
        <v>-0.00196636782072963</v>
      </c>
    </row>
    <row r="349" customFormat="false" ht="15" hidden="false" customHeight="false" outlineLevel="0" collapsed="false">
      <c r="A349" s="25" t="n">
        <f aca="false">Prices!A350</f>
        <v>44223</v>
      </c>
      <c r="B349" s="26" t="n">
        <f aca="false">Prices!B350/Prices!B349-1</f>
        <v>0.0292710758072432</v>
      </c>
      <c r="C349" s="26" t="n">
        <f aca="false">Prices!C350/Prices!C349-1</f>
        <v>-0.00489035429647056</v>
      </c>
      <c r="D349" s="26" t="n">
        <f aca="false">Prices!D350/Prices!D349-1</f>
        <v>-0.0201433929619873</v>
      </c>
      <c r="E349" s="26" t="n">
        <f aca="false">Prices!E350/Prices!E349-1</f>
        <v>-0.0148574289699428</v>
      </c>
      <c r="F349" s="26" t="n">
        <f aca="false">Prices!F350/Prices!F349-1</f>
        <v>0.00410681724845996</v>
      </c>
      <c r="G349" s="26" t="n">
        <f aca="false">Prices!G350/Prices!G349-1</f>
        <v>-0.00390053632374465</v>
      </c>
      <c r="H349" s="26" t="n">
        <f aca="false">Prices!H350/Prices!H349-1</f>
        <v>0.0148148148148148</v>
      </c>
      <c r="I349" s="26" t="n">
        <f aca="false">Prices!I350/Prices!I349-1</f>
        <v>0.0057371016193728</v>
      </c>
      <c r="J349" s="26" t="n">
        <f aca="false">Prices!J350/Prices!J349-1</f>
        <v>-0.0277929482288829</v>
      </c>
      <c r="K349" s="26" t="n">
        <f aca="false">SUMPRODUCT(B349:J349,Optimization!$C$7:$K$7)</f>
        <v>-0.00196165014345971</v>
      </c>
      <c r="L349" s="26" t="n">
        <f aca="false">SUMPRODUCT(B349:J349,Optimization!$C$8:$K$8)</f>
        <v>-0.00910598001691741</v>
      </c>
      <c r="M349" s="26" t="n">
        <f aca="false">SUMPRODUCT(B349:J349,Optimization!$C$9:$K$9)</f>
        <v>-0.00696311480413342</v>
      </c>
      <c r="N349" s="26" t="n">
        <f aca="false">SUMPRODUCT(B349:J349,Optimization!$C$10:$K$10)</f>
        <v>-0.00946613363659165</v>
      </c>
      <c r="O349" s="27" t="n">
        <f aca="false">IF(AND(A349&gt;=Inputs!$C$6,A349&lt;=Inputs!$C$7),1,0)</f>
        <v>0</v>
      </c>
      <c r="P349" s="28" t="n">
        <f aca="false">P348*(1+K349)</f>
        <v>139.582280963324</v>
      </c>
      <c r="Q349" s="28" t="n">
        <f aca="false">MAX(Q348,P349)</f>
        <v>146.31253752665</v>
      </c>
      <c r="R349" s="29" t="n">
        <f aca="false">P349/Q349-1</f>
        <v>-0.0459991787245195</v>
      </c>
      <c r="S349" s="26" t="n">
        <f aca="false">IF(A349=Inputs!$C$12,"",F349)</f>
        <v>0.00410681724845996</v>
      </c>
      <c r="T349" s="27" t="n">
        <f aca="false">IF(AND(A349&gt;Risk_Metrics!$C$28,P349&gt;=Risk_Metrics!$C$30),1,0)</f>
        <v>1</v>
      </c>
      <c r="U349" s="26" t="n">
        <f aca="false">IF(A349=Inputs!$C$12,"",K349)</f>
        <v>-0.00196165014345971</v>
      </c>
    </row>
    <row r="350" customFormat="false" ht="15" hidden="false" customHeight="false" outlineLevel="0" collapsed="false">
      <c r="A350" s="25" t="n">
        <f aca="false">Prices!A351</f>
        <v>44224</v>
      </c>
      <c r="B350" s="26" t="n">
        <f aca="false">Prices!B351/Prices!B350-1</f>
        <v>0.0219625091082993</v>
      </c>
      <c r="C350" s="26" t="n">
        <f aca="false">Prices!C351/Prices!C350-1</f>
        <v>0.0386375190645651</v>
      </c>
      <c r="D350" s="26" t="n">
        <f aca="false">Prices!D351/Prices!D350-1</f>
        <v>-0.0142857137879542</v>
      </c>
      <c r="E350" s="26" t="n">
        <f aca="false">Prices!E351/Prices!E350-1</f>
        <v>0.0347798537343866</v>
      </c>
      <c r="F350" s="26" t="n">
        <f aca="false">Prices!F351/Prices!F350-1</f>
        <v>0.0163598766314979</v>
      </c>
      <c r="G350" s="26" t="n">
        <f aca="false">Prices!G351/Prices!G350-1</f>
        <v>0.0670581987273617</v>
      </c>
      <c r="H350" s="26" t="n">
        <f aca="false">Prices!H351/Prices!H350-1</f>
        <v>0.0131386861313869</v>
      </c>
      <c r="I350" s="26" t="n">
        <f aca="false">Prices!I351/Prices!I350-1</f>
        <v>0.0173610911113791</v>
      </c>
      <c r="J350" s="26" t="n">
        <f aca="false">Prices!J351/Prices!J350-1</f>
        <v>0.0213004603576388</v>
      </c>
      <c r="K350" s="26" t="n">
        <f aca="false">SUMPRODUCT(B350:J350,Optimization!$C$7:$K$7)</f>
        <v>0.0240347201198401</v>
      </c>
      <c r="L350" s="26" t="n">
        <f aca="false">SUMPRODUCT(B350:J350,Optimization!$C$8:$K$8)</f>
        <v>0.00730657681091779</v>
      </c>
      <c r="M350" s="26" t="n">
        <f aca="false">SUMPRODUCT(B350:J350,Optimization!$C$9:$K$9)</f>
        <v>0.0127464624418232</v>
      </c>
      <c r="N350" s="26" t="n">
        <f aca="false">SUMPRODUCT(B350:J350,Optimization!$C$10:$K$10)</f>
        <v>0.00580681563862433</v>
      </c>
      <c r="O350" s="27" t="n">
        <f aca="false">IF(AND(A350&gt;=Inputs!$C$6,A350&lt;=Inputs!$C$7),1,0)</f>
        <v>0</v>
      </c>
      <c r="P350" s="28" t="n">
        <f aca="false">P349*(1+K350)</f>
        <v>142.937102019966</v>
      </c>
      <c r="Q350" s="28" t="n">
        <f aca="false">MAX(Q349,P350)</f>
        <v>146.31253752665</v>
      </c>
      <c r="R350" s="29" t="n">
        <f aca="false">P350/Q350-1</f>
        <v>-0.0230700359910657</v>
      </c>
      <c r="S350" s="26" t="n">
        <f aca="false">IF(A350=Inputs!$C$12,"",F350)</f>
        <v>0.0163598766314979</v>
      </c>
      <c r="T350" s="27" t="n">
        <f aca="false">IF(AND(A350&gt;Risk_Metrics!$C$28,P350&gt;=Risk_Metrics!$C$30),1,0)</f>
        <v>1</v>
      </c>
      <c r="U350" s="26" t="n">
        <f aca="false">IF(A350=Inputs!$C$12,"",K350)</f>
        <v>0.0240347201198401</v>
      </c>
    </row>
    <row r="351" customFormat="false" ht="15" hidden="false" customHeight="false" outlineLevel="0" collapsed="false">
      <c r="A351" s="25" t="n">
        <f aca="false">Prices!A352</f>
        <v>44225</v>
      </c>
      <c r="B351" s="26" t="n">
        <f aca="false">Prices!B352/Prices!B351-1</f>
        <v>-0.0278274708818004</v>
      </c>
      <c r="C351" s="26" t="n">
        <f aca="false">Prices!C352/Prices!C351-1</f>
        <v>-0.0243107195301028</v>
      </c>
      <c r="D351" s="26" t="n">
        <f aca="false">Prices!D352/Prices!D351-1</f>
        <v>-0.0137858248926892</v>
      </c>
      <c r="E351" s="26" t="n">
        <f aca="false">Prices!E352/Prices!E351-1</f>
        <v>-0.0499702126701431</v>
      </c>
      <c r="F351" s="26" t="n">
        <f aca="false">Prices!F352/Prices!F351-1</f>
        <v>-0.0305835010060362</v>
      </c>
      <c r="G351" s="26" t="n">
        <f aca="false">Prices!G352/Prices!G351-1</f>
        <v>-0.027522845299213</v>
      </c>
      <c r="H351" s="26" t="n">
        <f aca="false">Prices!H352/Prices!H351-1</f>
        <v>-0.0385446325648416</v>
      </c>
      <c r="I351" s="26" t="n">
        <f aca="false">Prices!I352/Prices!I351-1</f>
        <v>-0.0129204875672271</v>
      </c>
      <c r="J351" s="26" t="n">
        <f aca="false">Prices!J352/Prices!J351-1</f>
        <v>-0.0345773992223359</v>
      </c>
      <c r="K351" s="26" t="n">
        <f aca="false">SUMPRODUCT(B351:J351,Optimization!$C$7:$K$7)</f>
        <v>-0.0288936770704877</v>
      </c>
      <c r="L351" s="26" t="n">
        <f aca="false">SUMPRODUCT(B351:J351,Optimization!$C$8:$K$8)</f>
        <v>-0.0207097912128498</v>
      </c>
      <c r="M351" s="26" t="n">
        <f aca="false">SUMPRODUCT(B351:J351,Optimization!$C$9:$K$9)</f>
        <v>-0.022610233851813</v>
      </c>
      <c r="N351" s="26" t="n">
        <f aca="false">SUMPRODUCT(B351:J351,Optimization!$C$10:$K$10)</f>
        <v>-0.0207606734593719</v>
      </c>
      <c r="O351" s="27" t="n">
        <f aca="false">IF(AND(A351&gt;=Inputs!$C$6,A351&lt;=Inputs!$C$7),1,0)</f>
        <v>0</v>
      </c>
      <c r="P351" s="28" t="n">
        <f aca="false">P350*(1+K351)</f>
        <v>138.80712355281</v>
      </c>
      <c r="Q351" s="28" t="n">
        <f aca="false">MAX(Q350,P351)</f>
        <v>146.31253752665</v>
      </c>
      <c r="R351" s="29" t="n">
        <f aca="false">P351/Q351-1</f>
        <v>-0.051297134891623</v>
      </c>
      <c r="S351" s="26" t="n">
        <f aca="false">IF(A351=Inputs!$C$12,"",F351)</f>
        <v>-0.0305835010060362</v>
      </c>
      <c r="T351" s="27" t="n">
        <f aca="false">IF(AND(A351&gt;Risk_Metrics!$C$28,P351&gt;=Risk_Metrics!$C$30),1,0)</f>
        <v>1</v>
      </c>
      <c r="U351" s="26" t="n">
        <f aca="false">IF(A351=Inputs!$C$12,"",K351)</f>
        <v>-0.0288936770704877</v>
      </c>
    </row>
    <row r="352" customFormat="false" ht="15" hidden="false" customHeight="false" outlineLevel="0" collapsed="false">
      <c r="A352" s="25" t="n">
        <f aca="false">Prices!A353</f>
        <v>44228</v>
      </c>
      <c r="B352" s="26" t="n">
        <f aca="false">Prices!B353/Prices!B352-1</f>
        <v>0.0188465636956214</v>
      </c>
      <c r="C352" s="26" t="n">
        <f aca="false">Prices!C353/Prices!C352-1</f>
        <v>0.0242475267055202</v>
      </c>
      <c r="D352" s="26" t="n">
        <f aca="false">Prices!D353/Prices!D352-1</f>
        <v>0.0136201075268818</v>
      </c>
      <c r="E352" s="26" t="n">
        <f aca="false">Prices!E353/Prices!E352-1</f>
        <v>0.00109580461653414</v>
      </c>
      <c r="F352" s="26" t="n">
        <f aca="false">Prices!F353/Prices!F352-1</f>
        <v>-0.00664176006641759</v>
      </c>
      <c r="G352" s="26" t="n">
        <f aca="false">Prices!G353/Prices!G352-1</f>
        <v>0.00518858466091587</v>
      </c>
      <c r="H352" s="26" t="n">
        <f aca="false">Prices!H353/Prices!H352-1</f>
        <v>0.0314724604169179</v>
      </c>
      <c r="I352" s="26" t="n">
        <f aca="false">Prices!I353/Prices!I352-1</f>
        <v>-0.0227216465123091</v>
      </c>
      <c r="J352" s="26" t="n">
        <f aca="false">Prices!J353/Prices!J352-1</f>
        <v>0.0377487221517472</v>
      </c>
      <c r="K352" s="26" t="n">
        <f aca="false">SUMPRODUCT(B352:J352,Optimization!$C$7:$K$7)</f>
        <v>0.0114284847994902</v>
      </c>
      <c r="L352" s="26" t="n">
        <f aca="false">SUMPRODUCT(B352:J352,Optimization!$C$8:$K$8)</f>
        <v>0.0162143899874929</v>
      </c>
      <c r="M352" s="26" t="n">
        <f aca="false">SUMPRODUCT(B352:J352,Optimization!$C$9:$K$9)</f>
        <v>0.0166765534009555</v>
      </c>
      <c r="N352" s="26" t="n">
        <f aca="false">SUMPRODUCT(B352:J352,Optimization!$C$10:$K$10)</f>
        <v>0.0182779672774487</v>
      </c>
      <c r="O352" s="27" t="n">
        <f aca="false">IF(AND(A352&gt;=Inputs!$C$6,A352&lt;=Inputs!$C$7),1,0)</f>
        <v>0</v>
      </c>
      <c r="P352" s="28" t="n">
        <f aca="false">P351*(1+K352)</f>
        <v>140.393478654394</v>
      </c>
      <c r="Q352" s="28" t="n">
        <f aca="false">MAX(Q351,P352)</f>
        <v>146.31253752665</v>
      </c>
      <c r="R352" s="29" t="n">
        <f aca="false">P352/Q352-1</f>
        <v>-0.0404548986184992</v>
      </c>
      <c r="S352" s="26" t="n">
        <f aca="false">IF(A352=Inputs!$C$12,"",F352)</f>
        <v>-0.00664176006641759</v>
      </c>
      <c r="T352" s="27" t="n">
        <f aca="false">IF(AND(A352&gt;Risk_Metrics!$C$28,P352&gt;=Risk_Metrics!$C$30),1,0)</f>
        <v>1</v>
      </c>
      <c r="U352" s="26" t="n">
        <f aca="false">IF(A352=Inputs!$C$12,"",K352)</f>
        <v>0.0114284847994902</v>
      </c>
    </row>
    <row r="353" customFormat="false" ht="15" hidden="false" customHeight="false" outlineLevel="0" collapsed="false">
      <c r="A353" s="25" t="n">
        <f aca="false">Prices!A354</f>
        <v>44229</v>
      </c>
      <c r="B353" s="26" t="n">
        <f aca="false">Prices!B354/Prices!B353-1</f>
        <v>0.00834489545633121</v>
      </c>
      <c r="C353" s="26" t="n">
        <f aca="false">Prices!C354/Prices!C353-1</f>
        <v>0.0235102048493128</v>
      </c>
      <c r="D353" s="26" t="n">
        <f aca="false">Prices!D354/Prices!D353-1</f>
        <v>-0.00848656264191783</v>
      </c>
      <c r="E353" s="26" t="n">
        <f aca="false">Prices!E354/Prices!E353-1</f>
        <v>0.0556685057753166</v>
      </c>
      <c r="F353" s="26" t="n">
        <f aca="false">Prices!F354/Prices!F353-1</f>
        <v>0.0551608859172588</v>
      </c>
      <c r="G353" s="26" t="n">
        <f aca="false">Prices!G354/Prices!G353-1</f>
        <v>-0.000469263278707888</v>
      </c>
      <c r="H353" s="26" t="n">
        <f aca="false">Prices!H354/Prices!H353-1</f>
        <v>0.041046093677948</v>
      </c>
      <c r="I353" s="26" t="n">
        <f aca="false">Prices!I354/Prices!I353-1</f>
        <v>-0.00530705522539443</v>
      </c>
      <c r="J353" s="26" t="n">
        <f aca="false">Prices!J354/Prices!J353-1</f>
        <v>-0.0395528992950444</v>
      </c>
      <c r="K353" s="26" t="n">
        <f aca="false">SUMPRODUCT(B353:J353,Optimization!$C$7:$K$7)</f>
        <v>0.0144349783594559</v>
      </c>
      <c r="L353" s="26" t="n">
        <f aca="false">SUMPRODUCT(B353:J353,Optimization!$C$8:$K$8)</f>
        <v>-0.00649774687187082</v>
      </c>
      <c r="M353" s="26" t="n">
        <f aca="false">SUMPRODUCT(B353:J353,Optimization!$C$9:$K$9)</f>
        <v>-0.00728511918944371</v>
      </c>
      <c r="N353" s="26" t="n">
        <f aca="false">SUMPRODUCT(B353:J353,Optimization!$C$10:$K$10)</f>
        <v>-0.00554199407404781</v>
      </c>
      <c r="O353" s="27" t="n">
        <f aca="false">IF(AND(A353&gt;=Inputs!$C$6,A353&lt;=Inputs!$C$7),1,0)</f>
        <v>0</v>
      </c>
      <c r="P353" s="28" t="n">
        <f aca="false">P352*(1+K353)</f>
        <v>142.420055480579</v>
      </c>
      <c r="Q353" s="28" t="n">
        <f aca="false">MAX(Q352,P353)</f>
        <v>146.31253752665</v>
      </c>
      <c r="R353" s="29" t="n">
        <f aca="false">P353/Q353-1</f>
        <v>-0.0266038858451352</v>
      </c>
      <c r="S353" s="26" t="n">
        <f aca="false">IF(A353=Inputs!$C$12,"",F353)</f>
        <v>0.0551608859172588</v>
      </c>
      <c r="T353" s="27" t="n">
        <f aca="false">IF(AND(A353&gt;Risk_Metrics!$C$28,P353&gt;=Risk_Metrics!$C$30),1,0)</f>
        <v>1</v>
      </c>
      <c r="U353" s="26" t="n">
        <f aca="false">IF(A353=Inputs!$C$12,"",K353)</f>
        <v>0.0144349783594559</v>
      </c>
    </row>
    <row r="354" customFormat="false" ht="15" hidden="false" customHeight="false" outlineLevel="0" collapsed="false">
      <c r="A354" s="25" t="n">
        <f aca="false">Prices!A355</f>
        <v>44230</v>
      </c>
      <c r="B354" s="26" t="n">
        <f aca="false">Prices!B355/Prices!B354-1</f>
        <v>0</v>
      </c>
      <c r="C354" s="26" t="n">
        <f aca="false">Prices!C355/Prices!C354-1</f>
        <v>0.00430690714011517</v>
      </c>
      <c r="D354" s="26" t="n">
        <f aca="false">Prices!D355/Prices!D354-1</f>
        <v>0.0139086656951259</v>
      </c>
      <c r="E354" s="26" t="n">
        <f aca="false">Prices!E355/Prices!E354-1</f>
        <v>0.0191082945013097</v>
      </c>
      <c r="F354" s="26" t="n">
        <f aca="false">Prices!F355/Prices!F354-1</f>
        <v>0</v>
      </c>
      <c r="G354" s="26" t="n">
        <f aca="false">Prices!G355/Prices!G354-1</f>
        <v>0.056338077762351</v>
      </c>
      <c r="H354" s="26" t="n">
        <f aca="false">Prices!H355/Prices!H354-1</f>
        <v>0.00976974877878578</v>
      </c>
      <c r="I354" s="26" t="n">
        <f aca="false">Prices!I355/Prices!I354-1</f>
        <v>0.0282012046856035</v>
      </c>
      <c r="J354" s="26" t="n">
        <f aca="false">Prices!J355/Prices!J354-1</f>
        <v>0.0315993140953998</v>
      </c>
      <c r="K354" s="26" t="n">
        <f aca="false">SUMPRODUCT(B354:J354,Optimization!$C$7:$K$7)</f>
        <v>0.0181369125176323</v>
      </c>
      <c r="L354" s="26" t="n">
        <f aca="false">SUMPRODUCT(B354:J354,Optimization!$C$8:$K$8)</f>
        <v>0.0148138049558759</v>
      </c>
      <c r="M354" s="26" t="n">
        <f aca="false">SUMPRODUCT(B354:J354,Optimization!$C$9:$K$9)</f>
        <v>0.0159387844646674</v>
      </c>
      <c r="N354" s="26" t="n">
        <f aca="false">SUMPRODUCT(B354:J354,Optimization!$C$10:$K$10)</f>
        <v>0.0132205950175545</v>
      </c>
      <c r="O354" s="27" t="n">
        <f aca="false">IF(AND(A354&gt;=Inputs!$C$6,A354&lt;=Inputs!$C$7),1,0)</f>
        <v>0</v>
      </c>
      <c r="P354" s="28" t="n">
        <f aca="false">P353*(1+K354)</f>
        <v>145.003115567587</v>
      </c>
      <c r="Q354" s="28" t="n">
        <f aca="false">MAX(Q353,P354)</f>
        <v>146.31253752665</v>
      </c>
      <c r="R354" s="29" t="n">
        <f aca="false">P354/Q354-1</f>
        <v>-0.00894948567770515</v>
      </c>
      <c r="S354" s="26" t="n">
        <f aca="false">IF(A354=Inputs!$C$12,"",F354)</f>
        <v>0</v>
      </c>
      <c r="T354" s="27" t="n">
        <f aca="false">IF(AND(A354&gt;Risk_Metrics!$C$28,P354&gt;=Risk_Metrics!$C$30),1,0)</f>
        <v>1</v>
      </c>
      <c r="U354" s="26" t="n">
        <f aca="false">IF(A354=Inputs!$C$12,"",K354)</f>
        <v>0.0181369125176323</v>
      </c>
    </row>
    <row r="355" customFormat="false" ht="15" hidden="false" customHeight="false" outlineLevel="0" collapsed="false">
      <c r="A355" s="25" t="n">
        <f aca="false">Prices!A356</f>
        <v>44231</v>
      </c>
      <c r="B355" s="26" t="n">
        <f aca="false">Prices!B356/Prices!B355-1</f>
        <v>0.0277241655172413</v>
      </c>
      <c r="C355" s="26" t="n">
        <f aca="false">Prices!C356/Prices!C355-1</f>
        <v>-0.00825914892818125</v>
      </c>
      <c r="D355" s="26" t="n">
        <f aca="false">Prices!D356/Prices!D355-1</f>
        <v>-0.0102005276116778</v>
      </c>
      <c r="E355" s="26" t="n">
        <f aca="false">Prices!E356/Prices!E355-1</f>
        <v>0.011627833795298</v>
      </c>
      <c r="F355" s="26" t="n">
        <f aca="false">Prices!F356/Prices!F355-1</f>
        <v>-0.0174257821782178</v>
      </c>
      <c r="G355" s="26" t="n">
        <f aca="false">Prices!G356/Prices!G355-1</f>
        <v>-0.0164444888888888</v>
      </c>
      <c r="H355" s="26" t="n">
        <f aca="false">Prices!H356/Prices!H355-1</f>
        <v>-0.00414654443170193</v>
      </c>
      <c r="I355" s="26" t="n">
        <f aca="false">Prices!I356/Prices!I355-1</f>
        <v>-0.0219915775554368</v>
      </c>
      <c r="J355" s="26" t="n">
        <f aca="false">Prices!J356/Prices!J355-1</f>
        <v>-0.012606424859007</v>
      </c>
      <c r="K355" s="26" t="n">
        <f aca="false">SUMPRODUCT(B355:J355,Optimization!$C$7:$K$7)</f>
        <v>-0.005746943904508</v>
      </c>
      <c r="L355" s="26" t="n">
        <f aca="false">SUMPRODUCT(B355:J355,Optimization!$C$8:$K$8)</f>
        <v>-0.00556150027222083</v>
      </c>
      <c r="M355" s="26" t="n">
        <f aca="false">SUMPRODUCT(B355:J355,Optimization!$C$9:$K$9)</f>
        <v>-0.00510634697081233</v>
      </c>
      <c r="N355" s="26" t="n">
        <f aca="false">SUMPRODUCT(B355:J355,Optimization!$C$10:$K$10)</f>
        <v>-0.00396168124937612</v>
      </c>
      <c r="O355" s="27" t="n">
        <f aca="false">IF(AND(A355&gt;=Inputs!$C$6,A355&lt;=Inputs!$C$7),1,0)</f>
        <v>0</v>
      </c>
      <c r="P355" s="28" t="n">
        <f aca="false">P354*(1+K355)</f>
        <v>144.169790796441</v>
      </c>
      <c r="Q355" s="28" t="n">
        <f aca="false">MAX(Q354,P355)</f>
        <v>146.31253752665</v>
      </c>
      <c r="R355" s="29" t="n">
        <f aca="false">P355/Q355-1</f>
        <v>-0.0146449973900492</v>
      </c>
      <c r="S355" s="26" t="n">
        <f aca="false">IF(A355=Inputs!$C$12,"",F355)</f>
        <v>-0.0174257821782178</v>
      </c>
      <c r="T355" s="27" t="n">
        <f aca="false">IF(AND(A355&gt;Risk_Metrics!$C$28,P355&gt;=Risk_Metrics!$C$30),1,0)</f>
        <v>1</v>
      </c>
      <c r="U355" s="26" t="n">
        <f aca="false">IF(A355=Inputs!$C$12,"",K355)</f>
        <v>-0.005746943904508</v>
      </c>
    </row>
    <row r="356" customFormat="false" ht="15" hidden="false" customHeight="false" outlineLevel="0" collapsed="false">
      <c r="A356" s="25" t="n">
        <f aca="false">Prices!A357</f>
        <v>44232</v>
      </c>
      <c r="B356" s="26" t="n">
        <f aca="false">Prices!B357/Prices!B356-1</f>
        <v>-0.00684474548799507</v>
      </c>
      <c r="C356" s="26" t="n">
        <f aca="false">Prices!C357/Prices!C356-1</f>
        <v>0.0161754959585041</v>
      </c>
      <c r="D356" s="26" t="n">
        <f aca="false">Prices!D357/Prices!D356-1</f>
        <v>0.0110164183019339</v>
      </c>
      <c r="E356" s="26" t="n">
        <f aca="false">Prices!E357/Prices!E356-1</f>
        <v>-0.0104884342094378</v>
      </c>
      <c r="F356" s="26" t="n">
        <f aca="false">Prices!F357/Prices!F356-1</f>
        <v>-0.000403063297181205</v>
      </c>
      <c r="G356" s="26" t="n">
        <f aca="false">Prices!G357/Prices!G356-1</f>
        <v>-0.013104338594864</v>
      </c>
      <c r="H356" s="26" t="n">
        <f aca="false">Prices!H357/Prices!H356-1</f>
        <v>0.000693962526023606</v>
      </c>
      <c r="I356" s="26" t="n">
        <f aca="false">Prices!I357/Prices!I356-1</f>
        <v>0.013390560143129</v>
      </c>
      <c r="J356" s="26" t="n">
        <f aca="false">Prices!J357/Prices!J356-1</f>
        <v>0.0380781830207393</v>
      </c>
      <c r="K356" s="26" t="n">
        <f aca="false">SUMPRODUCT(B356:J356,Optimization!$C$7:$K$7)</f>
        <v>0.00539044870676131</v>
      </c>
      <c r="L356" s="26" t="n">
        <f aca="false">SUMPRODUCT(B356:J356,Optimization!$C$8:$K$8)</f>
        <v>0.0135924903012148</v>
      </c>
      <c r="M356" s="26" t="n">
        <f aca="false">SUMPRODUCT(B356:J356,Optimization!$C$9:$K$9)</f>
        <v>0.0150116429873065</v>
      </c>
      <c r="N356" s="26" t="n">
        <f aca="false">SUMPRODUCT(B356:J356,Optimization!$C$10:$K$10)</f>
        <v>0.0126170123438694</v>
      </c>
      <c r="O356" s="27" t="n">
        <f aca="false">IF(AND(A356&gt;=Inputs!$C$6,A356&lt;=Inputs!$C$7),1,0)</f>
        <v>0</v>
      </c>
      <c r="P356" s="28" t="n">
        <f aca="false">P355*(1+K356)</f>
        <v>144.946930658794</v>
      </c>
      <c r="Q356" s="28" t="n">
        <f aca="false">MAX(Q355,P356)</f>
        <v>146.31253752665</v>
      </c>
      <c r="R356" s="29" t="n">
        <f aca="false">P356/Q356-1</f>
        <v>-0.00933349179052956</v>
      </c>
      <c r="S356" s="26" t="n">
        <f aca="false">IF(A356=Inputs!$C$12,"",F356)</f>
        <v>-0.000403063297181205</v>
      </c>
      <c r="T356" s="27" t="n">
        <f aca="false">IF(AND(A356&gt;Risk_Metrics!$C$28,P356&gt;=Risk_Metrics!$C$30),1,0)</f>
        <v>1</v>
      </c>
      <c r="U356" s="26" t="n">
        <f aca="false">IF(A356=Inputs!$C$12,"",K356)</f>
        <v>0.00539044870676131</v>
      </c>
    </row>
    <row r="357" customFormat="false" ht="15" hidden="false" customHeight="false" outlineLevel="0" collapsed="false">
      <c r="A357" s="25" t="n">
        <f aca="false">Prices!A358</f>
        <v>44235</v>
      </c>
      <c r="B357" s="26" t="n">
        <f aca="false">Prices!B358/Prices!B357-1</f>
        <v>0.00756754054054043</v>
      </c>
      <c r="C357" s="26" t="n">
        <f aca="false">Prices!C358/Prices!C357-1</f>
        <v>-0.0148148463356973</v>
      </c>
      <c r="D357" s="26" t="n">
        <f aca="false">Prices!D358/Prices!D357-1</f>
        <v>-0.0179261856616455</v>
      </c>
      <c r="E357" s="26" t="n">
        <f aca="false">Prices!E358/Prices!E357-1</f>
        <v>0.00566282827082221</v>
      </c>
      <c r="F357" s="26" t="n">
        <f aca="false">Prices!F358/Prices!F357-1</f>
        <v>-0.0112902827133179</v>
      </c>
      <c r="G357" s="26" t="n">
        <f aca="false">Prices!G358/Prices!G357-1</f>
        <v>-0.010989010989011</v>
      </c>
      <c r="H357" s="26" t="n">
        <f aca="false">Prices!H358/Prices!H357-1</f>
        <v>-0.0253120319001386</v>
      </c>
      <c r="I357" s="26" t="n">
        <f aca="false">Prices!I358/Prices!I357-1</f>
        <v>-0.00797798923759074</v>
      </c>
      <c r="J357" s="26" t="n">
        <f aca="false">Prices!J358/Prices!J357-1</f>
        <v>0.0142410181413093</v>
      </c>
      <c r="K357" s="26" t="n">
        <f aca="false">SUMPRODUCT(B357:J357,Optimization!$C$7:$K$7)</f>
        <v>-0.00675988443163657</v>
      </c>
      <c r="L357" s="26" t="n">
        <f aca="false">SUMPRODUCT(B357:J357,Optimization!$C$8:$K$8)</f>
        <v>-0.00722061932282721</v>
      </c>
      <c r="M357" s="26" t="n">
        <f aca="false">SUMPRODUCT(B357:J357,Optimization!$C$9:$K$9)</f>
        <v>-0.00399826529989021</v>
      </c>
      <c r="N357" s="26" t="n">
        <f aca="false">SUMPRODUCT(B357:J357,Optimization!$C$10:$K$10)</f>
        <v>-0.00788121545759734</v>
      </c>
      <c r="O357" s="27" t="n">
        <f aca="false">IF(AND(A357&gt;=Inputs!$C$6,A357&lt;=Inputs!$C$7),1,0)</f>
        <v>0</v>
      </c>
      <c r="P357" s="28" t="n">
        <f aca="false">P356*(1+K357)</f>
        <v>143.96710615882</v>
      </c>
      <c r="Q357" s="28" t="n">
        <f aca="false">MAX(Q356,P357)</f>
        <v>146.31253752665</v>
      </c>
      <c r="R357" s="29" t="n">
        <f aca="false">P357/Q357-1</f>
        <v>-0.0160302828963186</v>
      </c>
      <c r="S357" s="26" t="n">
        <f aca="false">IF(A357=Inputs!$C$12,"",F357)</f>
        <v>-0.0112902827133179</v>
      </c>
      <c r="T357" s="27" t="n">
        <f aca="false">IF(AND(A357&gt;Risk_Metrics!$C$28,P357&gt;=Risk_Metrics!$C$30),1,0)</f>
        <v>1</v>
      </c>
      <c r="U357" s="26" t="n">
        <f aca="false">IF(A357=Inputs!$C$12,"",K357)</f>
        <v>-0.00675988443163657</v>
      </c>
    </row>
    <row r="358" customFormat="false" ht="15" hidden="false" customHeight="false" outlineLevel="0" collapsed="false">
      <c r="A358" s="25" t="n">
        <f aca="false">Prices!A359</f>
        <v>44236</v>
      </c>
      <c r="B358" s="26" t="n">
        <f aca="false">Prices!B359/Prices!B358-1</f>
        <v>0.00657195564838942</v>
      </c>
      <c r="C358" s="26" t="n">
        <f aca="false">Prices!C359/Prices!C358-1</f>
        <v>-0.0046392258723158</v>
      </c>
      <c r="D358" s="26" t="n">
        <f aca="false">Prices!D359/Prices!D358-1</f>
        <v>0</v>
      </c>
      <c r="E358" s="26" t="n">
        <f aca="false">Prices!E359/Prices!E358-1</f>
        <v>-0.0106844495903999</v>
      </c>
      <c r="F358" s="26" t="n">
        <f aca="false">Prices!F359/Prices!F358-1</f>
        <v>-0.0101957585644372</v>
      </c>
      <c r="G358" s="26" t="n">
        <f aca="false">Prices!G359/Prices!G358-1</f>
        <v>-0.0101852314814814</v>
      </c>
      <c r="H358" s="26" t="n">
        <f aca="false">Prices!H359/Prices!H358-1</f>
        <v>-0.0202774806020106</v>
      </c>
      <c r="I358" s="26" t="n">
        <f aca="false">Prices!I359/Prices!I358-1</f>
        <v>-0.0198543178947166</v>
      </c>
      <c r="J358" s="26" t="n">
        <f aca="false">Prices!J359/Prices!J358-1</f>
        <v>0.00255289857349439</v>
      </c>
      <c r="K358" s="26" t="n">
        <f aca="false">SUMPRODUCT(B358:J358,Optimization!$C$7:$K$7)</f>
        <v>-0.00741240108705309</v>
      </c>
      <c r="L358" s="26" t="n">
        <f aca="false">SUMPRODUCT(B358:J358,Optimization!$C$8:$K$8)</f>
        <v>-0.00111613849322425</v>
      </c>
      <c r="M358" s="26" t="n">
        <f aca="false">SUMPRODUCT(B358:J358,Optimization!$C$9:$K$9)</f>
        <v>-0.00162279902770646</v>
      </c>
      <c r="N358" s="26" t="n">
        <f aca="false">SUMPRODUCT(B358:J358,Optimization!$C$10:$K$10)</f>
        <v>0.000202252144541233</v>
      </c>
      <c r="O358" s="27" t="n">
        <f aca="false">IF(AND(A358&gt;=Inputs!$C$6,A358&lt;=Inputs!$C$7),1,0)</f>
        <v>0</v>
      </c>
      <c r="P358" s="28" t="n">
        <f aca="false">P357*(1+K358)</f>
        <v>142.899964224628</v>
      </c>
      <c r="Q358" s="28" t="n">
        <f aca="false">MAX(Q357,P358)</f>
        <v>146.31253752665</v>
      </c>
      <c r="R358" s="29" t="n">
        <f aca="false">P358/Q358-1</f>
        <v>-0.0233238610970051</v>
      </c>
      <c r="S358" s="26" t="n">
        <f aca="false">IF(A358=Inputs!$C$12,"",F358)</f>
        <v>-0.0101957585644372</v>
      </c>
      <c r="T358" s="27" t="n">
        <f aca="false">IF(AND(A358&gt;Risk_Metrics!$C$28,P358&gt;=Risk_Metrics!$C$30),1,0)</f>
        <v>1</v>
      </c>
      <c r="U358" s="26" t="n">
        <f aca="false">IF(A358=Inputs!$C$12,"",K358)</f>
        <v>-0.00741240108705309</v>
      </c>
    </row>
    <row r="359" customFormat="false" ht="15" hidden="false" customHeight="false" outlineLevel="0" collapsed="false">
      <c r="A359" s="25" t="n">
        <f aca="false">Prices!A360</f>
        <v>44237</v>
      </c>
      <c r="B359" s="26" t="n">
        <f aca="false">Prices!B360/Prices!B359-1</f>
        <v>-0.013990712298839</v>
      </c>
      <c r="C359" s="26" t="n">
        <f aca="false">Prices!C360/Prices!C359-1</f>
        <v>-0.0348762777242043</v>
      </c>
      <c r="D359" s="26" t="n">
        <f aca="false">Prices!D360/Prices!D359-1</f>
        <v>-0.000715855378816799</v>
      </c>
      <c r="E359" s="26" t="n">
        <f aca="false">Prices!E360/Prices!E359-1</f>
        <v>-0.0170752926331856</v>
      </c>
      <c r="F359" s="26" t="n">
        <f aca="false">Prices!F360/Prices!F359-1</f>
        <v>-0.0185414091470951</v>
      </c>
      <c r="G359" s="26" t="n">
        <f aca="false">Prices!G360/Prices!G359-1</f>
        <v>-0.00608040252948572</v>
      </c>
      <c r="H359" s="26" t="n">
        <f aca="false">Prices!H360/Prices!H359-1</f>
        <v>0.00944074039793974</v>
      </c>
      <c r="I359" s="26" t="n">
        <f aca="false">Prices!I360/Prices!I359-1</f>
        <v>-0.018974322691529</v>
      </c>
      <c r="J359" s="26" t="n">
        <f aca="false">Prices!J360/Prices!J359-1</f>
        <v>0.00477450397877988</v>
      </c>
      <c r="K359" s="26" t="n">
        <f aca="false">SUMPRODUCT(B359:J359,Optimization!$C$7:$K$7)</f>
        <v>-0.0106710031140484</v>
      </c>
      <c r="L359" s="26" t="n">
        <f aca="false">SUMPRODUCT(B359:J359,Optimization!$C$8:$K$8)</f>
        <v>-0.00814714868910014</v>
      </c>
      <c r="M359" s="26" t="n">
        <f aca="false">SUMPRODUCT(B359:J359,Optimization!$C$9:$K$9)</f>
        <v>-0.00945401431010697</v>
      </c>
      <c r="N359" s="26" t="n">
        <f aca="false">SUMPRODUCT(B359:J359,Optimization!$C$10:$K$10)</f>
        <v>-0.0076220740889351</v>
      </c>
      <c r="O359" s="27" t="n">
        <f aca="false">IF(AND(A359&gt;=Inputs!$C$6,A359&lt;=Inputs!$C$7),1,0)</f>
        <v>0</v>
      </c>
      <c r="P359" s="28" t="n">
        <f aca="false">P358*(1+K359)</f>
        <v>141.37507826139</v>
      </c>
      <c r="Q359" s="28" t="n">
        <f aca="false">MAX(Q358,P359)</f>
        <v>146.31253752665</v>
      </c>
      <c r="R359" s="29" t="n">
        <f aca="false">P359/Q359-1</f>
        <v>-0.0337459752166559</v>
      </c>
      <c r="S359" s="26" t="n">
        <f aca="false">IF(A359=Inputs!$C$12,"",F359)</f>
        <v>-0.0185414091470951</v>
      </c>
      <c r="T359" s="27" t="n">
        <f aca="false">IF(AND(A359&gt;Risk_Metrics!$C$28,P359&gt;=Risk_Metrics!$C$30),1,0)</f>
        <v>1</v>
      </c>
      <c r="U359" s="26" t="n">
        <f aca="false">IF(A359=Inputs!$C$12,"",K359)</f>
        <v>-0.0106710031140484</v>
      </c>
    </row>
    <row r="360" customFormat="false" ht="15" hidden="false" customHeight="false" outlineLevel="0" collapsed="false">
      <c r="A360" s="25" t="n">
        <f aca="false">Prices!A361</f>
        <v>44238</v>
      </c>
      <c r="B360" s="26" t="n">
        <f aca="false">Prices!B361/Prices!B360-1</f>
        <v>0.00716214864864861</v>
      </c>
      <c r="C360" s="26" t="n">
        <f aca="false">Prices!C361/Prices!C360-1</f>
        <v>0.00449630323051808</v>
      </c>
      <c r="D360" s="26" t="n">
        <f aca="false">Prices!D361/Prices!D360-1</f>
        <v>0.00393986389684797</v>
      </c>
      <c r="E360" s="26" t="n">
        <f aca="false">Prices!E361/Prices!E360-1</f>
        <v>-0.00579063120387924</v>
      </c>
      <c r="F360" s="26" t="n">
        <f aca="false">Prices!F361/Prices!F360-1</f>
        <v>0.0201510915197314</v>
      </c>
      <c r="G360" s="26" t="n">
        <f aca="false">Prices!G361/Prices!G360-1</f>
        <v>0.00470588235294134</v>
      </c>
      <c r="H360" s="26" t="n">
        <f aca="false">Prices!H361/Prices!H360-1</f>
        <v>0.0100719787795676</v>
      </c>
      <c r="I360" s="26" t="n">
        <f aca="false">Prices!I361/Prices!I360-1</f>
        <v>0.00261369666411992</v>
      </c>
      <c r="J360" s="26" t="n">
        <f aca="false">Prices!J361/Prices!J360-1</f>
        <v>-0.0168954493208695</v>
      </c>
      <c r="K360" s="26" t="n">
        <f aca="false">SUMPRODUCT(B360:J360,Optimization!$C$7:$K$7)</f>
        <v>0.00338387606306957</v>
      </c>
      <c r="L360" s="26" t="n">
        <f aca="false">SUMPRODUCT(B360:J360,Optimization!$C$8:$K$8)</f>
        <v>0.000943706564197558</v>
      </c>
      <c r="M360" s="26" t="n">
        <f aca="false">SUMPRODUCT(B360:J360,Optimization!$C$9:$K$9)</f>
        <v>-0.000330628851356356</v>
      </c>
      <c r="N360" s="26" t="n">
        <f aca="false">SUMPRODUCT(B360:J360,Optimization!$C$10:$K$10)</f>
        <v>0.00147750245841629</v>
      </c>
      <c r="O360" s="27" t="n">
        <f aca="false">IF(AND(A360&gt;=Inputs!$C$6,A360&lt;=Inputs!$C$7),1,0)</f>
        <v>0</v>
      </c>
      <c r="P360" s="28" t="n">
        <f aca="false">P359*(1+K360)</f>
        <v>141.853474004633</v>
      </c>
      <c r="Q360" s="28" t="n">
        <f aca="false">MAX(Q359,P360)</f>
        <v>146.31253752665</v>
      </c>
      <c r="R360" s="29" t="n">
        <f aca="false">P360/Q360-1</f>
        <v>-0.0304762913513469</v>
      </c>
      <c r="S360" s="26" t="n">
        <f aca="false">IF(A360=Inputs!$C$12,"",F360)</f>
        <v>0.0201510915197314</v>
      </c>
      <c r="T360" s="27" t="n">
        <f aca="false">IF(AND(A360&gt;Risk_Metrics!$C$28,P360&gt;=Risk_Metrics!$C$30),1,0)</f>
        <v>1</v>
      </c>
      <c r="U360" s="26" t="n">
        <f aca="false">IF(A360=Inputs!$C$12,"",K360)</f>
        <v>0.00338387606306957</v>
      </c>
    </row>
    <row r="361" customFormat="false" ht="15" hidden="false" customHeight="false" outlineLevel="0" collapsed="false">
      <c r="A361" s="25" t="n">
        <f aca="false">Prices!A362</f>
        <v>44239</v>
      </c>
      <c r="B361" s="26" t="n">
        <f aca="false">Prices!B362/Prices!B361-1</f>
        <v>0.0197236149164579</v>
      </c>
      <c r="C361" s="26" t="n">
        <f aca="false">Prices!C362/Prices!C361-1</f>
        <v>-0.00762602772503274</v>
      </c>
      <c r="D361" s="26" t="n">
        <f aca="false">Prices!D362/Prices!D361-1</f>
        <v>-0.000356796276960503</v>
      </c>
      <c r="E361" s="26" t="n">
        <f aca="false">Prices!E362/Prices!E361-1</f>
        <v>-0.000896012558184167</v>
      </c>
      <c r="F361" s="26" t="n">
        <f aca="false">Prices!F362/Prices!F361-1</f>
        <v>0.0127572844756085</v>
      </c>
      <c r="G361" s="26" t="n">
        <f aca="false">Prices!G362/Prices!G361-1</f>
        <v>0.00187348946135812</v>
      </c>
      <c r="H361" s="26" t="n">
        <f aca="false">Prices!H362/Prices!H361-1</f>
        <v>0.0128205484330484</v>
      </c>
      <c r="I361" s="26" t="n">
        <f aca="false">Prices!I362/Prices!I361-1</f>
        <v>-0.0135558250991263</v>
      </c>
      <c r="J361" s="26" t="n">
        <f aca="false">Prices!J362/Prices!J361-1</f>
        <v>0.00848551038636969</v>
      </c>
      <c r="K361" s="26" t="n">
        <f aca="false">SUMPRODUCT(B361:J361,Optimization!$C$7:$K$7)</f>
        <v>0.00369175400150432</v>
      </c>
      <c r="L361" s="26" t="n">
        <f aca="false">SUMPRODUCT(B361:J361,Optimization!$C$8:$K$8)</f>
        <v>0.00200221530952952</v>
      </c>
      <c r="M361" s="26" t="n">
        <f aca="false">SUMPRODUCT(B361:J361,Optimization!$C$9:$K$9)</f>
        <v>0.00252057432951305</v>
      </c>
      <c r="N361" s="26" t="n">
        <f aca="false">SUMPRODUCT(B361:J361,Optimization!$C$10:$K$10)</f>
        <v>0.00304514073569842</v>
      </c>
      <c r="O361" s="27" t="n">
        <f aca="false">IF(AND(A361&gt;=Inputs!$C$6,A361&lt;=Inputs!$C$7),1,0)</f>
        <v>0</v>
      </c>
      <c r="P361" s="28" t="n">
        <f aca="false">P360*(1+K361)</f>
        <v>142.377162134917</v>
      </c>
      <c r="Q361" s="28" t="n">
        <f aca="false">MAX(Q360,P361)</f>
        <v>146.31253752665</v>
      </c>
      <c r="R361" s="29" t="n">
        <f aca="false">P361/Q361-1</f>
        <v>-0.02689704832039</v>
      </c>
      <c r="S361" s="26" t="n">
        <f aca="false">IF(A361=Inputs!$C$12,"",F361)</f>
        <v>0.0127572844756085</v>
      </c>
      <c r="T361" s="27" t="n">
        <f aca="false">IF(AND(A361&gt;Risk_Metrics!$C$28,P361&gt;=Risk_Metrics!$C$30),1,0)</f>
        <v>1</v>
      </c>
      <c r="U361" s="26" t="n">
        <f aca="false">IF(A361=Inputs!$C$12,"",K361)</f>
        <v>0.00369175400150432</v>
      </c>
    </row>
    <row r="362" customFormat="false" ht="15" hidden="false" customHeight="false" outlineLevel="0" collapsed="false">
      <c r="A362" s="25" t="n">
        <f aca="false">Prices!A363</f>
        <v>44245</v>
      </c>
      <c r="B362" s="26" t="n">
        <f aca="false">Prices!B363/Prices!B362-1</f>
        <v>-0.00657894736842102</v>
      </c>
      <c r="C362" s="26" t="n">
        <f aca="false">Prices!C363/Prices!C362-1</f>
        <v>-0.0307383733835345</v>
      </c>
      <c r="D362" s="26" t="n">
        <f aca="false">Prices!D363/Prices!D362-1</f>
        <v>0.0356887937187722</v>
      </c>
      <c r="E362" s="26" t="n">
        <f aca="false">Prices!E363/Prices!E362-1</f>
        <v>-0.034230208244239</v>
      </c>
      <c r="F362" s="26" t="n">
        <f aca="false">Prices!F363/Prices!F362-1</f>
        <v>-0.0321008113733925</v>
      </c>
      <c r="G362" s="26" t="n">
        <f aca="false">Prices!G363/Prices!G362-1</f>
        <v>-0.0215053305986597</v>
      </c>
      <c r="H362" s="26" t="n">
        <f aca="false">Prices!H363/Prices!H362-1</f>
        <v>0.0291842113507661</v>
      </c>
      <c r="I362" s="26" t="n">
        <f aca="false">Prices!I363/Prices!I362-1</f>
        <v>-0.00845658437325747</v>
      </c>
      <c r="J362" s="26" t="n">
        <f aca="false">Prices!J363/Prices!J362-1</f>
        <v>0.037384205318822</v>
      </c>
      <c r="K362" s="26" t="n">
        <f aca="false">SUMPRODUCT(B362:J362,Optimization!$C$7:$K$7)</f>
        <v>-0.00348367166146041</v>
      </c>
      <c r="L362" s="26" t="n">
        <f aca="false">SUMPRODUCT(B362:J362,Optimization!$C$8:$K$8)</f>
        <v>0.0163170833608607</v>
      </c>
      <c r="M362" s="26" t="n">
        <f aca="false">SUMPRODUCT(B362:J362,Optimization!$C$9:$K$9)</f>
        <v>0.0123601602182795</v>
      </c>
      <c r="N362" s="26" t="n">
        <f aca="false">SUMPRODUCT(B362:J362,Optimization!$C$10:$K$10)</f>
        <v>0.0177072339192098</v>
      </c>
      <c r="O362" s="27" t="n">
        <f aca="false">IF(AND(A362&gt;=Inputs!$C$6,A362&lt;=Inputs!$C$7),1,0)</f>
        <v>0</v>
      </c>
      <c r="P362" s="28" t="n">
        <f aca="false">P361*(1+K362)</f>
        <v>141.881166849948</v>
      </c>
      <c r="Q362" s="28" t="n">
        <f aca="false">MAX(Q361,P362)</f>
        <v>146.31253752665</v>
      </c>
      <c r="R362" s="29" t="n">
        <f aca="false">P362/Q362-1</f>
        <v>-0.0302870194968398</v>
      </c>
      <c r="S362" s="26" t="n">
        <f aca="false">IF(A362=Inputs!$C$12,"",F362)</f>
        <v>-0.0321008113733925</v>
      </c>
      <c r="T362" s="27" t="n">
        <f aca="false">IF(AND(A362&gt;Risk_Metrics!$C$28,P362&gt;=Risk_Metrics!$C$30),1,0)</f>
        <v>1</v>
      </c>
      <c r="U362" s="26" t="n">
        <f aca="false">IF(A362=Inputs!$C$12,"",K362)</f>
        <v>-0.00348367166146041</v>
      </c>
    </row>
    <row r="363" customFormat="false" ht="15" hidden="false" customHeight="false" outlineLevel="0" collapsed="false">
      <c r="A363" s="25" t="n">
        <f aca="false">Prices!A364</f>
        <v>44246</v>
      </c>
      <c r="B363" s="26" t="n">
        <f aca="false">Prices!B364/Prices!B363-1</f>
        <v>0.0198675496688743</v>
      </c>
      <c r="C363" s="26" t="n">
        <f aca="false">Prices!C364/Prices!C363-1</f>
        <v>0.000517063081695968</v>
      </c>
      <c r="D363" s="26" t="n">
        <f aca="false">Prices!D364/Prices!D363-1</f>
        <v>0.00723638869745003</v>
      </c>
      <c r="E363" s="26" t="n">
        <f aca="false">Prices!E364/Prices!E363-1</f>
        <v>0.00758391878062348</v>
      </c>
      <c r="F363" s="26" t="n">
        <f aca="false">Prices!F364/Prices!F363-1</f>
        <v>0.0138539042821157</v>
      </c>
      <c r="G363" s="26" t="n">
        <f aca="false">Prices!G364/Prices!G363-1</f>
        <v>-0.0124223602484471</v>
      </c>
      <c r="H363" s="26" t="n">
        <f aca="false">Prices!H364/Prices!H363-1</f>
        <v>-0.0662794670310899</v>
      </c>
      <c r="I363" s="26" t="n">
        <f aca="false">Prices!I364/Prices!I363-1</f>
        <v>-0.013326286608164</v>
      </c>
      <c r="J363" s="26" t="n">
        <f aca="false">Prices!J364/Prices!J363-1</f>
        <v>0.00379871655444108</v>
      </c>
      <c r="K363" s="26" t="n">
        <f aca="false">SUMPRODUCT(B363:J363,Optimization!$C$7:$K$7)</f>
        <v>-0.00435228586916672</v>
      </c>
      <c r="L363" s="26" t="n">
        <f aca="false">SUMPRODUCT(B363:J363,Optimization!$C$8:$K$8)</f>
        <v>0.00574009647572974</v>
      </c>
      <c r="M363" s="26" t="n">
        <f aca="false">SUMPRODUCT(B363:J363,Optimization!$C$9:$K$9)</f>
        <v>0.00497749767983385</v>
      </c>
      <c r="N363" s="26" t="n">
        <f aca="false">SUMPRODUCT(B363:J363,Optimization!$C$10:$K$10)</f>
        <v>0.00732286130214766</v>
      </c>
      <c r="O363" s="27" t="n">
        <f aca="false">IF(AND(A363&gt;=Inputs!$C$6,A363&lt;=Inputs!$C$7),1,0)</f>
        <v>0</v>
      </c>
      <c r="P363" s="28" t="n">
        <f aca="false">P362*(1+K363)</f>
        <v>141.263659452367</v>
      </c>
      <c r="Q363" s="28" t="n">
        <f aca="false">MAX(Q362,P363)</f>
        <v>146.31253752665</v>
      </c>
      <c r="R363" s="29" t="n">
        <f aca="false">P363/Q363-1</f>
        <v>-0.0345074875990311</v>
      </c>
      <c r="S363" s="26" t="n">
        <f aca="false">IF(A363=Inputs!$C$12,"",F363)</f>
        <v>0.0138539042821157</v>
      </c>
      <c r="T363" s="27" t="n">
        <f aca="false">IF(AND(A363&gt;Risk_Metrics!$C$28,P363&gt;=Risk_Metrics!$C$30),1,0)</f>
        <v>1</v>
      </c>
      <c r="U363" s="26" t="n">
        <f aca="false">IF(A363=Inputs!$C$12,"",K363)</f>
        <v>-0.00435228586916672</v>
      </c>
    </row>
    <row r="364" customFormat="false" ht="15" hidden="false" customHeight="false" outlineLevel="0" collapsed="false">
      <c r="A364" s="25" t="n">
        <f aca="false">Prices!A365</f>
        <v>44249</v>
      </c>
      <c r="B364" s="26" t="n">
        <f aca="false">Prices!B365/Prices!B364-1</f>
        <v>0.00363635064935064</v>
      </c>
      <c r="C364" s="26" t="n">
        <f aca="false">Prices!C365/Prices!C364-1</f>
        <v>-0.039793281653747</v>
      </c>
      <c r="D364" s="26" t="n">
        <f aca="false">Prices!D365/Prices!D364-1</f>
        <v>0.0571330824495382</v>
      </c>
      <c r="E364" s="26" t="n">
        <f aca="false">Prices!E365/Prices!E364-1</f>
        <v>-0.061597513413134</v>
      </c>
      <c r="F364" s="26" t="n">
        <f aca="false">Prices!F365/Prices!F364-1</f>
        <v>0.198757805383023</v>
      </c>
      <c r="G364" s="26" t="n">
        <f aca="false">Prices!G365/Prices!G364-1</f>
        <v>-0.0256410740203195</v>
      </c>
      <c r="H364" s="26" t="n">
        <f aca="false">Prices!H365/Prices!H364-1</f>
        <v>-0.207098426637395</v>
      </c>
      <c r="I364" s="26" t="n">
        <f aca="false">Prices!I365/Prices!I364-1</f>
        <v>-0.00729337766933613</v>
      </c>
      <c r="J364" s="26" t="n">
        <f aca="false">Prices!J365/Prices!J364-1</f>
        <v>-0.0247519594380268</v>
      </c>
      <c r="K364" s="26" t="n">
        <f aca="false">SUMPRODUCT(B364:J364,Optimization!$C$7:$K$7)</f>
        <v>-0.0118498215944496</v>
      </c>
      <c r="L364" s="26" t="n">
        <f aca="false">SUMPRODUCT(B364:J364,Optimization!$C$8:$K$8)</f>
        <v>0.0162089996033949</v>
      </c>
      <c r="M364" s="26" t="n">
        <f aca="false">SUMPRODUCT(B364:J364,Optimization!$C$9:$K$9)</f>
        <v>0.00559261666618252</v>
      </c>
      <c r="N364" s="26" t="n">
        <f aca="false">SUMPRODUCT(B364:J364,Optimization!$C$10:$K$10)</f>
        <v>0.0199392120740186</v>
      </c>
      <c r="O364" s="27" t="n">
        <f aca="false">IF(AND(A364&gt;=Inputs!$C$6,A364&lt;=Inputs!$C$7),1,0)</f>
        <v>0</v>
      </c>
      <c r="P364" s="28" t="n">
        <f aca="false">P363*(1+K364)</f>
        <v>139.589710290077</v>
      </c>
      <c r="Q364" s="28" t="n">
        <f aca="false">MAX(Q363,P364)</f>
        <v>146.31253752665</v>
      </c>
      <c r="R364" s="29" t="n">
        <f aca="false">P364/Q364-1</f>
        <v>-0.0459484016217596</v>
      </c>
      <c r="S364" s="26" t="n">
        <f aca="false">IF(A364=Inputs!$C$12,"",F364)</f>
        <v>0.198757805383023</v>
      </c>
      <c r="T364" s="27" t="n">
        <f aca="false">IF(AND(A364&gt;Risk_Metrics!$C$28,P364&gt;=Risk_Metrics!$C$30),1,0)</f>
        <v>1</v>
      </c>
      <c r="U364" s="26" t="n">
        <f aca="false">IF(A364=Inputs!$C$12,"",K364)</f>
        <v>-0.0118498215944496</v>
      </c>
    </row>
    <row r="365" customFormat="false" ht="15" hidden="false" customHeight="false" outlineLevel="0" collapsed="false">
      <c r="A365" s="25" t="n">
        <f aca="false">Prices!A366</f>
        <v>44250</v>
      </c>
      <c r="B365" s="26" t="n">
        <f aca="false">Prices!B366/Prices!B365-1</f>
        <v>-0.0252328807612952</v>
      </c>
      <c r="C365" s="26" t="n">
        <f aca="false">Prices!C366/Prices!C365-1</f>
        <v>-0.0071761571582345</v>
      </c>
      <c r="D365" s="26" t="n">
        <f aca="false">Prices!D366/Prices!D365-1</f>
        <v>-0.00226537216828482</v>
      </c>
      <c r="E365" s="26" t="n">
        <f aca="false">Prices!E366/Prices!E365-1</f>
        <v>0.00343753478474373</v>
      </c>
      <c r="F365" s="26" t="n">
        <f aca="false">Prices!F366/Prices!F365-1</f>
        <v>-0.0594128131463623</v>
      </c>
      <c r="G365" s="26" t="n">
        <f aca="false">Prices!G366/Prices!G365-1</f>
        <v>-0.00198604776494771</v>
      </c>
      <c r="H365" s="26" t="n">
        <f aca="false">Prices!H366/Prices!H365-1</f>
        <v>0.110290678357176</v>
      </c>
      <c r="I365" s="26" t="n">
        <f aca="false">Prices!I366/Prices!I365-1</f>
        <v>-0.0165985910955253</v>
      </c>
      <c r="J365" s="26" t="n">
        <f aca="false">Prices!J366/Prices!J365-1</f>
        <v>0.0167802730315736</v>
      </c>
      <c r="K365" s="26" t="n">
        <f aca="false">SUMPRODUCT(B365:J365,Optimization!$C$7:$K$7)</f>
        <v>0.00198184711987148</v>
      </c>
      <c r="L365" s="26" t="n">
        <f aca="false">SUMPRODUCT(B365:J365,Optimization!$C$8:$K$8)</f>
        <v>-0.0047801129003025</v>
      </c>
      <c r="M365" s="26" t="n">
        <f aca="false">SUMPRODUCT(B365:J365,Optimization!$C$9:$K$9)</f>
        <v>-0.00489999972296814</v>
      </c>
      <c r="N365" s="26" t="n">
        <f aca="false">SUMPRODUCT(B365:J365,Optimization!$C$10:$K$10)</f>
        <v>-0.00473061421748017</v>
      </c>
      <c r="O365" s="27" t="n">
        <f aca="false">IF(AND(A365&gt;=Inputs!$C$6,A365&lt;=Inputs!$C$7),1,0)</f>
        <v>0</v>
      </c>
      <c r="P365" s="28" t="n">
        <f aca="false">P364*(1+K365)</f>
        <v>139.866355755379</v>
      </c>
      <c r="Q365" s="28" t="n">
        <f aca="false">MAX(Q364,P365)</f>
        <v>146.31253752665</v>
      </c>
      <c r="R365" s="29" t="n">
        <f aca="false">P365/Q365-1</f>
        <v>-0.044057617209305</v>
      </c>
      <c r="S365" s="26" t="n">
        <f aca="false">IF(A365=Inputs!$C$12,"",F365)</f>
        <v>-0.0594128131463623</v>
      </c>
      <c r="T365" s="27" t="n">
        <f aca="false">IF(AND(A365&gt;Risk_Metrics!$C$28,P365&gt;=Risk_Metrics!$C$30),1,0)</f>
        <v>1</v>
      </c>
      <c r="U365" s="26" t="n">
        <f aca="false">IF(A365=Inputs!$C$12,"",K365)</f>
        <v>0.00198184711987148</v>
      </c>
    </row>
    <row r="366" customFormat="false" ht="15" hidden="false" customHeight="false" outlineLevel="0" collapsed="false">
      <c r="A366" s="25" t="n">
        <f aca="false">Prices!A367</f>
        <v>44251</v>
      </c>
      <c r="B366" s="26" t="n">
        <f aca="false">Prices!B367/Prices!B366-1</f>
        <v>-0.0102217440535843</v>
      </c>
      <c r="C366" s="26" t="n">
        <f aca="false">Prices!C367/Prices!C366-1</f>
        <v>0.00505966741850972</v>
      </c>
      <c r="D366" s="26" t="n">
        <f aca="false">Prices!D367/Prices!D366-1</f>
        <v>0.0132987349983782</v>
      </c>
      <c r="E366" s="26" t="n">
        <f aca="false">Prices!E367/Prices!E366-1</f>
        <v>-0.0123980099901797</v>
      </c>
      <c r="F366" s="26" t="n">
        <f aca="false">Prices!F367/Prices!F366-1</f>
        <v>-0.0231362467866324</v>
      </c>
      <c r="G366" s="26" t="n">
        <f aca="false">Prices!G367/Prices!G366-1</f>
        <v>-0.0114427363184081</v>
      </c>
      <c r="H366" s="26" t="n">
        <f aca="false">Prices!H367/Prices!H366-1</f>
        <v>0.0141313804709633</v>
      </c>
      <c r="I366" s="26" t="n">
        <f aca="false">Prices!I367/Prices!I366-1</f>
        <v>0.00664085517082969</v>
      </c>
      <c r="J366" s="26" t="n">
        <f aca="false">Prices!J367/Prices!J366-1</f>
        <v>0.0101083345056732</v>
      </c>
      <c r="K366" s="26" t="n">
        <f aca="false">SUMPRODUCT(B366:J366,Optimization!$C$7:$K$7)</f>
        <v>-0.000884418287161163</v>
      </c>
      <c r="L366" s="26" t="n">
        <f aca="false">SUMPRODUCT(B366:J366,Optimization!$C$8:$K$8)</f>
        <v>0.00734903465974947</v>
      </c>
      <c r="M366" s="26" t="n">
        <f aca="false">SUMPRODUCT(B366:J366,Optimization!$C$9:$K$9)</f>
        <v>0.00604646514439026</v>
      </c>
      <c r="N366" s="26" t="n">
        <f aca="false">SUMPRODUCT(B366:J366,Optimization!$C$10:$K$10)</f>
        <v>0.00727690520397694</v>
      </c>
      <c r="O366" s="27" t="n">
        <f aca="false">IF(AND(A366&gt;=Inputs!$C$6,A366&lt;=Inputs!$C$7),1,0)</f>
        <v>0</v>
      </c>
      <c r="P366" s="28" t="n">
        <f aca="false">P365*(1+K366)</f>
        <v>139.74265539259</v>
      </c>
      <c r="Q366" s="28" t="n">
        <f aca="false">MAX(Q365,P366)</f>
        <v>146.31253752665</v>
      </c>
      <c r="R366" s="29" t="n">
        <f aca="false">P366/Q366-1</f>
        <v>-0.0449030701341174</v>
      </c>
      <c r="S366" s="26" t="n">
        <f aca="false">IF(A366=Inputs!$C$12,"",F366)</f>
        <v>-0.0231362467866324</v>
      </c>
      <c r="T366" s="27" t="n">
        <f aca="false">IF(AND(A366&gt;Risk_Metrics!$C$28,P366&gt;=Risk_Metrics!$C$30),1,0)</f>
        <v>1</v>
      </c>
      <c r="U366" s="26" t="n">
        <f aca="false">IF(A366=Inputs!$C$12,"",K366)</f>
        <v>-0.000884418287161163</v>
      </c>
    </row>
    <row r="367" customFormat="false" ht="15" hidden="false" customHeight="false" outlineLevel="0" collapsed="false">
      <c r="A367" s="25" t="n">
        <f aca="false">Prices!A368</f>
        <v>44252</v>
      </c>
      <c r="B367" s="26" t="n">
        <f aca="false">Prices!B368/Prices!B367-1</f>
        <v>-0.0301770394360794</v>
      </c>
      <c r="C367" s="26" t="n">
        <f aca="false">Prices!C368/Prices!C367-1</f>
        <v>-0.0131249183859267</v>
      </c>
      <c r="D367" s="26" t="n">
        <f aca="false">Prices!D368/Prices!D367-1</f>
        <v>-0.0403329065300896</v>
      </c>
      <c r="E367" s="26" t="n">
        <f aca="false">Prices!E368/Prices!E367-1</f>
        <v>-0.0112322429594939</v>
      </c>
      <c r="F367" s="26" t="n">
        <f aca="false">Prices!F368/Prices!F367-1</f>
        <v>-0.0221804511278195</v>
      </c>
      <c r="G367" s="26" t="n">
        <f aca="false">Prices!G368/Prices!G367-1</f>
        <v>0.0105686456684124</v>
      </c>
      <c r="H367" s="26" t="n">
        <f aca="false">Prices!H368/Prices!H367-1</f>
        <v>-0.0495901229508197</v>
      </c>
      <c r="I367" s="26" t="n">
        <f aca="false">Prices!I368/Prices!I367-1</f>
        <v>-0.0401319712184165</v>
      </c>
      <c r="J367" s="26" t="n">
        <f aca="false">Prices!J368/Prices!J367-1</f>
        <v>-0.0226692637598286</v>
      </c>
      <c r="K367" s="26" t="n">
        <f aca="false">SUMPRODUCT(B367:J367,Optimization!$C$7:$K$7)</f>
        <v>-0.0243189189666735</v>
      </c>
      <c r="L367" s="26" t="n">
        <f aca="false">SUMPRODUCT(B367:J367,Optimization!$C$8:$K$8)</f>
        <v>-0.0322574922739187</v>
      </c>
      <c r="M367" s="26" t="n">
        <f aca="false">SUMPRODUCT(B367:J367,Optimization!$C$9:$K$9)</f>
        <v>-0.0303435925700782</v>
      </c>
      <c r="N367" s="26" t="n">
        <f aca="false">SUMPRODUCT(B367:J367,Optimization!$C$10:$K$10)</f>
        <v>-0.0321720039218925</v>
      </c>
      <c r="O367" s="27" t="n">
        <f aca="false">IF(AND(A367&gt;=Inputs!$C$6,A367&lt;=Inputs!$C$7),1,0)</f>
        <v>0</v>
      </c>
      <c r="P367" s="28" t="n">
        <f aca="false">P366*(1+K367)</f>
        <v>136.34426507991</v>
      </c>
      <c r="Q367" s="28" t="n">
        <f aca="false">MAX(Q366,P367)</f>
        <v>146.31253752665</v>
      </c>
      <c r="R367" s="29" t="n">
        <f aca="false">P367/Q367-1</f>
        <v>-0.0681299949768446</v>
      </c>
      <c r="S367" s="26" t="n">
        <f aca="false">IF(A367=Inputs!$C$12,"",F367)</f>
        <v>-0.0221804511278195</v>
      </c>
      <c r="T367" s="27" t="n">
        <f aca="false">IF(AND(A367&gt;Risk_Metrics!$C$28,P367&gt;=Risk_Metrics!$C$30),1,0)</f>
        <v>1</v>
      </c>
      <c r="U367" s="26" t="n">
        <f aca="false">IF(A367=Inputs!$C$12,"",K367)</f>
        <v>-0.0243189189666735</v>
      </c>
    </row>
    <row r="368" customFormat="false" ht="15" hidden="false" customHeight="false" outlineLevel="0" collapsed="false">
      <c r="A368" s="25" t="n">
        <f aca="false">Prices!A369</f>
        <v>44253</v>
      </c>
      <c r="B368" s="26" t="n">
        <f aca="false">Prices!B369/Prices!B368-1</f>
        <v>-0.013691025133205</v>
      </c>
      <c r="C368" s="26" t="n">
        <f aca="false">Prices!C369/Prices!C368-1</f>
        <v>-0.0107486801556458</v>
      </c>
      <c r="D368" s="26" t="n">
        <f aca="false">Prices!D369/Prices!D368-1</f>
        <v>-0.0036690793862576</v>
      </c>
      <c r="E368" s="26" t="n">
        <f aca="false">Prices!E369/Prices!E368-1</f>
        <v>-0.0310725186924069</v>
      </c>
      <c r="F368" s="26" t="n">
        <f aca="false">Prices!F369/Prices!F368-1</f>
        <v>-0.0422914263744714</v>
      </c>
      <c r="G368" s="26" t="n">
        <f aca="false">Prices!G369/Prices!G368-1</f>
        <v>-0.0199203187250996</v>
      </c>
      <c r="H368" s="26" t="n">
        <f aca="false">Prices!H369/Prices!H368-1</f>
        <v>-0.0409659749475647</v>
      </c>
      <c r="I368" s="26" t="n">
        <f aca="false">Prices!I369/Prices!I368-1</f>
        <v>-0.0535509837333121</v>
      </c>
      <c r="J368" s="26" t="n">
        <f aca="false">Prices!J369/Prices!J368-1</f>
        <v>-0.0124334135663297</v>
      </c>
      <c r="K368" s="26" t="n">
        <f aca="false">SUMPRODUCT(B368:J368,Optimization!$C$7:$K$7)</f>
        <v>-0.025371491190477</v>
      </c>
      <c r="L368" s="26" t="n">
        <f aca="false">SUMPRODUCT(B368:J368,Optimization!$C$8:$K$8)</f>
        <v>-0.0125488876996204</v>
      </c>
      <c r="M368" s="26" t="n">
        <f aca="false">SUMPRODUCT(B368:J368,Optimization!$C$9:$K$9)</f>
        <v>-0.0154756589589165</v>
      </c>
      <c r="N368" s="26" t="n">
        <f aca="false">SUMPRODUCT(B368:J368,Optimization!$C$10:$K$10)</f>
        <v>-0.00948018627241303</v>
      </c>
      <c r="O368" s="27" t="n">
        <f aca="false">IF(AND(A368&gt;=Inputs!$C$6,A368&lt;=Inputs!$C$7),1,0)</f>
        <v>0</v>
      </c>
      <c r="P368" s="28" t="n">
        <f aca="false">P367*(1+K368)</f>
        <v>132.885007759563</v>
      </c>
      <c r="Q368" s="28" t="n">
        <f aca="false">MAX(Q367,P368)</f>
        <v>146.31253752665</v>
      </c>
      <c r="R368" s="29" t="n">
        <f aca="false">P368/Q368-1</f>
        <v>-0.0917729265999593</v>
      </c>
      <c r="S368" s="26" t="n">
        <f aca="false">IF(A368=Inputs!$C$12,"",F368)</f>
        <v>-0.0422914263744714</v>
      </c>
      <c r="T368" s="27" t="n">
        <f aca="false">IF(AND(A368&gt;Risk_Metrics!$C$28,P368&gt;=Risk_Metrics!$C$30),1,0)</f>
        <v>1</v>
      </c>
      <c r="U368" s="26" t="n">
        <f aca="false">IF(A368=Inputs!$C$12,"",K368)</f>
        <v>-0.025371491190477</v>
      </c>
    </row>
    <row r="369" customFormat="false" ht="15" hidden="false" customHeight="false" outlineLevel="0" collapsed="false">
      <c r="A369" s="25" t="n">
        <f aca="false">Prices!A370</f>
        <v>44256</v>
      </c>
      <c r="B369" s="26" t="n">
        <f aca="false">Prices!B370/Prices!B369-1</f>
        <v>-0.001682599551318</v>
      </c>
      <c r="C369" s="26" t="n">
        <f aca="false">Prices!C370/Prices!C369-1</f>
        <v>0.000920828729281675</v>
      </c>
      <c r="D369" s="26" t="n">
        <f aca="false">Prices!D370/Prices!D369-1</f>
        <v>0.0344827239878567</v>
      </c>
      <c r="E369" s="26" t="n">
        <f aca="false">Prices!E370/Prices!E369-1</f>
        <v>0.02</v>
      </c>
      <c r="F369" s="26" t="n">
        <f aca="false">Prices!F370/Prices!F369-1</f>
        <v>-0.009233239662786</v>
      </c>
      <c r="G369" s="26" t="n">
        <f aca="false">Prices!G370/Prices!G369-1</f>
        <v>-0.0152439532520324</v>
      </c>
      <c r="H369" s="26" t="n">
        <f aca="false">Prices!H370/Prices!H369-1</f>
        <v>-0.0107913669064748</v>
      </c>
      <c r="I369" s="26" t="n">
        <f aca="false">Prices!I370/Prices!I369-1</f>
        <v>-0.00332832699219598</v>
      </c>
      <c r="J369" s="26" t="n">
        <f aca="false">Prices!J370/Prices!J369-1</f>
        <v>0.0428481075808751</v>
      </c>
      <c r="K369" s="26" t="n">
        <f aca="false">SUMPRODUCT(B369:J369,Optimization!$C$7:$K$7)</f>
        <v>0.00644135265924515</v>
      </c>
      <c r="L369" s="26" t="n">
        <f aca="false">SUMPRODUCT(B369:J369,Optimization!$C$8:$K$8)</f>
        <v>0.0220774836950067</v>
      </c>
      <c r="M369" s="26" t="n">
        <f aca="false">SUMPRODUCT(B369:J369,Optimization!$C$9:$K$9)</f>
        <v>0.0195506501624472</v>
      </c>
      <c r="N369" s="26" t="n">
        <f aca="false">SUMPRODUCT(B369:J369,Optimization!$C$10:$K$10)</f>
        <v>0.0233208492827457</v>
      </c>
      <c r="O369" s="27" t="n">
        <f aca="false">IF(AND(A369&gt;=Inputs!$C$6,A369&lt;=Inputs!$C$7),1,0)</f>
        <v>0</v>
      </c>
      <c r="P369" s="28" t="n">
        <f aca="false">P368*(1+K369)</f>
        <v>133.740966957669</v>
      </c>
      <c r="Q369" s="28" t="n">
        <f aca="false">MAX(Q368,P369)</f>
        <v>146.31253752665</v>
      </c>
      <c r="R369" s="29" t="n">
        <f aca="false">P369/Q369-1</f>
        <v>-0.0859227157255156</v>
      </c>
      <c r="S369" s="26" t="n">
        <f aca="false">IF(A369=Inputs!$C$12,"",F369)</f>
        <v>-0.009233239662786</v>
      </c>
      <c r="T369" s="27" t="n">
        <f aca="false">IF(AND(A369&gt;Risk_Metrics!$C$28,P369&gt;=Risk_Metrics!$C$30),1,0)</f>
        <v>1</v>
      </c>
      <c r="U369" s="26" t="n">
        <f aca="false">IF(A369=Inputs!$C$12,"",K369)</f>
        <v>0.00644135265924515</v>
      </c>
    </row>
    <row r="370" customFormat="false" ht="15" hidden="false" customHeight="false" outlineLevel="0" collapsed="false">
      <c r="A370" s="25" t="n">
        <f aca="false">Prices!A371</f>
        <v>44257</v>
      </c>
      <c r="B370" s="26" t="n">
        <f aca="false">Prices!B371/Prices!B370-1</f>
        <v>0.00884838520428577</v>
      </c>
      <c r="C370" s="26" t="n">
        <f aca="false">Prices!C371/Prices!C370-1</f>
        <v>0.0305427593276402</v>
      </c>
      <c r="D370" s="26" t="n">
        <f aca="false">Prices!D371/Prices!D370-1</f>
        <v>-0.0132686084142395</v>
      </c>
      <c r="E370" s="26" t="n">
        <f aca="false">Prices!E371/Prices!E370-1</f>
        <v>-0.00946588911426638</v>
      </c>
      <c r="F370" s="26" t="n">
        <f aca="false">Prices!F371/Prices!F370-1</f>
        <v>-0.0174230145867099</v>
      </c>
      <c r="G370" s="26" t="n">
        <f aca="false">Prices!G371/Prices!G370-1</f>
        <v>0.0211559350441659</v>
      </c>
      <c r="H370" s="26" t="n">
        <f aca="false">Prices!H371/Prices!H370-1</f>
        <v>-0.000454545454545485</v>
      </c>
      <c r="I370" s="26" t="n">
        <f aca="false">Prices!I371/Prices!I370-1</f>
        <v>0.00242874929359194</v>
      </c>
      <c r="J370" s="26" t="n">
        <f aca="false">Prices!J371/Prices!J370-1</f>
        <v>0.0307395556457342</v>
      </c>
      <c r="K370" s="26" t="n">
        <f aca="false">SUMPRODUCT(B370:J370,Optimization!$C$7:$K$7)</f>
        <v>0.00590036966062852</v>
      </c>
      <c r="L370" s="26" t="n">
        <f aca="false">SUMPRODUCT(B370:J370,Optimization!$C$8:$K$8)</f>
        <v>0.00473288175566813</v>
      </c>
      <c r="M370" s="26" t="n">
        <f aca="false">SUMPRODUCT(B370:J370,Optimization!$C$9:$K$9)</f>
        <v>0.00951221242048338</v>
      </c>
      <c r="N370" s="26" t="n">
        <f aca="false">SUMPRODUCT(B370:J370,Optimization!$C$10:$K$10)</f>
        <v>0.0037306242149097</v>
      </c>
      <c r="O370" s="27" t="n">
        <f aca="false">IF(AND(A370&gt;=Inputs!$C$6,A370&lt;=Inputs!$C$7),1,0)</f>
        <v>0</v>
      </c>
      <c r="P370" s="28" t="n">
        <f aca="false">P369*(1+K370)</f>
        <v>134.530088101489</v>
      </c>
      <c r="Q370" s="28" t="n">
        <f aca="false">MAX(Q369,P370)</f>
        <v>146.31253752665</v>
      </c>
      <c r="R370" s="29" t="n">
        <f aca="false">P370/Q370-1</f>
        <v>-0.0805293218499127</v>
      </c>
      <c r="S370" s="26" t="n">
        <f aca="false">IF(A370=Inputs!$C$12,"",F370)</f>
        <v>-0.0174230145867099</v>
      </c>
      <c r="T370" s="27" t="n">
        <f aca="false">IF(AND(A370&gt;Risk_Metrics!$C$28,P370&gt;=Risk_Metrics!$C$30),1,0)</f>
        <v>1</v>
      </c>
      <c r="U370" s="26" t="n">
        <f aca="false">IF(A370=Inputs!$C$12,"",K370)</f>
        <v>0.00590036966062852</v>
      </c>
    </row>
    <row r="371" customFormat="false" ht="15" hidden="false" customHeight="false" outlineLevel="0" collapsed="false">
      <c r="A371" s="25" t="n">
        <f aca="false">Prices!A372</f>
        <v>44258</v>
      </c>
      <c r="B371" s="26" t="n">
        <f aca="false">Prices!B372/Prices!B371-1</f>
        <v>-0.0129472361702008</v>
      </c>
      <c r="C371" s="26" t="n">
        <f aca="false">Prices!C372/Prices!C371-1</f>
        <v>0.0103552758435994</v>
      </c>
      <c r="D371" s="26" t="n">
        <f aca="false">Prices!D372/Prices!D371-1</f>
        <v>-0.0121350934732699</v>
      </c>
      <c r="E371" s="26" t="n">
        <f aca="false">Prices!E372/Prices!E371-1</f>
        <v>0.00375430046943004</v>
      </c>
      <c r="F371" s="26" t="n">
        <f aca="false">Prices!F372/Prices!F371-1</f>
        <v>-0.014020618556701</v>
      </c>
      <c r="G371" s="26" t="n">
        <f aca="false">Prices!G372/Prices!G371-1</f>
        <v>0.00303178357595835</v>
      </c>
      <c r="H371" s="26" t="n">
        <f aca="false">Prices!H372/Prices!H371-1</f>
        <v>-0.0363801273306048</v>
      </c>
      <c r="I371" s="26" t="n">
        <f aca="false">Prices!I372/Prices!I371-1</f>
        <v>-0.0133253065754755</v>
      </c>
      <c r="J371" s="26" t="n">
        <f aca="false">Prices!J372/Prices!J371-1</f>
        <v>-0.0123031498484872</v>
      </c>
      <c r="K371" s="26" t="n">
        <f aca="false">SUMPRODUCT(B371:J371,Optimization!$C$7:$K$7)</f>
        <v>-0.00933001911841682</v>
      </c>
      <c r="L371" s="26" t="n">
        <f aca="false">SUMPRODUCT(B371:J371,Optimization!$C$8:$K$8)</f>
        <v>-0.00947934428634511</v>
      </c>
      <c r="M371" s="26" t="n">
        <f aca="false">SUMPRODUCT(B371:J371,Optimization!$C$9:$K$9)</f>
        <v>-0.00918424863471006</v>
      </c>
      <c r="N371" s="26" t="n">
        <f aca="false">SUMPRODUCT(B371:J371,Optimization!$C$10:$K$10)</f>
        <v>-0.0092466376805704</v>
      </c>
      <c r="O371" s="27" t="n">
        <f aca="false">IF(AND(A371&gt;=Inputs!$C$6,A371&lt;=Inputs!$C$7),1,0)</f>
        <v>0</v>
      </c>
      <c r="P371" s="28" t="n">
        <f aca="false">P370*(1+K371)</f>
        <v>133.2749198075</v>
      </c>
      <c r="Q371" s="28" t="n">
        <f aca="false">MAX(Q370,P371)</f>
        <v>146.31253752665</v>
      </c>
      <c r="R371" s="29" t="n">
        <f aca="false">P371/Q371-1</f>
        <v>-0.0891080008558767</v>
      </c>
      <c r="S371" s="26" t="n">
        <f aca="false">IF(A371=Inputs!$C$12,"",F371)</f>
        <v>-0.014020618556701</v>
      </c>
      <c r="T371" s="27" t="n">
        <f aca="false">IF(AND(A371&gt;Risk_Metrics!$C$28,P371&gt;=Risk_Metrics!$C$30),1,0)</f>
        <v>1</v>
      </c>
      <c r="U371" s="26" t="n">
        <f aca="false">IF(A371=Inputs!$C$12,"",K371)</f>
        <v>-0.00933001911841682</v>
      </c>
    </row>
    <row r="372" customFormat="false" ht="15" hidden="false" customHeight="false" outlineLevel="0" collapsed="false">
      <c r="A372" s="25" t="n">
        <f aca="false">Prices!A373</f>
        <v>44259</v>
      </c>
      <c r="B372" s="26" t="n">
        <f aca="false">Prices!B373/Prices!B372-1</f>
        <v>0.0296191529021395</v>
      </c>
      <c r="C372" s="26" t="n">
        <f aca="false">Prices!C373/Prices!C372-1</f>
        <v>-0.0194380812765167</v>
      </c>
      <c r="D372" s="26" t="n">
        <f aca="false">Prices!D373/Prices!D372-1</f>
        <v>-0.00763618832549173</v>
      </c>
      <c r="E372" s="26" t="n">
        <f aca="false">Prices!E373/Prices!E372-1</f>
        <v>0.0357021081264877</v>
      </c>
      <c r="F372" s="26" t="n">
        <f aca="false">Prices!F373/Prices!F372-1</f>
        <v>0.0271852363028022</v>
      </c>
      <c r="G372" s="26" t="n">
        <f aca="false">Prices!G373/Prices!G372-1</f>
        <v>0.0287153652392946</v>
      </c>
      <c r="H372" s="26" t="n">
        <f aca="false">Prices!H373/Prices!H372-1</f>
        <v>0.0486077372058644</v>
      </c>
      <c r="I372" s="26" t="n">
        <f aca="false">Prices!I373/Prices!I372-1</f>
        <v>-0.00736646566047794</v>
      </c>
      <c r="J372" s="26" t="n">
        <f aca="false">Prices!J373/Prices!J372-1</f>
        <v>-0.0148480022889488</v>
      </c>
      <c r="K372" s="26" t="n">
        <f aca="false">SUMPRODUCT(B372:J372,Optimization!$C$7:$K$7)</f>
        <v>0.0133934291361281</v>
      </c>
      <c r="L372" s="26" t="n">
        <f aca="false">SUMPRODUCT(B372:J372,Optimization!$C$8:$K$8)</f>
        <v>-0.00449232557117422</v>
      </c>
      <c r="M372" s="26" t="n">
        <f aca="false">SUMPRODUCT(B372:J372,Optimization!$C$9:$K$9)</f>
        <v>-0.00406808248028436</v>
      </c>
      <c r="N372" s="26" t="n">
        <f aca="false">SUMPRODUCT(B372:J372,Optimization!$C$10:$K$10)</f>
        <v>-0.00369083416025469</v>
      </c>
      <c r="O372" s="27" t="n">
        <f aca="false">IF(AND(A372&gt;=Inputs!$C$6,A372&lt;=Inputs!$C$7),1,0)</f>
        <v>0</v>
      </c>
      <c r="P372" s="28" t="n">
        <f aca="false">P371*(1+K372)</f>
        <v>135.059928001565</v>
      </c>
      <c r="Q372" s="28" t="n">
        <f aca="false">MAX(Q371,P372)</f>
        <v>146.31253752665</v>
      </c>
      <c r="R372" s="29" t="n">
        <f aca="false">P372/Q372-1</f>
        <v>-0.0769080334146737</v>
      </c>
      <c r="S372" s="26" t="n">
        <f aca="false">IF(A372=Inputs!$C$12,"",F372)</f>
        <v>0.0271852363028022</v>
      </c>
      <c r="T372" s="27" t="n">
        <f aca="false">IF(AND(A372&gt;Risk_Metrics!$C$28,P372&gt;=Risk_Metrics!$C$30),1,0)</f>
        <v>1</v>
      </c>
      <c r="U372" s="26" t="n">
        <f aca="false">IF(A372=Inputs!$C$12,"",K372)</f>
        <v>0.0133934291361281</v>
      </c>
    </row>
    <row r="373" customFormat="false" ht="15" hidden="false" customHeight="false" outlineLevel="0" collapsed="false">
      <c r="A373" s="25" t="n">
        <f aca="false">Prices!A374</f>
        <v>44260</v>
      </c>
      <c r="B373" s="26" t="n">
        <f aca="false">Prices!B374/Prices!B373-1</f>
        <v>0.0752054520547945</v>
      </c>
      <c r="C373" s="26" t="n">
        <f aca="false">Prices!C374/Prices!C373-1</f>
        <v>0.0180213017848729</v>
      </c>
      <c r="D373" s="26" t="n">
        <f aca="false">Prices!D374/Prices!D373-1</f>
        <v>0.0324523931901102</v>
      </c>
      <c r="E373" s="26" t="n">
        <f aca="false">Prices!E374/Prices!E373-1</f>
        <v>-0.00147728172939199</v>
      </c>
      <c r="F373" s="26" t="n">
        <f aca="false">Prices!F374/Prices!F373-1</f>
        <v>-0.0260585922662293</v>
      </c>
      <c r="G373" s="26" t="n">
        <f aca="false">Prices!G374/Prices!G373-1</f>
        <v>0.0470126836434868</v>
      </c>
      <c r="H373" s="26" t="n">
        <f aca="false">Prices!H374/Prices!H373-1</f>
        <v>0.00765076542082643</v>
      </c>
      <c r="I373" s="26" t="n">
        <f aca="false">Prices!I374/Prices!I373-1</f>
        <v>0.0377241346700381</v>
      </c>
      <c r="J373" s="26" t="n">
        <f aca="false">Prices!J374/Prices!J373-1</f>
        <v>0.0136556543227224</v>
      </c>
      <c r="K373" s="26" t="n">
        <f aca="false">SUMPRODUCT(B373:J373,Optimization!$C$7:$K$7)</f>
        <v>0.0226873901212478</v>
      </c>
      <c r="L373" s="26" t="n">
        <f aca="false">SUMPRODUCT(B373:J373,Optimization!$C$8:$K$8)</f>
        <v>0.0346972266106757</v>
      </c>
      <c r="M373" s="26" t="n">
        <f aca="false">SUMPRODUCT(B373:J373,Optimization!$C$9:$K$9)</f>
        <v>0.0345183667660432</v>
      </c>
      <c r="N373" s="26" t="n">
        <f aca="false">SUMPRODUCT(B373:J373,Optimization!$C$10:$K$10)</f>
        <v>0.0354854886968227</v>
      </c>
      <c r="O373" s="27" t="n">
        <f aca="false">IF(AND(A373&gt;=Inputs!$C$6,A373&lt;=Inputs!$C$7),1,0)</f>
        <v>0</v>
      </c>
      <c r="P373" s="28" t="n">
        <f aca="false">P372*(1+K373)</f>
        <v>138.124085277884</v>
      </c>
      <c r="Q373" s="28" t="n">
        <f aca="false">MAX(Q372,P373)</f>
        <v>146.31253752665</v>
      </c>
      <c r="R373" s="29" t="n">
        <f aca="false">P373/Q373-1</f>
        <v>-0.0559654858509625</v>
      </c>
      <c r="S373" s="26" t="n">
        <f aca="false">IF(A373=Inputs!$C$12,"",F373)</f>
        <v>-0.0260585922662293</v>
      </c>
      <c r="T373" s="27" t="n">
        <f aca="false">IF(AND(A373&gt;Risk_Metrics!$C$28,P373&gt;=Risk_Metrics!$C$30),1,0)</f>
        <v>1</v>
      </c>
      <c r="U373" s="26" t="n">
        <f aca="false">IF(A373=Inputs!$C$12,"",K373)</f>
        <v>0.0226873901212478</v>
      </c>
    </row>
    <row r="374" customFormat="false" ht="15" hidden="false" customHeight="false" outlineLevel="0" collapsed="false">
      <c r="A374" s="25" t="n">
        <f aca="false">Prices!A375</f>
        <v>44263</v>
      </c>
      <c r="B374" s="26" t="n">
        <f aca="false">Prices!B375/Prices!B374-1</f>
        <v>-0.0780990846757316</v>
      </c>
      <c r="C374" s="26" t="n">
        <f aca="false">Prices!C375/Prices!C374-1</f>
        <v>-0.0672685077004778</v>
      </c>
      <c r="D374" s="26" t="n">
        <f aca="false">Prices!D375/Prices!D374-1</f>
        <v>-0.0437459804359694</v>
      </c>
      <c r="E374" s="26" t="n">
        <f aca="false">Prices!E375/Prices!E374-1</f>
        <v>-0.0938682033908203</v>
      </c>
      <c r="F374" s="26" t="n">
        <f aca="false">Prices!F375/Prices!F374-1</f>
        <v>-0.068979933110368</v>
      </c>
      <c r="G374" s="26" t="n">
        <f aca="false">Prices!G375/Prices!G374-1</f>
        <v>-0.0411599177343274</v>
      </c>
      <c r="H374" s="26" t="n">
        <f aca="false">Prices!H375/Prices!H374-1</f>
        <v>-0.0576149646098688</v>
      </c>
      <c r="I374" s="26" t="n">
        <f aca="false">Prices!I375/Prices!I374-1</f>
        <v>-0.0500595764516855</v>
      </c>
      <c r="J374" s="26" t="n">
        <f aca="false">Prices!J375/Prices!J374-1</f>
        <v>-0.00538869379691331</v>
      </c>
      <c r="K374" s="26" t="n">
        <f aca="false">SUMPRODUCT(B374:J374,Optimization!$C$7:$K$7)</f>
        <v>-0.056242762434018</v>
      </c>
      <c r="L374" s="26" t="n">
        <f aca="false">SUMPRODUCT(B374:J374,Optimization!$C$8:$K$8)</f>
        <v>-0.0464859847200381</v>
      </c>
      <c r="M374" s="26" t="n">
        <f aca="false">SUMPRODUCT(B374:J374,Optimization!$C$9:$K$9)</f>
        <v>-0.0456228640452293</v>
      </c>
      <c r="N374" s="26" t="n">
        <f aca="false">SUMPRODUCT(B374:J374,Optimization!$C$10:$K$10)</f>
        <v>-0.0476759352927117</v>
      </c>
      <c r="O374" s="27" t="n">
        <f aca="false">IF(AND(A374&gt;=Inputs!$C$6,A374&lt;=Inputs!$C$7),1,0)</f>
        <v>0</v>
      </c>
      <c r="P374" s="28" t="n">
        <f aca="false">P373*(1+K374)</f>
        <v>130.355605163184</v>
      </c>
      <c r="Q374" s="28" t="n">
        <f aca="false">MAX(Q373,P374)</f>
        <v>146.31253752665</v>
      </c>
      <c r="R374" s="29" t="n">
        <f aca="false">P374/Q374-1</f>
        <v>-0.10906059475976</v>
      </c>
      <c r="S374" s="26" t="n">
        <f aca="false">IF(A374=Inputs!$C$12,"",F374)</f>
        <v>-0.068979933110368</v>
      </c>
      <c r="T374" s="27" t="n">
        <f aca="false">IF(AND(A374&gt;Risk_Metrics!$C$28,P374&gt;=Risk_Metrics!$C$30),1,0)</f>
        <v>1</v>
      </c>
      <c r="U374" s="26" t="n">
        <f aca="false">IF(A374=Inputs!$C$12,"",K374)</f>
        <v>-0.056242762434018</v>
      </c>
    </row>
    <row r="375" customFormat="false" ht="15" hidden="false" customHeight="false" outlineLevel="0" collapsed="false">
      <c r="A375" s="25" t="n">
        <f aca="false">Prices!A376</f>
        <v>44264</v>
      </c>
      <c r="B375" s="26" t="n">
        <f aca="false">Prices!B376/Prices!B375-1</f>
        <v>-0.0233554861338379</v>
      </c>
      <c r="C375" s="26" t="n">
        <f aca="false">Prices!C376/Prices!C375-1</f>
        <v>0.0153728215838744</v>
      </c>
      <c r="D375" s="26" t="n">
        <f aca="false">Prices!D376/Prices!D375-1</f>
        <v>0.0321924432395797</v>
      </c>
      <c r="E375" s="26" t="n">
        <f aca="false">Prices!E376/Prices!E375-1</f>
        <v>0.00834548273485991</v>
      </c>
      <c r="F375" s="26" t="n">
        <f aca="false">Prices!F376/Prices!F375-1</f>
        <v>-0.0570273911091154</v>
      </c>
      <c r="G375" s="26" t="n">
        <f aca="false">Prices!G376/Prices!G375-1</f>
        <v>0.000487804878048781</v>
      </c>
      <c r="H375" s="26" t="n">
        <f aca="false">Prices!H376/Prices!H375-1</f>
        <v>0.0232227488151657</v>
      </c>
      <c r="I375" s="26" t="n">
        <f aca="false">Prices!I376/Prices!I375-1</f>
        <v>-0.0128607358467406</v>
      </c>
      <c r="J375" s="26" t="n">
        <f aca="false">Prices!J376/Prices!J375-1</f>
        <v>-0.0100331094618864</v>
      </c>
      <c r="K375" s="26" t="n">
        <f aca="false">SUMPRODUCT(B375:J375,Optimization!$C$7:$K$7)</f>
        <v>-0.00262838014445019</v>
      </c>
      <c r="L375" s="26" t="n">
        <f aca="false">SUMPRODUCT(B375:J375,Optimization!$C$8:$K$8)</f>
        <v>0.00984929419623797</v>
      </c>
      <c r="M375" s="26" t="n">
        <f aca="false">SUMPRODUCT(B375:J375,Optimization!$C$9:$K$9)</f>
        <v>0.00344877359169129</v>
      </c>
      <c r="N375" s="26" t="n">
        <f aca="false">SUMPRODUCT(B375:J375,Optimization!$C$10:$K$10)</f>
        <v>0.0121937682800641</v>
      </c>
      <c r="O375" s="27" t="n">
        <f aca="false">IF(AND(A375&gt;=Inputs!$C$6,A375&lt;=Inputs!$C$7),1,0)</f>
        <v>0</v>
      </c>
      <c r="P375" s="28" t="n">
        <f aca="false">P374*(1+K375)</f>
        <v>130.012981078855</v>
      </c>
      <c r="Q375" s="28" t="n">
        <f aca="false">MAX(Q374,P375)</f>
        <v>146.31253752665</v>
      </c>
      <c r="R375" s="29" t="n">
        <f aca="false">P375/Q375-1</f>
        <v>-0.111402322202402</v>
      </c>
      <c r="S375" s="26" t="n">
        <f aca="false">IF(A375=Inputs!$C$12,"",F375)</f>
        <v>-0.0570273911091154</v>
      </c>
      <c r="T375" s="27" t="n">
        <f aca="false">IF(AND(A375&gt;Risk_Metrics!$C$28,P375&gt;=Risk_Metrics!$C$30),1,0)</f>
        <v>0</v>
      </c>
      <c r="U375" s="26" t="n">
        <f aca="false">IF(A375=Inputs!$C$12,"",K375)</f>
        <v>-0.00262838014445019</v>
      </c>
    </row>
    <row r="376" customFormat="false" ht="15" hidden="false" customHeight="false" outlineLevel="0" collapsed="false">
      <c r="A376" s="25" t="n">
        <f aca="false">Prices!A377</f>
        <v>44265</v>
      </c>
      <c r="B376" s="26" t="n">
        <f aca="false">Prices!B377/Prices!B376-1</f>
        <v>0.0239140094499506</v>
      </c>
      <c r="C376" s="26" t="n">
        <f aca="false">Prices!C377/Prices!C376-1</f>
        <v>0.0338318156135937</v>
      </c>
      <c r="D376" s="26" t="n">
        <f aca="false">Prices!D377/Prices!D376-1</f>
        <v>-0.0351280379227852</v>
      </c>
      <c r="E376" s="26" t="n">
        <f aca="false">Prices!E377/Prices!E376-1</f>
        <v>0.0172723815303208</v>
      </c>
      <c r="F376" s="26" t="n">
        <f aca="false">Prices!F377/Prices!F376-1</f>
        <v>0.0461904285714287</v>
      </c>
      <c r="G376" s="26" t="n">
        <f aca="false">Prices!G377/Prices!G376-1</f>
        <v>0.0165772793759142</v>
      </c>
      <c r="H376" s="26" t="n">
        <f aca="false">Prices!H377/Prices!H376-1</f>
        <v>0.0347383047707273</v>
      </c>
      <c r="I376" s="26" t="n">
        <f aca="false">Prices!I377/Prices!I376-1</f>
        <v>0.0123927563539472</v>
      </c>
      <c r="J376" s="26" t="n">
        <f aca="false">Prices!J377/Prices!J376-1</f>
        <v>-0.0154048447431813</v>
      </c>
      <c r="K376" s="26" t="n">
        <f aca="false">SUMPRODUCT(B376:J376,Optimization!$C$7:$K$7)</f>
        <v>0.0149315658888796</v>
      </c>
      <c r="L376" s="26" t="n">
        <f aca="false">SUMPRODUCT(B376:J376,Optimization!$C$8:$K$8)</f>
        <v>-0.00892100073378104</v>
      </c>
      <c r="M376" s="26" t="n">
        <f aca="false">SUMPRODUCT(B376:J376,Optimization!$C$9:$K$9)</f>
        <v>-0.00292546006486498</v>
      </c>
      <c r="N376" s="26" t="n">
        <f aca="false">SUMPRODUCT(B376:J376,Optimization!$C$10:$K$10)</f>
        <v>-0.0105450742230756</v>
      </c>
      <c r="O376" s="27" t="n">
        <f aca="false">IF(AND(A376&gt;=Inputs!$C$6,A376&lt;=Inputs!$C$7),1,0)</f>
        <v>0</v>
      </c>
      <c r="P376" s="28" t="n">
        <f aca="false">P375*(1+K376)</f>
        <v>131.954278472244</v>
      </c>
      <c r="Q376" s="28" t="n">
        <f aca="false">MAX(Q375,P376)</f>
        <v>146.31253752665</v>
      </c>
      <c r="R376" s="29" t="n">
        <f aca="false">P376/Q376-1</f>
        <v>-0.0981341674276622</v>
      </c>
      <c r="S376" s="26" t="n">
        <f aca="false">IF(A376=Inputs!$C$12,"",F376)</f>
        <v>0.0461904285714287</v>
      </c>
      <c r="T376" s="27" t="n">
        <f aca="false">IF(AND(A376&gt;Risk_Metrics!$C$28,P376&gt;=Risk_Metrics!$C$30),1,0)</f>
        <v>1</v>
      </c>
      <c r="U376" s="26" t="n">
        <f aca="false">IF(A376=Inputs!$C$12,"",K376)</f>
        <v>0.0149315658888796</v>
      </c>
    </row>
    <row r="377" customFormat="false" ht="15" hidden="false" customHeight="false" outlineLevel="0" collapsed="false">
      <c r="A377" s="25" t="n">
        <f aca="false">Prices!A378</f>
        <v>44266</v>
      </c>
      <c r="B377" s="26" t="n">
        <f aca="false">Prices!B378/Prices!B377-1</f>
        <v>0.0222498614946123</v>
      </c>
      <c r="C377" s="26" t="n">
        <f aca="false">Prices!C378/Prices!C377-1</f>
        <v>0.0251311164393822</v>
      </c>
      <c r="D377" s="26" t="n">
        <f aca="false">Prices!D378/Prices!D377-1</f>
        <v>-0.0142905755117582</v>
      </c>
      <c r="E377" s="26" t="n">
        <f aca="false">Prices!E378/Prices!E377-1</f>
        <v>0.0532366103070994</v>
      </c>
      <c r="F377" s="26" t="n">
        <f aca="false">Prices!F378/Prices!F377-1</f>
        <v>0.0227583078178566</v>
      </c>
      <c r="G377" s="26" t="n">
        <f aca="false">Prices!G378/Prices!G377-1</f>
        <v>0.0709832134292565</v>
      </c>
      <c r="H377" s="26" t="n">
        <f aca="false">Prices!H378/Prices!H377-1</f>
        <v>0.0425246642793196</v>
      </c>
      <c r="I377" s="26" t="n">
        <f aca="false">Prices!I378/Prices!I377-1</f>
        <v>0.00219710321482247</v>
      </c>
      <c r="J377" s="26" t="n">
        <f aca="false">Prices!J378/Prices!J377-1</f>
        <v>0.0262480179876887</v>
      </c>
      <c r="K377" s="26" t="n">
        <f aca="false">SUMPRODUCT(B377:J377,Optimization!$C$7:$K$7)</f>
        <v>0.0278931466064755</v>
      </c>
      <c r="L377" s="26" t="n">
        <f aca="false">SUMPRODUCT(B377:J377,Optimization!$C$8:$K$8)</f>
        <v>0.00490736154049761</v>
      </c>
      <c r="M377" s="26" t="n">
        <f aca="false">SUMPRODUCT(B377:J377,Optimization!$C$9:$K$9)</f>
        <v>0.00988126270553466</v>
      </c>
      <c r="N377" s="26" t="n">
        <f aca="false">SUMPRODUCT(B377:J377,Optimization!$C$10:$K$10)</f>
        <v>0.00418543097136765</v>
      </c>
      <c r="O377" s="27" t="n">
        <f aca="false">IF(AND(A377&gt;=Inputs!$C$6,A377&lt;=Inputs!$C$7),1,0)</f>
        <v>0</v>
      </c>
      <c r="P377" s="28" t="n">
        <f aca="false">P376*(1+K377)</f>
        <v>135.634898507022</v>
      </c>
      <c r="Q377" s="28" t="n">
        <f aca="false">MAX(Q376,P377)</f>
        <v>146.31253752665</v>
      </c>
      <c r="R377" s="29" t="n">
        <f aca="false">P377/Q377-1</f>
        <v>-0.0729782915403509</v>
      </c>
      <c r="S377" s="26" t="n">
        <f aca="false">IF(A377=Inputs!$C$12,"",F377)</f>
        <v>0.0227583078178566</v>
      </c>
      <c r="T377" s="27" t="n">
        <f aca="false">IF(AND(A377&gt;Risk_Metrics!$C$28,P377&gt;=Risk_Metrics!$C$30),1,0)</f>
        <v>1</v>
      </c>
      <c r="U377" s="26" t="n">
        <f aca="false">IF(A377=Inputs!$C$12,"",K377)</f>
        <v>0.0278931466064755</v>
      </c>
    </row>
    <row r="378" customFormat="false" ht="15" hidden="false" customHeight="false" outlineLevel="0" collapsed="false">
      <c r="A378" s="25" t="n">
        <f aca="false">Prices!A379</f>
        <v>44267</v>
      </c>
      <c r="B378" s="26" t="n">
        <f aca="false">Prices!B379/Prices!B378-1</f>
        <v>-0.0132486546809699</v>
      </c>
      <c r="C378" s="26" t="n">
        <f aca="false">Prices!C379/Prices!C378-1</f>
        <v>-0.0239858730158729</v>
      </c>
      <c r="D378" s="26" t="n">
        <f aca="false">Prices!D379/Prices!D378-1</f>
        <v>0.0148429760042448</v>
      </c>
      <c r="E378" s="26" t="n">
        <f aca="false">Prices!E379/Prices!E378-1</f>
        <v>-0.000839613784040516</v>
      </c>
      <c r="F378" s="26" t="n">
        <f aca="false">Prices!F379/Prices!F378-1</f>
        <v>-0.0356029833379165</v>
      </c>
      <c r="G378" s="26" t="n">
        <f aca="false">Prices!G379/Prices!G378-1</f>
        <v>0.0394088222122706</v>
      </c>
      <c r="H378" s="26" t="n">
        <f aca="false">Prices!H379/Prices!H378-1</f>
        <v>-0.00515246864952901</v>
      </c>
      <c r="I378" s="26" t="n">
        <f aca="false">Prices!I379/Prices!I378-1</f>
        <v>-0.00125275414112125</v>
      </c>
      <c r="J378" s="26" t="n">
        <f aca="false">Prices!J379/Prices!J378-1</f>
        <v>-0.0230691581665744</v>
      </c>
      <c r="K378" s="26" t="n">
        <f aca="false">SUMPRODUCT(B378:J378,Optimization!$C$7:$K$7)</f>
        <v>-0.00543330083994545</v>
      </c>
      <c r="L378" s="26" t="n">
        <f aca="false">SUMPRODUCT(B378:J378,Optimization!$C$8:$K$8)</f>
        <v>-0.00247924164358755</v>
      </c>
      <c r="M378" s="26" t="n">
        <f aca="false">SUMPRODUCT(B378:J378,Optimization!$C$9:$K$9)</f>
        <v>-0.0070484057993032</v>
      </c>
      <c r="N378" s="26" t="n">
        <f aca="false">SUMPRODUCT(B378:J378,Optimization!$C$10:$K$10)</f>
        <v>-0.00164905909683629</v>
      </c>
      <c r="O378" s="27" t="n">
        <f aca="false">IF(AND(A378&gt;=Inputs!$C$6,A378&lt;=Inputs!$C$7),1,0)</f>
        <v>0</v>
      </c>
      <c r="P378" s="28" t="n">
        <f aca="false">P377*(1+K378)</f>
        <v>134.897953299038</v>
      </c>
      <c r="Q378" s="28" t="n">
        <f aca="false">MAX(Q377,P378)</f>
        <v>146.31253752665</v>
      </c>
      <c r="R378" s="29" t="n">
        <f aca="false">P378/Q378-1</f>
        <v>-0.0780150793675724</v>
      </c>
      <c r="S378" s="26" t="n">
        <f aca="false">IF(A378=Inputs!$C$12,"",F378)</f>
        <v>-0.0356029833379165</v>
      </c>
      <c r="T378" s="27" t="n">
        <f aca="false">IF(AND(A378&gt;Risk_Metrics!$C$28,P378&gt;=Risk_Metrics!$C$30),1,0)</f>
        <v>1</v>
      </c>
      <c r="U378" s="26" t="n">
        <f aca="false">IF(A378=Inputs!$C$12,"",K378)</f>
        <v>-0.00543330083994545</v>
      </c>
    </row>
    <row r="379" customFormat="false" ht="15" hidden="false" customHeight="false" outlineLevel="0" collapsed="false">
      <c r="A379" s="25" t="n">
        <f aca="false">Prices!A380</f>
        <v>44270</v>
      </c>
      <c r="B379" s="26" t="n">
        <f aca="false">Prices!B380/Prices!B379-1</f>
        <v>0.00794632163162956</v>
      </c>
      <c r="C379" s="26" t="n">
        <f aca="false">Prices!C380/Prices!C379-1</f>
        <v>-0.0278280623811338</v>
      </c>
      <c r="D379" s="26" t="n">
        <f aca="false">Prices!D380/Prices!D379-1</f>
        <v>-0.0350339795918367</v>
      </c>
      <c r="E379" s="26" t="n">
        <f aca="false">Prices!E380/Prices!E379-1</f>
        <v>-0.002689075630252</v>
      </c>
      <c r="F379" s="26" t="n">
        <f aca="false">Prices!F380/Prices!F379-1</f>
        <v>0.0239963544070141</v>
      </c>
      <c r="G379" s="26" t="n">
        <f aca="false">Prices!G380/Prices!G379-1</f>
        <v>0.0176648865861648</v>
      </c>
      <c r="H379" s="26" t="n">
        <f aca="false">Prices!H380/Prices!H379-1</f>
        <v>0.0207164436771685</v>
      </c>
      <c r="I379" s="26" t="n">
        <f aca="false">Prices!I380/Prices!I379-1</f>
        <v>0.0253998586522803</v>
      </c>
      <c r="J379" s="26" t="n">
        <f aca="false">Prices!J380/Prices!J379-1</f>
        <v>-0.00595484587361717</v>
      </c>
      <c r="K379" s="26" t="n">
        <f aca="false">SUMPRODUCT(B379:J379,Optimization!$C$7:$K$7)</f>
        <v>0.00269087794193529</v>
      </c>
      <c r="L379" s="26" t="n">
        <f aca="false">SUMPRODUCT(B379:J379,Optimization!$C$8:$K$8)</f>
        <v>-0.0165648598166689</v>
      </c>
      <c r="M379" s="26" t="n">
        <f aca="false">SUMPRODUCT(B379:J379,Optimization!$C$9:$K$9)</f>
        <v>-0.0109823082695682</v>
      </c>
      <c r="N379" s="26" t="n">
        <f aca="false">SUMPRODUCT(B379:J379,Optimization!$C$10:$K$10)</f>
        <v>-0.0199844440559483</v>
      </c>
      <c r="O379" s="27" t="n">
        <f aca="false">IF(AND(A379&gt;=Inputs!$C$6,A379&lt;=Inputs!$C$7),1,0)</f>
        <v>0</v>
      </c>
      <c r="P379" s="28" t="n">
        <f aca="false">P378*(1+K379)</f>
        <v>135.260947225982</v>
      </c>
      <c r="Q379" s="28" t="n">
        <f aca="false">MAX(Q378,P379)</f>
        <v>146.31253752665</v>
      </c>
      <c r="R379" s="29" t="n">
        <f aca="false">P379/Q379-1</f>
        <v>-0.0755341304818455</v>
      </c>
      <c r="S379" s="26" t="n">
        <f aca="false">IF(A379=Inputs!$C$12,"",F379)</f>
        <v>0.0239963544070141</v>
      </c>
      <c r="T379" s="27" t="n">
        <f aca="false">IF(AND(A379&gt;Risk_Metrics!$C$28,P379&gt;=Risk_Metrics!$C$30),1,0)</f>
        <v>1</v>
      </c>
      <c r="U379" s="26" t="n">
        <f aca="false">IF(A379=Inputs!$C$12,"",K379)</f>
        <v>0.00269087794193529</v>
      </c>
    </row>
    <row r="380" customFormat="false" ht="15" hidden="false" customHeight="false" outlineLevel="0" collapsed="false">
      <c r="A380" s="25" t="n">
        <f aca="false">Prices!A381</f>
        <v>44271</v>
      </c>
      <c r="B380" s="26" t="n">
        <f aca="false">Prices!B381/Prices!B380-1</f>
        <v>-0.00312632866657592</v>
      </c>
      <c r="C380" s="26" t="n">
        <f aca="false">Prices!C381/Prices!C380-1</f>
        <v>-0.0250928271444482</v>
      </c>
      <c r="D380" s="26" t="n">
        <f aca="false">Prices!D381/Prices!D380-1</f>
        <v>0.0437081408633013</v>
      </c>
      <c r="E380" s="26" t="n">
        <f aca="false">Prices!E381/Prices!E380-1</f>
        <v>-0.0225817323896192</v>
      </c>
      <c r="F380" s="26" t="n">
        <f aca="false">Prices!F381/Prices!F380-1</f>
        <v>0.00766110826223043</v>
      </c>
      <c r="G380" s="26" t="n">
        <f aca="false">Prices!G381/Prices!G380-1</f>
        <v>-0.0402201930474091</v>
      </c>
      <c r="H380" s="26" t="n">
        <f aca="false">Prices!H381/Prices!H380-1</f>
        <v>-0.0156447780126849</v>
      </c>
      <c r="I380" s="26" t="n">
        <f aca="false">Prices!I381/Prices!I380-1</f>
        <v>-0.00275229131681576</v>
      </c>
      <c r="J380" s="26" t="n">
        <f aca="false">Prices!J381/Prices!J380-1</f>
        <v>-0.00320179714934921</v>
      </c>
      <c r="K380" s="26" t="n">
        <f aca="false">SUMPRODUCT(B380:J380,Optimization!$C$7:$K$7)</f>
        <v>-0.00680563317793006</v>
      </c>
      <c r="L380" s="26" t="n">
        <f aca="false">SUMPRODUCT(B380:J380,Optimization!$C$8:$K$8)</f>
        <v>0.0150497179970532</v>
      </c>
      <c r="M380" s="26" t="n">
        <f aca="false">SUMPRODUCT(B380:J380,Optimization!$C$9:$K$9)</f>
        <v>0.00774697056439749</v>
      </c>
      <c r="N380" s="26" t="n">
        <f aca="false">SUMPRODUCT(B380:J380,Optimization!$C$10:$K$10)</f>
        <v>0.017355514296623</v>
      </c>
      <c r="O380" s="27" t="n">
        <f aca="false">IF(AND(A380&gt;=Inputs!$C$6,A380&lt;=Inputs!$C$7),1,0)</f>
        <v>0</v>
      </c>
      <c r="P380" s="28" t="n">
        <f aca="false">P379*(1+K380)</f>
        <v>134.340410835863</v>
      </c>
      <c r="Q380" s="28" t="n">
        <f aca="false">MAX(Q379,P380)</f>
        <v>146.31253752665</v>
      </c>
      <c r="R380" s="29" t="n">
        <f aca="false">P380/Q380-1</f>
        <v>-0.0818257060753023</v>
      </c>
      <c r="S380" s="26" t="n">
        <f aca="false">IF(A380=Inputs!$C$12,"",F380)</f>
        <v>0.00766110826223043</v>
      </c>
      <c r="T380" s="27" t="n">
        <f aca="false">IF(AND(A380&gt;Risk_Metrics!$C$28,P380&gt;=Risk_Metrics!$C$30),1,0)</f>
        <v>1</v>
      </c>
      <c r="U380" s="26" t="n">
        <f aca="false">IF(A380=Inputs!$C$12,"",K380)</f>
        <v>-0.00680563317793006</v>
      </c>
    </row>
    <row r="381" customFormat="false" ht="15" hidden="false" customHeight="false" outlineLevel="0" collapsed="false">
      <c r="A381" s="25" t="n">
        <f aca="false">Prices!A382</f>
        <v>44272</v>
      </c>
      <c r="B381" s="26" t="n">
        <f aca="false">Prices!B382/Prices!B381-1</f>
        <v>0.0152713807074656</v>
      </c>
      <c r="C381" s="26" t="n">
        <f aca="false">Prices!C382/Prices!C381-1</f>
        <v>0.00953284997014858</v>
      </c>
      <c r="D381" s="26" t="n">
        <f aca="false">Prices!D382/Prices!D381-1</f>
        <v>-0.00168868619761275</v>
      </c>
      <c r="E381" s="26" t="n">
        <f aca="false">Prices!E382/Prices!E381-1</f>
        <v>0.0306896379310344</v>
      </c>
      <c r="F381" s="26" t="n">
        <f aca="false">Prices!F382/Prices!F381-1</f>
        <v>0.0129695432482315</v>
      </c>
      <c r="G381" s="26" t="n">
        <f aca="false">Prices!G382/Prices!G381-1</f>
        <v>0.0123511689457432</v>
      </c>
      <c r="H381" s="26" t="n">
        <f aca="false">Prices!H382/Prices!H381-1</f>
        <v>0.0343642167369322</v>
      </c>
      <c r="I381" s="26" t="n">
        <f aca="false">Prices!I382/Prices!I381-1</f>
        <v>0.0877031115811824</v>
      </c>
      <c r="J381" s="26" t="n">
        <f aca="false">Prices!J382/Prices!J381-1</f>
        <v>0.0144026522763931</v>
      </c>
      <c r="K381" s="26" t="n">
        <f aca="false">SUMPRODUCT(B381:J381,Optimization!$C$7:$K$7)</f>
        <v>0.0239550972443909</v>
      </c>
      <c r="L381" s="26" t="n">
        <f aca="false">SUMPRODUCT(B381:J381,Optimization!$C$8:$K$8)</f>
        <v>0.0139404119785991</v>
      </c>
      <c r="M381" s="26" t="n">
        <f aca="false">SUMPRODUCT(B381:J381,Optimization!$C$9:$K$9)</f>
        <v>0.0190698359509069</v>
      </c>
      <c r="N381" s="26" t="n">
        <f aca="false">SUMPRODUCT(B381:J381,Optimization!$C$10:$K$10)</f>
        <v>0.00840209760592924</v>
      </c>
      <c r="O381" s="27" t="n">
        <f aca="false">IF(AND(A381&gt;=Inputs!$C$6,A381&lt;=Inputs!$C$7),1,0)</f>
        <v>0</v>
      </c>
      <c r="P381" s="28" t="n">
        <f aca="false">P380*(1+K381)</f>
        <v>137.558548441287</v>
      </c>
      <c r="Q381" s="28" t="n">
        <f aca="false">MAX(Q380,P381)</f>
        <v>146.31253752665</v>
      </c>
      <c r="R381" s="29" t="n">
        <f aca="false">P381/Q381-1</f>
        <v>-0.0598307515770362</v>
      </c>
      <c r="S381" s="26" t="n">
        <f aca="false">IF(A381=Inputs!$C$12,"",F381)</f>
        <v>0.0129695432482315</v>
      </c>
      <c r="T381" s="27" t="n">
        <f aca="false">IF(AND(A381&gt;Risk_Metrics!$C$28,P381&gt;=Risk_Metrics!$C$30),1,0)</f>
        <v>1</v>
      </c>
      <c r="U381" s="26" t="n">
        <f aca="false">IF(A381=Inputs!$C$12,"",K381)</f>
        <v>0.0239550972443909</v>
      </c>
    </row>
    <row r="382" customFormat="false" ht="15" hidden="false" customHeight="false" outlineLevel="0" collapsed="false">
      <c r="A382" s="25" t="n">
        <f aca="false">Prices!A383</f>
        <v>44273</v>
      </c>
      <c r="B382" s="26" t="n">
        <f aca="false">Prices!B383/Prices!B382-1</f>
        <v>-0.0200107174323223</v>
      </c>
      <c r="C382" s="26" t="n">
        <f aca="false">Prices!C383/Prices!C382-1</f>
        <v>0.0147308781869688</v>
      </c>
      <c r="D382" s="26" t="n">
        <f aca="false">Prices!D383/Prices!D382-1</f>
        <v>-0.0328145816243093</v>
      </c>
      <c r="E382" s="26" t="n">
        <f aca="false">Prices!E383/Prices!E382-1</f>
        <v>-0.0339578292732992</v>
      </c>
      <c r="F382" s="26" t="n">
        <f aca="false">Prices!F383/Prices!F382-1</f>
        <v>-0.0419425607064017</v>
      </c>
      <c r="G382" s="26" t="n">
        <f aca="false">Prices!G383/Prices!G382-1</f>
        <v>-0.0283225259990185</v>
      </c>
      <c r="H382" s="26" t="n">
        <f aca="false">Prices!H383/Prices!H382-1</f>
        <v>-0.0348837209302325</v>
      </c>
      <c r="I382" s="26" t="n">
        <f aca="false">Prices!I383/Prices!I382-1</f>
        <v>0.0256555564930019</v>
      </c>
      <c r="J382" s="26" t="n">
        <f aca="false">Prices!J383/Prices!J382-1</f>
        <v>-0.0177732172058587</v>
      </c>
      <c r="K382" s="26" t="n">
        <f aca="false">SUMPRODUCT(B382:J382,Optimization!$C$7:$K$7)</f>
        <v>-0.0188131909434968</v>
      </c>
      <c r="L382" s="26" t="n">
        <f aca="false">SUMPRODUCT(B382:J382,Optimization!$C$8:$K$8)</f>
        <v>-0.0163414099438244</v>
      </c>
      <c r="M382" s="26" t="n">
        <f aca="false">SUMPRODUCT(B382:J382,Optimization!$C$9:$K$9)</f>
        <v>-0.0120041825075487</v>
      </c>
      <c r="N382" s="26" t="n">
        <f aca="false">SUMPRODUCT(B382:J382,Optimization!$C$10:$K$10)</f>
        <v>-0.0197046642330069</v>
      </c>
      <c r="O382" s="27" t="n">
        <f aca="false">IF(AND(A382&gt;=Inputs!$C$6,A382&lt;=Inputs!$C$7),1,0)</f>
        <v>0</v>
      </c>
      <c r="P382" s="28" t="n">
        <f aca="false">P381*(1+K382)</f>
        <v>134.970633203551</v>
      </c>
      <c r="Q382" s="28" t="n">
        <f aca="false">MAX(Q381,P382)</f>
        <v>146.31253752665</v>
      </c>
      <c r="R382" s="29" t="n">
        <f aca="false">P382/Q382-1</f>
        <v>-0.0775183351668215</v>
      </c>
      <c r="S382" s="26" t="n">
        <f aca="false">IF(A382=Inputs!$C$12,"",F382)</f>
        <v>-0.0419425607064017</v>
      </c>
      <c r="T382" s="27" t="n">
        <f aca="false">IF(AND(A382&gt;Risk_Metrics!$C$28,P382&gt;=Risk_Metrics!$C$30),1,0)</f>
        <v>1</v>
      </c>
      <c r="U382" s="26" t="n">
        <f aca="false">IF(A382=Inputs!$C$12,"",K382)</f>
        <v>-0.0188131909434968</v>
      </c>
    </row>
    <row r="383" customFormat="false" ht="15" hidden="false" customHeight="false" outlineLevel="0" collapsed="false">
      <c r="A383" s="25" t="n">
        <f aca="false">Prices!A384</f>
        <v>44274</v>
      </c>
      <c r="B383" s="26" t="n">
        <f aca="false">Prices!B384/Prices!B383-1</f>
        <v>-0.00191858295301384</v>
      </c>
      <c r="C383" s="26" t="n">
        <f aca="false">Prices!C384/Prices!C383-1</f>
        <v>0.0355480178671135</v>
      </c>
      <c r="D383" s="26" t="n">
        <f aca="false">Prices!D384/Prices!D383-1</f>
        <v>-0.0108429171038825</v>
      </c>
      <c r="E383" s="26" t="n">
        <f aca="false">Prices!E384/Prices!E383-1</f>
        <v>0.0268398095238096</v>
      </c>
      <c r="F383" s="26" t="n">
        <f aca="false">Prices!F384/Prices!F383-1</f>
        <v>0.0202764045955575</v>
      </c>
      <c r="G383" s="26" t="n">
        <f aca="false">Prices!G384/Prices!G383-1</f>
        <v>0.0497758318285126</v>
      </c>
      <c r="H383" s="26" t="n">
        <f aca="false">Prices!H384/Prices!H383-1</f>
        <v>0.0327022375215147</v>
      </c>
      <c r="I383" s="26" t="n">
        <f aca="false">Prices!I384/Prices!I383-1</f>
        <v>0.0797140963677889</v>
      </c>
      <c r="J383" s="26" t="n">
        <f aca="false">Prices!J384/Prices!J383-1</f>
        <v>-0.0143511329304853</v>
      </c>
      <c r="K383" s="26" t="n">
        <f aca="false">SUMPRODUCT(B383:J383,Optimization!$C$7:$K$7)</f>
        <v>0.0241937516352128</v>
      </c>
      <c r="L383" s="26" t="n">
        <f aca="false">SUMPRODUCT(B383:J383,Optimization!$C$8:$K$8)</f>
        <v>0.00498169782044999</v>
      </c>
      <c r="M383" s="26" t="n">
        <f aca="false">SUMPRODUCT(B383:J383,Optimization!$C$9:$K$9)</f>
        <v>0.00928326586734422</v>
      </c>
      <c r="N383" s="26" t="n">
        <f aca="false">SUMPRODUCT(B383:J383,Optimization!$C$10:$K$10)</f>
        <v>-0.000175622919091453</v>
      </c>
      <c r="O383" s="27" t="n">
        <f aca="false">IF(AND(A383&gt;=Inputs!$C$6,A383&lt;=Inputs!$C$7),1,0)</f>
        <v>0</v>
      </c>
      <c r="P383" s="28" t="n">
        <f aca="false">P382*(1+K383)</f>
        <v>138.236079181325</v>
      </c>
      <c r="Q383" s="28" t="n">
        <f aca="false">MAX(Q382,P383)</f>
        <v>146.31253752665</v>
      </c>
      <c r="R383" s="29" t="n">
        <f aca="false">P383/Q383-1</f>
        <v>-0.0552000428798098</v>
      </c>
      <c r="S383" s="26" t="n">
        <f aca="false">IF(A383=Inputs!$C$12,"",F383)</f>
        <v>0.0202764045955575</v>
      </c>
      <c r="T383" s="27" t="n">
        <f aca="false">IF(AND(A383&gt;Risk_Metrics!$C$28,P383&gt;=Risk_Metrics!$C$30),1,0)</f>
        <v>1</v>
      </c>
      <c r="U383" s="26" t="n">
        <f aca="false">IF(A383=Inputs!$C$12,"",K383)</f>
        <v>0.0241937516352128</v>
      </c>
    </row>
    <row r="384" customFormat="false" ht="15" hidden="false" customHeight="false" outlineLevel="0" collapsed="false">
      <c r="A384" s="25" t="n">
        <f aca="false">Prices!A385</f>
        <v>44277</v>
      </c>
      <c r="B384" s="26" t="n">
        <f aca="false">Prices!B385/Prices!B384-1</f>
        <v>-0.00686530257132223</v>
      </c>
      <c r="C384" s="26" t="n">
        <f aca="false">Prices!C385/Prices!C384-1</f>
        <v>-0.0111429736828698</v>
      </c>
      <c r="D384" s="26" t="n">
        <f aca="false">Prices!D385/Prices!D384-1</f>
        <v>0.00636485126008313</v>
      </c>
      <c r="E384" s="26" t="n">
        <f aca="false">Prices!E385/Prices!E384-1</f>
        <v>-0.0246205569075979</v>
      </c>
      <c r="F384" s="26" t="n">
        <f aca="false">Prices!F385/Prices!F384-1</f>
        <v>0.00316169842645442</v>
      </c>
      <c r="G384" s="26" t="n">
        <f aca="false">Prices!G385/Prices!G384-1</f>
        <v>-0.00341734301580532</v>
      </c>
      <c r="H384" s="26" t="n">
        <f aca="false">Prices!H385/Prices!H384-1</f>
        <v>-0.02</v>
      </c>
      <c r="I384" s="26" t="n">
        <f aca="false">Prices!I385/Prices!I384-1</f>
        <v>0.00101834110074894</v>
      </c>
      <c r="J384" s="26" t="n">
        <f aca="false">Prices!J385/Prices!J384-1</f>
        <v>-0.0165646762667724</v>
      </c>
      <c r="K384" s="26" t="n">
        <f aca="false">SUMPRODUCT(B384:J384,Optimization!$C$7:$K$7)</f>
        <v>-0.00800732907300901</v>
      </c>
      <c r="L384" s="26" t="n">
        <f aca="false">SUMPRODUCT(B384:J384,Optimization!$C$8:$K$8)</f>
        <v>-0.00230922529319974</v>
      </c>
      <c r="M384" s="26" t="n">
        <f aca="false">SUMPRODUCT(B384:J384,Optimization!$C$9:$K$9)</f>
        <v>-0.00465770456257264</v>
      </c>
      <c r="N384" s="26" t="n">
        <f aca="false">SUMPRODUCT(B384:J384,Optimization!$C$10:$K$10)</f>
        <v>-0.00196235652874314</v>
      </c>
      <c r="O384" s="27" t="n">
        <f aca="false">IF(AND(A384&gt;=Inputs!$C$6,A384&lt;=Inputs!$C$7),1,0)</f>
        <v>0</v>
      </c>
      <c r="P384" s="28" t="n">
        <f aca="false">P383*(1+K384)</f>
        <v>137.129177405558</v>
      </c>
      <c r="Q384" s="28" t="n">
        <f aca="false">MAX(Q383,P384)</f>
        <v>146.31253752665</v>
      </c>
      <c r="R384" s="29" t="n">
        <f aca="false">P384/Q384-1</f>
        <v>-0.062765367044636</v>
      </c>
      <c r="S384" s="26" t="n">
        <f aca="false">IF(A384=Inputs!$C$12,"",F384)</f>
        <v>0.00316169842645442</v>
      </c>
      <c r="T384" s="27" t="n">
        <f aca="false">IF(AND(A384&gt;Risk_Metrics!$C$28,P384&gt;=Risk_Metrics!$C$30),1,0)</f>
        <v>1</v>
      </c>
      <c r="U384" s="26" t="n">
        <f aca="false">IF(A384=Inputs!$C$12,"",K384)</f>
        <v>-0.00800732907300901</v>
      </c>
    </row>
    <row r="385" customFormat="false" ht="15" hidden="false" customHeight="false" outlineLevel="0" collapsed="false">
      <c r="A385" s="25" t="n">
        <f aca="false">Prices!A386</f>
        <v>44278</v>
      </c>
      <c r="B385" s="26" t="n">
        <f aca="false">Prices!B386/Prices!B385-1</f>
        <v>0.0152080460332356</v>
      </c>
      <c r="C385" s="26" t="n">
        <f aca="false">Prices!C386/Prices!C385-1</f>
        <v>-0.0154490185387133</v>
      </c>
      <c r="D385" s="26" t="n">
        <f aca="false">Prices!D386/Prices!D385-1</f>
        <v>0.00210825727717001</v>
      </c>
      <c r="E385" s="26" t="n">
        <f aca="false">Prices!E386/Prices!E385-1</f>
        <v>-0.0223029218533887</v>
      </c>
      <c r="F385" s="26" t="n">
        <f aca="false">Prices!F386/Prices!F385-1</f>
        <v>-0.00990540341762292</v>
      </c>
      <c r="G385" s="26" t="n">
        <f aca="false">Prices!G386/Prices!G385-1</f>
        <v>0.00900132876125159</v>
      </c>
      <c r="H385" s="26" t="n">
        <f aca="false">Prices!H386/Prices!H385-1</f>
        <v>-0.030612287414966</v>
      </c>
      <c r="I385" s="26" t="n">
        <f aca="false">Prices!I386/Prices!I385-1</f>
        <v>0.00381486729427105</v>
      </c>
      <c r="J385" s="26" t="n">
        <f aca="false">Prices!J386/Prices!J385-1</f>
        <v>-0.0230662055902393</v>
      </c>
      <c r="K385" s="26" t="n">
        <f aca="false">SUMPRODUCT(B385:J385,Optimization!$C$7:$K$7)</f>
        <v>-0.007911481938778</v>
      </c>
      <c r="L385" s="26" t="n">
        <f aca="false">SUMPRODUCT(B385:J385,Optimization!$C$8:$K$8)</f>
        <v>-0.00211369015416206</v>
      </c>
      <c r="M385" s="26" t="n">
        <f aca="false">SUMPRODUCT(B385:J385,Optimization!$C$9:$K$9)</f>
        <v>-0.00363126985556868</v>
      </c>
      <c r="N385" s="26" t="n">
        <f aca="false">SUMPRODUCT(B385:J385,Optimization!$C$10:$K$10)</f>
        <v>-0.00162558139624163</v>
      </c>
      <c r="O385" s="27" t="n">
        <f aca="false">IF(AND(A385&gt;=Inputs!$C$6,A385&lt;=Inputs!$C$7),1,0)</f>
        <v>0</v>
      </c>
      <c r="P385" s="28" t="n">
        <f aca="false">P384*(1+K385)</f>
        <v>136.044282395234</v>
      </c>
      <c r="Q385" s="28" t="n">
        <f aca="false">MAX(Q384,P385)</f>
        <v>146.31253752665</v>
      </c>
      <c r="R385" s="29" t="n">
        <f aca="false">P385/Q385-1</f>
        <v>-0.0701802819156595</v>
      </c>
      <c r="S385" s="26" t="n">
        <f aca="false">IF(A385=Inputs!$C$12,"",F385)</f>
        <v>-0.00990540341762292</v>
      </c>
      <c r="T385" s="27" t="n">
        <f aca="false">IF(AND(A385&gt;Risk_Metrics!$C$28,P385&gt;=Risk_Metrics!$C$30),1,0)</f>
        <v>1</v>
      </c>
      <c r="U385" s="26" t="n">
        <f aca="false">IF(A385=Inputs!$C$12,"",K385)</f>
        <v>-0.007911481938778</v>
      </c>
    </row>
    <row r="386" customFormat="false" ht="15" hidden="false" customHeight="false" outlineLevel="0" collapsed="false">
      <c r="A386" s="25" t="n">
        <f aca="false">Prices!A387</f>
        <v>44279</v>
      </c>
      <c r="B386" s="26" t="n">
        <f aca="false">Prices!B387/Prices!B386-1</f>
        <v>-0.0592400653683782</v>
      </c>
      <c r="C386" s="26" t="n">
        <f aca="false">Prices!C387/Prices!C386-1</f>
        <v>-0.00701486127144735</v>
      </c>
      <c r="D386" s="26" t="n">
        <f aca="false">Prices!D387/Prices!D386-1</f>
        <v>0.00631139551192139</v>
      </c>
      <c r="E386" s="26" t="n">
        <f aca="false">Prices!E387/Prices!E386-1</f>
        <v>-0.0251104867393543</v>
      </c>
      <c r="F386" s="26" t="n">
        <f aca="false">Prices!F387/Prices!F386-1</f>
        <v>-0.0250113233287858</v>
      </c>
      <c r="G386" s="26" t="n">
        <f aca="false">Prices!G387/Prices!G386-1</f>
        <v>-0.00892102765841008</v>
      </c>
      <c r="H386" s="26" t="n">
        <f aca="false">Prices!H387/Prices!H386-1</f>
        <v>0.000877236880580501</v>
      </c>
      <c r="I386" s="26" t="n">
        <f aca="false">Prices!I387/Prices!I386-1</f>
        <v>-0.0377502266736877</v>
      </c>
      <c r="J386" s="26" t="n">
        <f aca="false">Prices!J387/Prices!J386-1</f>
        <v>0.0229519442774424</v>
      </c>
      <c r="K386" s="26" t="n">
        <f aca="false">SUMPRODUCT(B386:J386,Optimization!$C$7:$K$7)</f>
        <v>-0.0147674904855688</v>
      </c>
      <c r="L386" s="26" t="n">
        <f aca="false">SUMPRODUCT(B386:J386,Optimization!$C$8:$K$8)</f>
        <v>-0.00732091628325737</v>
      </c>
      <c r="M386" s="26" t="n">
        <f aca="false">SUMPRODUCT(B386:J386,Optimization!$C$9:$K$9)</f>
        <v>-0.00999783569069877</v>
      </c>
      <c r="N386" s="26" t="n">
        <f aca="false">SUMPRODUCT(B386:J386,Optimization!$C$10:$K$10)</f>
        <v>-0.00628961488614847</v>
      </c>
      <c r="O386" s="27" t="n">
        <f aca="false">IF(AND(A386&gt;=Inputs!$C$6,A386&lt;=Inputs!$C$7),1,0)</f>
        <v>0</v>
      </c>
      <c r="P386" s="28" t="n">
        <f aca="false">P385*(1+K386)</f>
        <v>134.035249749347</v>
      </c>
      <c r="Q386" s="28" t="n">
        <f aca="false">MAX(Q385,P386)</f>
        <v>146.31253752665</v>
      </c>
      <c r="R386" s="29" t="n">
        <f aca="false">P386/Q386-1</f>
        <v>-0.0839113857557643</v>
      </c>
      <c r="S386" s="26" t="n">
        <f aca="false">IF(A386=Inputs!$C$12,"",F386)</f>
        <v>-0.0250113233287858</v>
      </c>
      <c r="T386" s="27" t="n">
        <f aca="false">IF(AND(A386&gt;Risk_Metrics!$C$28,P386&gt;=Risk_Metrics!$C$30),1,0)</f>
        <v>1</v>
      </c>
      <c r="U386" s="26" t="n">
        <f aca="false">IF(A386=Inputs!$C$12,"",K386)</f>
        <v>-0.0147674904855688</v>
      </c>
    </row>
    <row r="387" customFormat="false" ht="15" hidden="false" customHeight="false" outlineLevel="0" collapsed="false">
      <c r="A387" s="25" t="n">
        <f aca="false">Prices!A388</f>
        <v>44280</v>
      </c>
      <c r="B387" s="26" t="n">
        <f aca="false">Prices!B388/Prices!B387-1</f>
        <v>0.0108569771031564</v>
      </c>
      <c r="C387" s="26" t="n">
        <f aca="false">Prices!C388/Prices!C387-1</f>
        <v>-0.000185945343000538</v>
      </c>
      <c r="D387" s="26" t="n">
        <f aca="false">Prices!D388/Prices!D387-1</f>
        <v>-0.00522655034053832</v>
      </c>
      <c r="E387" s="26" t="n">
        <f aca="false">Prices!E388/Prices!E387-1</f>
        <v>0.0302920001760929</v>
      </c>
      <c r="F387" s="26" t="n">
        <f aca="false">Prices!F388/Prices!F387-1</f>
        <v>0.0149253257963935</v>
      </c>
      <c r="G387" s="26" t="n">
        <f aca="false">Prices!G388/Prices!G387-1</f>
        <v>0.0141448778396915</v>
      </c>
      <c r="H387" s="26" t="n">
        <f aca="false">Prices!H388/Prices!H387-1</f>
        <v>0.0166521034180542</v>
      </c>
      <c r="I387" s="26" t="n">
        <f aca="false">Prices!I388/Prices!I387-1</f>
        <v>-0.0300158200196136</v>
      </c>
      <c r="J387" s="26" t="n">
        <f aca="false">Prices!J388/Prices!J387-1</f>
        <v>-0.00762211470483909</v>
      </c>
      <c r="K387" s="26" t="n">
        <f aca="false">SUMPRODUCT(B387:J387,Optimization!$C$7:$K$7)</f>
        <v>0.00486898376948856</v>
      </c>
      <c r="L387" s="26" t="n">
        <f aca="false">SUMPRODUCT(B387:J387,Optimization!$C$8:$K$8)</f>
        <v>-0.00489584037958005</v>
      </c>
      <c r="M387" s="26" t="n">
        <f aca="false">SUMPRODUCT(B387:J387,Optimization!$C$9:$K$9)</f>
        <v>-0.00543873738217917</v>
      </c>
      <c r="N387" s="26" t="n">
        <f aca="false">SUMPRODUCT(B387:J387,Optimization!$C$10:$K$10)</f>
        <v>-0.00290174097779271</v>
      </c>
      <c r="O387" s="27" t="n">
        <f aca="false">IF(AND(A387&gt;=Inputs!$C$6,A387&lt;=Inputs!$C$7),1,0)</f>
        <v>0</v>
      </c>
      <c r="P387" s="28" t="n">
        <f aca="false">P386*(1+K387)</f>
        <v>134.687865204916</v>
      </c>
      <c r="Q387" s="28" t="n">
        <f aca="false">MAX(Q386,P387)</f>
        <v>146.31253752665</v>
      </c>
      <c r="R387" s="29" t="n">
        <f aca="false">P387/Q387-1</f>
        <v>-0.0794509651615957</v>
      </c>
      <c r="S387" s="26" t="n">
        <f aca="false">IF(A387=Inputs!$C$12,"",F387)</f>
        <v>0.0149253257963935</v>
      </c>
      <c r="T387" s="27" t="n">
        <f aca="false">IF(AND(A387&gt;Risk_Metrics!$C$28,P387&gt;=Risk_Metrics!$C$30),1,0)</f>
        <v>1</v>
      </c>
      <c r="U387" s="26" t="n">
        <f aca="false">IF(A387=Inputs!$C$12,"",K387)</f>
        <v>0.00486898376948856</v>
      </c>
    </row>
    <row r="388" customFormat="false" ht="15" hidden="false" customHeight="false" outlineLevel="0" collapsed="false">
      <c r="A388" s="25" t="n">
        <f aca="false">Prices!A389</f>
        <v>44281</v>
      </c>
      <c r="B388" s="26" t="n">
        <f aca="false">Prices!B389/Prices!B388-1</f>
        <v>0.00959470114292715</v>
      </c>
      <c r="C388" s="26" t="n">
        <f aca="false">Prices!C389/Prices!C388-1</f>
        <v>0.00427664575219944</v>
      </c>
      <c r="D388" s="26" t="n">
        <f aca="false">Prices!D389/Prices!D388-1</f>
        <v>-0.00140101581089369</v>
      </c>
      <c r="E388" s="26" t="n">
        <f aca="false">Prices!E389/Prices!E388-1</f>
        <v>0.0110915670966825</v>
      </c>
      <c r="F388" s="26" t="n">
        <f aca="false">Prices!F389/Prices!F388-1</f>
        <v>-0.00735294117647056</v>
      </c>
      <c r="G388" s="26" t="n">
        <f aca="false">Prices!G389/Prices!G388-1</f>
        <v>0.000845308537616107</v>
      </c>
      <c r="H388" s="26" t="n">
        <f aca="false">Prices!H389/Prices!H388-1</f>
        <v>0.0112068098617755</v>
      </c>
      <c r="I388" s="26" t="n">
        <f aca="false">Prices!I389/Prices!I388-1</f>
        <v>-0.0108577963368637</v>
      </c>
      <c r="J388" s="26" t="n">
        <f aca="false">Prices!J389/Prices!J388-1</f>
        <v>0.033427054664062</v>
      </c>
      <c r="K388" s="26" t="n">
        <f aca="false">SUMPRODUCT(B388:J388,Optimization!$C$7:$K$7)</f>
        <v>0.00564781485900386</v>
      </c>
      <c r="L388" s="26" t="n">
        <f aca="false">SUMPRODUCT(B388:J388,Optimization!$C$8:$K$8)</f>
        <v>0.00588294398214195</v>
      </c>
      <c r="M388" s="26" t="n">
        <f aca="false">SUMPRODUCT(B388:J388,Optimization!$C$9:$K$9)</f>
        <v>0.0081617921617724</v>
      </c>
      <c r="N388" s="26" t="n">
        <f aca="false">SUMPRODUCT(B388:J388,Optimization!$C$10:$K$10)</f>
        <v>0.00612523546459356</v>
      </c>
      <c r="O388" s="27" t="n">
        <f aca="false">IF(AND(A388&gt;=Inputs!$C$6,A388&lt;=Inputs!$C$7),1,0)</f>
        <v>0</v>
      </c>
      <c r="P388" s="28" t="n">
        <f aca="false">P387*(1+K388)</f>
        <v>135.448557331348</v>
      </c>
      <c r="Q388" s="28" t="n">
        <f aca="false">MAX(Q387,P388)</f>
        <v>146.31253752665</v>
      </c>
      <c r="R388" s="29" t="n">
        <f aca="false">P388/Q388-1</f>
        <v>-0.0742518746441938</v>
      </c>
      <c r="S388" s="26" t="n">
        <f aca="false">IF(A388=Inputs!$C$12,"",F388)</f>
        <v>-0.00735294117647056</v>
      </c>
      <c r="T388" s="27" t="n">
        <f aca="false">IF(AND(A388&gt;Risk_Metrics!$C$28,P388&gt;=Risk_Metrics!$C$30),1,0)</f>
        <v>1</v>
      </c>
      <c r="U388" s="26" t="n">
        <f aca="false">IF(A388=Inputs!$C$12,"",K388)</f>
        <v>0.00564781485900386</v>
      </c>
    </row>
    <row r="389" customFormat="false" ht="15" hidden="false" customHeight="false" outlineLevel="0" collapsed="false">
      <c r="A389" s="25" t="n">
        <f aca="false">Prices!A390</f>
        <v>44284</v>
      </c>
      <c r="B389" s="26" t="n">
        <f aca="false">Prices!B390/Prices!B389-1</f>
        <v>-0.0197162978723404</v>
      </c>
      <c r="C389" s="26" t="n">
        <f aca="false">Prices!C390/Prices!C389-1</f>
        <v>-0.00759109480400633</v>
      </c>
      <c r="D389" s="26" t="n">
        <f aca="false">Prices!D390/Prices!D389-1</f>
        <v>0.00420901438091903</v>
      </c>
      <c r="E389" s="26" t="n">
        <f aca="false">Prices!E390/Prices!E389-1</f>
        <v>0.00208948284868526</v>
      </c>
      <c r="F389" s="26" t="n">
        <f aca="false">Prices!F390/Prices!F389-1</f>
        <v>0.00231481481481466</v>
      </c>
      <c r="G389" s="26" t="n">
        <f aca="false">Prices!G390/Prices!G389-1</f>
        <v>-0.0067567567567568</v>
      </c>
      <c r="H389" s="26" t="n">
        <f aca="false">Prices!H390/Prices!H389-1</f>
        <v>0.0157715692997258</v>
      </c>
      <c r="I389" s="26" t="n">
        <f aca="false">Prices!I390/Prices!I389-1</f>
        <v>-0.030460931279791</v>
      </c>
      <c r="J389" s="26" t="n">
        <f aca="false">Prices!J390/Prices!J389-1</f>
        <v>0.0256464359431219</v>
      </c>
      <c r="K389" s="26" t="n">
        <f aca="false">SUMPRODUCT(B389:J389,Optimization!$C$7:$K$7)</f>
        <v>-0.0016104181584031</v>
      </c>
      <c r="L389" s="26" t="n">
        <f aca="false">SUMPRODUCT(B389:J389,Optimization!$C$8:$K$8)</f>
        <v>-0.000970751592405716</v>
      </c>
      <c r="M389" s="26" t="n">
        <f aca="false">SUMPRODUCT(B389:J389,Optimization!$C$9:$K$9)</f>
        <v>-0.00176415302015037</v>
      </c>
      <c r="N389" s="26" t="n">
        <f aca="false">SUMPRODUCT(B389:J389,Optimization!$C$10:$K$10)</f>
        <v>0.00025650242977788</v>
      </c>
      <c r="O389" s="27" t="n">
        <f aca="false">IF(AND(A389&gt;=Inputs!$C$6,A389&lt;=Inputs!$C$7),1,0)</f>
        <v>0</v>
      </c>
      <c r="P389" s="28" t="n">
        <f aca="false">P388*(1+K389)</f>
        <v>135.230428515092</v>
      </c>
      <c r="Q389" s="28" t="n">
        <f aca="false">MAX(Q388,P389)</f>
        <v>146.31253752665</v>
      </c>
      <c r="R389" s="29" t="n">
        <f aca="false">P389/Q389-1</f>
        <v>-0.0757427162353743</v>
      </c>
      <c r="S389" s="26" t="n">
        <f aca="false">IF(A389=Inputs!$C$12,"",F389)</f>
        <v>0.00231481481481466</v>
      </c>
      <c r="T389" s="27" t="n">
        <f aca="false">IF(AND(A389&gt;Risk_Metrics!$C$28,P389&gt;=Risk_Metrics!$C$30),1,0)</f>
        <v>1</v>
      </c>
      <c r="U389" s="26" t="n">
        <f aca="false">IF(A389=Inputs!$C$12,"",K389)</f>
        <v>-0.0016104181584031</v>
      </c>
    </row>
    <row r="390" customFormat="false" ht="15" hidden="false" customHeight="false" outlineLevel="0" collapsed="false">
      <c r="A390" s="25" t="n">
        <f aca="false">Prices!A391</f>
        <v>44285</v>
      </c>
      <c r="B390" s="26" t="n">
        <f aca="false">Prices!B391/Prices!B390-1</f>
        <v>0.0244537979387385</v>
      </c>
      <c r="C390" s="26" t="n">
        <f aca="false">Prices!C391/Prices!C390-1</f>
        <v>-0.00186576489056411</v>
      </c>
      <c r="D390" s="26" t="n">
        <f aca="false">Prices!D391/Prices!D390-1</f>
        <v>-0.010827768453642</v>
      </c>
      <c r="E390" s="26" t="n">
        <f aca="false">Prices!E391/Prices!E390-1</f>
        <v>0.0390964385594517</v>
      </c>
      <c r="F390" s="26" t="n">
        <f aca="false">Prices!F391/Prices!F390-1</f>
        <v>0.0392609699769053</v>
      </c>
      <c r="G390" s="26" t="n">
        <f aca="false">Prices!G391/Prices!G390-1</f>
        <v>0.056122448979592</v>
      </c>
      <c r="H390" s="26" t="n">
        <f aca="false">Prices!H391/Prices!H390-1</f>
        <v>0</v>
      </c>
      <c r="I390" s="26" t="n">
        <f aca="false">Prices!I391/Prices!I390-1</f>
        <v>0.0553542931818649</v>
      </c>
      <c r="J390" s="26" t="n">
        <f aca="false">Prices!J391/Prices!J390-1</f>
        <v>-0.00928764005038874</v>
      </c>
      <c r="K390" s="26" t="n">
        <f aca="false">SUMPRODUCT(B390:J390,Optimization!$C$7:$K$7)</f>
        <v>0.0213674194713286</v>
      </c>
      <c r="L390" s="26" t="n">
        <f aca="false">SUMPRODUCT(B390:J390,Optimization!$C$8:$K$8)</f>
        <v>0.00268020887846685</v>
      </c>
      <c r="M390" s="26" t="n">
        <f aca="false">SUMPRODUCT(B390:J390,Optimization!$C$9:$K$9)</f>
        <v>0.00650462502728892</v>
      </c>
      <c r="N390" s="26" t="n">
        <f aca="false">SUMPRODUCT(B390:J390,Optimization!$C$10:$K$10)</f>
        <v>-0.000752724242562379</v>
      </c>
      <c r="O390" s="27" t="n">
        <f aca="false">IF(AND(A390&gt;=Inputs!$C$6,A390&lt;=Inputs!$C$7),1,0)</f>
        <v>0</v>
      </c>
      <c r="P390" s="28" t="n">
        <f aca="false">P389*(1+K390)</f>
        <v>138.119953806461</v>
      </c>
      <c r="Q390" s="28" t="n">
        <f aca="false">MAX(Q389,P390)</f>
        <v>146.31253752665</v>
      </c>
      <c r="R390" s="29" t="n">
        <f aca="false">P390/Q390-1</f>
        <v>-0.0559937231537447</v>
      </c>
      <c r="S390" s="26" t="n">
        <f aca="false">IF(A390=Inputs!$C$12,"",F390)</f>
        <v>0.0392609699769053</v>
      </c>
      <c r="T390" s="27" t="n">
        <f aca="false">IF(AND(A390&gt;Risk_Metrics!$C$28,P390&gt;=Risk_Metrics!$C$30),1,0)</f>
        <v>1</v>
      </c>
      <c r="U390" s="26" t="n">
        <f aca="false">IF(A390=Inputs!$C$12,"",K390)</f>
        <v>0.0213674194713286</v>
      </c>
    </row>
    <row r="391" customFormat="false" ht="15" hidden="false" customHeight="false" outlineLevel="0" collapsed="false">
      <c r="A391" s="25" t="n">
        <f aca="false">Prices!A392</f>
        <v>44286</v>
      </c>
      <c r="B391" s="26" t="n">
        <f aca="false">Prices!B392/Prices!B391-1</f>
        <v>-0.0063560025555367</v>
      </c>
      <c r="C391" s="26" t="n">
        <f aca="false">Prices!C392/Prices!C391-1</f>
        <v>0.0209346744624057</v>
      </c>
      <c r="D391" s="26" t="n">
        <f aca="false">Prices!D392/Prices!D391-1</f>
        <v>-0.0243644420903955</v>
      </c>
      <c r="E391" s="26" t="n">
        <f aca="false">Prices!E392/Prices!E391-1</f>
        <v>-0.00117055185903936</v>
      </c>
      <c r="F391" s="26" t="n">
        <f aca="false">Prices!F392/Prices!F391-1</f>
        <v>-0.00622217777777778</v>
      </c>
      <c r="G391" s="26" t="n">
        <f aca="false">Prices!G392/Prices!G391-1</f>
        <v>-0.0140901771336555</v>
      </c>
      <c r="H391" s="26" t="n">
        <f aca="false">Prices!H392/Prices!H391-1</f>
        <v>0.0113302559798574</v>
      </c>
      <c r="I391" s="26" t="n">
        <f aca="false">Prices!I392/Prices!I391-1</f>
        <v>-0.028157053469852</v>
      </c>
      <c r="J391" s="26" t="n">
        <f aca="false">Prices!J392/Prices!J391-1</f>
        <v>0.00927166992891726</v>
      </c>
      <c r="K391" s="26" t="n">
        <f aca="false">SUMPRODUCT(B391:J391,Optimization!$C$7:$K$7)</f>
        <v>-0.00431375605723071</v>
      </c>
      <c r="L391" s="26" t="n">
        <f aca="false">SUMPRODUCT(B391:J391,Optimization!$C$8:$K$8)</f>
        <v>-0.0104568565792361</v>
      </c>
      <c r="M391" s="26" t="n">
        <f aca="false">SUMPRODUCT(B391:J391,Optimization!$C$9:$K$9)</f>
        <v>-0.0071438678008235</v>
      </c>
      <c r="N391" s="26" t="n">
        <f aca="false">SUMPRODUCT(B391:J391,Optimization!$C$10:$K$10)</f>
        <v>-0.0101057651282536</v>
      </c>
      <c r="O391" s="27" t="n">
        <f aca="false">IF(AND(A391&gt;=Inputs!$C$6,A391&lt;=Inputs!$C$7),1,0)</f>
        <v>0</v>
      </c>
      <c r="P391" s="28" t="n">
        <f aca="false">P390*(1+K391)</f>
        <v>137.524138019104</v>
      </c>
      <c r="Q391" s="28" t="n">
        <f aca="false">MAX(Q390,P391)</f>
        <v>146.31253752665</v>
      </c>
      <c r="R391" s="29" t="n">
        <f aca="false">P391/Q391-1</f>
        <v>-0.060065935948554</v>
      </c>
      <c r="S391" s="26" t="n">
        <f aca="false">IF(A391=Inputs!$C$12,"",F391)</f>
        <v>-0.00622217777777778</v>
      </c>
      <c r="T391" s="27" t="n">
        <f aca="false">IF(AND(A391&gt;Risk_Metrics!$C$28,P391&gt;=Risk_Metrics!$C$30),1,0)</f>
        <v>1</v>
      </c>
      <c r="U391" s="26" t="n">
        <f aca="false">IF(A391=Inputs!$C$12,"",K391)</f>
        <v>-0.00431375605723071</v>
      </c>
    </row>
    <row r="392" customFormat="false" ht="15" hidden="false" customHeight="false" outlineLevel="0" collapsed="false">
      <c r="A392" s="25" t="n">
        <f aca="false">Prices!A393</f>
        <v>44287</v>
      </c>
      <c r="B392" s="26" t="n">
        <f aca="false">Prices!B393/Prices!B392-1</f>
        <v>-0.00625435696529797</v>
      </c>
      <c r="C392" s="26" t="n">
        <f aca="false">Prices!C393/Prices!C392-1</f>
        <v>-0.0184913581382029</v>
      </c>
      <c r="D392" s="26" t="n">
        <f aca="false">Prices!D393/Prices!D392-1</f>
        <v>0.0152008691712222</v>
      </c>
      <c r="E392" s="26" t="n">
        <f aca="false">Prices!E393/Prices!E392-1</f>
        <v>0.00519003850661304</v>
      </c>
      <c r="F392" s="26" t="n">
        <f aca="false">Prices!F393/Prices!F392-1</f>
        <v>0.00178886396293088</v>
      </c>
      <c r="G392" s="26" t="n">
        <f aca="false">Prices!G393/Prices!G392-1</f>
        <v>-0.0122498570845243</v>
      </c>
      <c r="H392" s="26" t="n">
        <f aca="false">Prices!H393/Prices!H392-1</f>
        <v>-0.00871373443983414</v>
      </c>
      <c r="I392" s="26" t="n">
        <f aca="false">Prices!I393/Prices!I392-1</f>
        <v>-0.0228270133349143</v>
      </c>
      <c r="J392" s="26" t="n">
        <f aca="false">Prices!J393/Prices!J392-1</f>
        <v>-0.0059202000008145</v>
      </c>
      <c r="K392" s="26" t="n">
        <f aca="false">SUMPRODUCT(B392:J392,Optimization!$C$7:$K$7)</f>
        <v>-0.00580852759142467</v>
      </c>
      <c r="L392" s="26" t="n">
        <f aca="false">SUMPRODUCT(B392:J392,Optimization!$C$8:$K$8)</f>
        <v>0.000192823458095832</v>
      </c>
      <c r="M392" s="26" t="n">
        <f aca="false">SUMPRODUCT(B392:J392,Optimization!$C$9:$K$9)</f>
        <v>-0.00379921084207841</v>
      </c>
      <c r="N392" s="26" t="n">
        <f aca="false">SUMPRODUCT(B392:J392,Optimization!$C$10:$K$10)</f>
        <v>0.00229089310230396</v>
      </c>
      <c r="O392" s="27" t="n">
        <f aca="false">IF(AND(A392&gt;=Inputs!$C$6,A392&lt;=Inputs!$C$7),1,0)</f>
        <v>0</v>
      </c>
      <c r="P392" s="28" t="n">
        <f aca="false">P391*(1+K392)</f>
        <v>136.725325268933</v>
      </c>
      <c r="Q392" s="28" t="n">
        <f aca="false">MAX(Q391,P392)</f>
        <v>146.31253752665</v>
      </c>
      <c r="R392" s="29" t="n">
        <f aca="false">P392/Q392-1</f>
        <v>-0.0655255688937169</v>
      </c>
      <c r="S392" s="26" t="n">
        <f aca="false">IF(A392=Inputs!$C$12,"",F392)</f>
        <v>0.00178886396293088</v>
      </c>
      <c r="T392" s="27" t="n">
        <f aca="false">IF(AND(A392&gt;Risk_Metrics!$C$28,P392&gt;=Risk_Metrics!$C$30),1,0)</f>
        <v>1</v>
      </c>
      <c r="U392" s="26" t="n">
        <f aca="false">IF(A392=Inputs!$C$12,"",K392)</f>
        <v>-0.00580852759142467</v>
      </c>
    </row>
    <row r="393" customFormat="false" ht="15" hidden="false" customHeight="false" outlineLevel="0" collapsed="false">
      <c r="A393" s="25" t="n">
        <f aca="false">Prices!A394</f>
        <v>44291</v>
      </c>
      <c r="B393" s="26" t="n">
        <f aca="false">Prices!B394/Prices!B393-1</f>
        <v>0.0160205254744372</v>
      </c>
      <c r="C393" s="26" t="n">
        <f aca="false">Prices!C394/Prices!C393-1</f>
        <v>0.0132437597513286</v>
      </c>
      <c r="D393" s="26" t="n">
        <f aca="false">Prices!D394/Prices!D393-1</f>
        <v>0.00106955440533163</v>
      </c>
      <c r="E393" s="26" t="n">
        <f aca="false">Prices!E394/Prices!E393-1</f>
        <v>0.0248167550829987</v>
      </c>
      <c r="F393" s="26" t="n">
        <f aca="false">Prices!F394/Prices!F393-1</f>
        <v>0.0196428571428573</v>
      </c>
      <c r="G393" s="26" t="n">
        <f aca="false">Prices!G394/Prices!G393-1</f>
        <v>0.0148820994261225</v>
      </c>
      <c r="H393" s="26" t="n">
        <f aca="false">Prices!H394/Prices!H393-1</f>
        <v>0.00627886171112868</v>
      </c>
      <c r="I393" s="26" t="n">
        <f aca="false">Prices!I394/Prices!I393-1</f>
        <v>0.00299499859224306</v>
      </c>
      <c r="J393" s="26" t="n">
        <f aca="false">Prices!J394/Prices!J393-1</f>
        <v>0.061607968596447</v>
      </c>
      <c r="K393" s="26" t="n">
        <f aca="false">SUMPRODUCT(B393:J393,Optimization!$C$7:$K$7)</f>
        <v>0.0178397089092105</v>
      </c>
      <c r="L393" s="26" t="n">
        <f aca="false">SUMPRODUCT(B393:J393,Optimization!$C$8:$K$8)</f>
        <v>0.0151952444166547</v>
      </c>
      <c r="M393" s="26" t="n">
        <f aca="false">SUMPRODUCT(B393:J393,Optimization!$C$9:$K$9)</f>
        <v>0.0198286036171651</v>
      </c>
      <c r="N393" s="26" t="n">
        <f aca="false">SUMPRODUCT(B393:J393,Optimization!$C$10:$K$10)</f>
        <v>0.0143790906174496</v>
      </c>
      <c r="O393" s="27" t="n">
        <f aca="false">IF(AND(A393&gt;=Inputs!$C$6,A393&lt;=Inputs!$C$7),1,0)</f>
        <v>0</v>
      </c>
      <c r="P393" s="28" t="n">
        <f aca="false">P392*(1+K393)</f>
        <v>139.164465272248</v>
      </c>
      <c r="Q393" s="28" t="n">
        <f aca="false">MAX(Q392,P393)</f>
        <v>146.31253752665</v>
      </c>
      <c r="R393" s="29" t="n">
        <f aca="false">P393/Q393-1</f>
        <v>-0.0488548170596805</v>
      </c>
      <c r="S393" s="26" t="n">
        <f aca="false">IF(A393=Inputs!$C$12,"",F393)</f>
        <v>0.0196428571428573</v>
      </c>
      <c r="T393" s="27" t="n">
        <f aca="false">IF(AND(A393&gt;Risk_Metrics!$C$28,P393&gt;=Risk_Metrics!$C$30),1,0)</f>
        <v>1</v>
      </c>
      <c r="U393" s="26" t="n">
        <f aca="false">IF(A393=Inputs!$C$12,"",K393)</f>
        <v>0.0178397089092105</v>
      </c>
    </row>
    <row r="394" customFormat="false" ht="15" hidden="false" customHeight="false" outlineLevel="0" collapsed="false">
      <c r="A394" s="25" t="n">
        <f aca="false">Prices!A395</f>
        <v>44292</v>
      </c>
      <c r="B394" s="26" t="n">
        <f aca="false">Prices!B395/Prices!B394-1</f>
        <v>0.0275939606869486</v>
      </c>
      <c r="C394" s="26" t="n">
        <f aca="false">Prices!C395/Prices!C394-1</f>
        <v>0.0138070689652601</v>
      </c>
      <c r="D394" s="26" t="n">
        <f aca="false">Prices!D395/Prices!D394-1</f>
        <v>0.0185185185185186</v>
      </c>
      <c r="E394" s="26" t="n">
        <f aca="false">Prices!E395/Prices!E394-1</f>
        <v>0.0134893875099851</v>
      </c>
      <c r="F394" s="26" t="n">
        <f aca="false">Prices!F395/Prices!F394-1</f>
        <v>-0.00612955341506127</v>
      </c>
      <c r="G394" s="26" t="n">
        <f aca="false">Prices!G395/Prices!G394-1</f>
        <v>-0.0114052550470573</v>
      </c>
      <c r="H394" s="26" t="n">
        <f aca="false">Prices!H395/Prices!H394-1</f>
        <v>-0.000831988318136911</v>
      </c>
      <c r="I394" s="26" t="n">
        <f aca="false">Prices!I395/Prices!I394-1</f>
        <v>0.0426991912392243</v>
      </c>
      <c r="J394" s="26" t="n">
        <f aca="false">Prices!J395/Prices!J394-1</f>
        <v>-0.0129605959276583</v>
      </c>
      <c r="K394" s="26" t="n">
        <f aca="false">SUMPRODUCT(B394:J394,Optimization!$C$7:$K$7)</f>
        <v>0.00942008157911366</v>
      </c>
      <c r="L394" s="26" t="n">
        <f aca="false">SUMPRODUCT(B394:J394,Optimization!$C$8:$K$8)</f>
        <v>0.016520465258129</v>
      </c>
      <c r="M394" s="26" t="n">
        <f aca="false">SUMPRODUCT(B394:J394,Optimization!$C$9:$K$9)</f>
        <v>0.0155371519280884</v>
      </c>
      <c r="N394" s="26" t="n">
        <f aca="false">SUMPRODUCT(B394:J394,Optimization!$C$10:$K$10)</f>
        <v>0.0157071484783426</v>
      </c>
      <c r="O394" s="27" t="n">
        <f aca="false">IF(AND(A394&gt;=Inputs!$C$6,A394&lt;=Inputs!$C$7),1,0)</f>
        <v>0</v>
      </c>
      <c r="P394" s="28" t="n">
        <f aca="false">P393*(1+K394)</f>
        <v>140.475405888026</v>
      </c>
      <c r="Q394" s="28" t="n">
        <f aca="false">MAX(Q393,P394)</f>
        <v>146.31253752665</v>
      </c>
      <c r="R394" s="29" t="n">
        <f aca="false">P394/Q394-1</f>
        <v>-0.0398949518428017</v>
      </c>
      <c r="S394" s="26" t="n">
        <f aca="false">IF(A394=Inputs!$C$12,"",F394)</f>
        <v>-0.00612955341506127</v>
      </c>
      <c r="T394" s="27" t="n">
        <f aca="false">IF(AND(A394&gt;Risk_Metrics!$C$28,P394&gt;=Risk_Metrics!$C$30),1,0)</f>
        <v>1</v>
      </c>
      <c r="U394" s="26" t="n">
        <f aca="false">IF(A394=Inputs!$C$12,"",K394)</f>
        <v>0.00942008157911366</v>
      </c>
    </row>
    <row r="395" customFormat="false" ht="15" hidden="false" customHeight="false" outlineLevel="0" collapsed="false">
      <c r="A395" s="25" t="n">
        <f aca="false">Prices!A396</f>
        <v>44293</v>
      </c>
      <c r="B395" s="26" t="n">
        <f aca="false">Prices!B396/Prices!B395-1</f>
        <v>-0.0176736681099786</v>
      </c>
      <c r="C395" s="26" t="n">
        <f aca="false">Prices!C396/Prices!C395-1</f>
        <v>-0.0021790992885582</v>
      </c>
      <c r="D395" s="26" t="n">
        <f aca="false">Prices!D396/Prices!D395-1</f>
        <v>0.00804195804195795</v>
      </c>
      <c r="E395" s="26" t="n">
        <f aca="false">Prices!E396/Prices!E395-1</f>
        <v>0.00064145284410766</v>
      </c>
      <c r="F395" s="26" t="n">
        <f aca="false">Prices!F396/Prices!F395-1</f>
        <v>-0.0224669593626891</v>
      </c>
      <c r="G395" s="26" t="n">
        <f aca="false">Prices!G396/Prices!G395-1</f>
        <v>-0.011536876802637</v>
      </c>
      <c r="H395" s="26" t="n">
        <f aca="false">Prices!H396/Prices!H395-1</f>
        <v>-0.000832639467110763</v>
      </c>
      <c r="I395" s="26" t="n">
        <f aca="false">Prices!I396/Prices!I395-1</f>
        <v>-0.00429547561829746</v>
      </c>
      <c r="J395" s="26" t="n">
        <f aca="false">Prices!J396/Prices!J395-1</f>
        <v>0.0245957366605858</v>
      </c>
      <c r="K395" s="26" t="n">
        <f aca="false">SUMPRODUCT(B395:J395,Optimization!$C$7:$K$7)</f>
        <v>-0.00285617456695775</v>
      </c>
      <c r="L395" s="26" t="n">
        <f aca="false">SUMPRODUCT(B395:J395,Optimization!$C$8:$K$8)</f>
        <v>0.00419024884483585</v>
      </c>
      <c r="M395" s="26" t="n">
        <f aca="false">SUMPRODUCT(B395:J395,Optimization!$C$9:$K$9)</f>
        <v>0.00386424833271159</v>
      </c>
      <c r="N395" s="26" t="n">
        <f aca="false">SUMPRODUCT(B395:J395,Optimization!$C$10:$K$10)</f>
        <v>0.0040603085455349</v>
      </c>
      <c r="O395" s="27" t="n">
        <f aca="false">IF(AND(A395&gt;=Inputs!$C$6,A395&lt;=Inputs!$C$7),1,0)</f>
        <v>0</v>
      </c>
      <c r="P395" s="28" t="n">
        <f aca="false">P394*(1+K395)</f>
        <v>140.074183606446</v>
      </c>
      <c r="Q395" s="28" t="n">
        <f aca="false">MAX(Q394,P395)</f>
        <v>146.31253752665</v>
      </c>
      <c r="R395" s="29" t="n">
        <f aca="false">P395/Q395-1</f>
        <v>-0.0426371794629561</v>
      </c>
      <c r="S395" s="26" t="n">
        <f aca="false">IF(A395=Inputs!$C$12,"",F395)</f>
        <v>-0.0224669593626891</v>
      </c>
      <c r="T395" s="27" t="n">
        <f aca="false">IF(AND(A395&gt;Risk_Metrics!$C$28,P395&gt;=Risk_Metrics!$C$30),1,0)</f>
        <v>1</v>
      </c>
      <c r="U395" s="26" t="n">
        <f aca="false">IF(A395=Inputs!$C$12,"",K395)</f>
        <v>-0.00285617456695775</v>
      </c>
    </row>
    <row r="396" customFormat="false" ht="15" hidden="false" customHeight="false" outlineLevel="0" collapsed="false">
      <c r="A396" s="25" t="n">
        <f aca="false">Prices!A397</f>
        <v>44294</v>
      </c>
      <c r="B396" s="26" t="n">
        <f aca="false">Prices!B397/Prices!B396-1</f>
        <v>0.0199442128289071</v>
      </c>
      <c r="C396" s="26" t="n">
        <f aca="false">Prices!C397/Prices!C396-1</f>
        <v>0.016378581123879</v>
      </c>
      <c r="D396" s="26" t="n">
        <f aca="false">Prices!D397/Prices!D396-1</f>
        <v>0.0121401318071455</v>
      </c>
      <c r="E396" s="26" t="n">
        <f aca="false">Prices!E397/Prices!E396-1</f>
        <v>0.0192307045118363</v>
      </c>
      <c r="F396" s="26" t="n">
        <f aca="false">Prices!F397/Prices!F396-1</f>
        <v>0.00901297841311499</v>
      </c>
      <c r="G396" s="26" t="n">
        <f aca="false">Prices!G397/Prices!G396-1</f>
        <v>-0.0254273030429344</v>
      </c>
      <c r="H396" s="26" t="n">
        <f aca="false">Prices!H397/Prices!H396-1</f>
        <v>-0.0124999583333333</v>
      </c>
      <c r="I396" s="26" t="n">
        <f aca="false">Prices!I397/Prices!I396-1</f>
        <v>-0.0143802128271499</v>
      </c>
      <c r="J396" s="26" t="n">
        <f aca="false">Prices!J397/Prices!J396-1</f>
        <v>-0.000573814089017022</v>
      </c>
      <c r="K396" s="26" t="n">
        <f aca="false">SUMPRODUCT(B396:J396,Optimization!$C$7:$K$7)</f>
        <v>0.00264725782138315</v>
      </c>
      <c r="L396" s="26" t="n">
        <f aca="false">SUMPRODUCT(B396:J396,Optimization!$C$8:$K$8)</f>
        <v>0.0091908327143709</v>
      </c>
      <c r="M396" s="26" t="n">
        <f aca="false">SUMPRODUCT(B396:J396,Optimization!$C$9:$K$9)</f>
        <v>0.00763620080916872</v>
      </c>
      <c r="N396" s="26" t="n">
        <f aca="false">SUMPRODUCT(B396:J396,Optimization!$C$10:$K$10)</f>
        <v>0.0113033353785292</v>
      </c>
      <c r="O396" s="27" t="n">
        <f aca="false">IF(AND(A396&gt;=Inputs!$C$6,A396&lt;=Inputs!$C$7),1,0)</f>
        <v>0</v>
      </c>
      <c r="P396" s="28" t="n">
        <f aca="false">P395*(1+K396)</f>
        <v>140.444996084572</v>
      </c>
      <c r="Q396" s="28" t="n">
        <f aca="false">MAX(Q395,P396)</f>
        <v>146.31253752665</v>
      </c>
      <c r="R396" s="29" t="n">
        <f aca="false">P396/Q396-1</f>
        <v>-0.0401027932483878</v>
      </c>
      <c r="S396" s="26" t="n">
        <f aca="false">IF(A396=Inputs!$C$12,"",F396)</f>
        <v>0.00901297841311499</v>
      </c>
      <c r="T396" s="27" t="n">
        <f aca="false">IF(AND(A396&gt;Risk_Metrics!$C$28,P396&gt;=Risk_Metrics!$C$30),1,0)</f>
        <v>1</v>
      </c>
      <c r="U396" s="26" t="n">
        <f aca="false">IF(A396=Inputs!$C$12,"",K396)</f>
        <v>0.00264725782138315</v>
      </c>
    </row>
    <row r="397" customFormat="false" ht="15" hidden="false" customHeight="false" outlineLevel="0" collapsed="false">
      <c r="A397" s="25" t="n">
        <f aca="false">Prices!A398</f>
        <v>44295</v>
      </c>
      <c r="B397" s="26" t="n">
        <f aca="false">Prices!B398/Prices!B397-1</f>
        <v>0.018597033444429</v>
      </c>
      <c r="C397" s="26" t="n">
        <f aca="false">Prices!C398/Prices!C397-1</f>
        <v>-0.0112802683745699</v>
      </c>
      <c r="D397" s="26" t="n">
        <f aca="false">Prices!D398/Prices!D397-1</f>
        <v>0.00891024674434537</v>
      </c>
      <c r="E397" s="26" t="n">
        <f aca="false">Prices!E398/Prices!E397-1</f>
        <v>-0.00959113237707965</v>
      </c>
      <c r="F397" s="26" t="n">
        <f aca="false">Prices!F398/Prices!F397-1</f>
        <v>-0.0214380983223804</v>
      </c>
      <c r="G397" s="26" t="n">
        <f aca="false">Prices!G398/Prices!G397-1</f>
        <v>0.0136869980191188</v>
      </c>
      <c r="H397" s="26" t="n">
        <f aca="false">Prices!H398/Prices!H397-1</f>
        <v>-0.00210974674642428</v>
      </c>
      <c r="I397" s="26" t="n">
        <f aca="false">Prices!I398/Prices!I397-1</f>
        <v>-0.0026262036766852</v>
      </c>
      <c r="J397" s="26" t="n">
        <f aca="false">Prices!J398/Prices!J397-1</f>
        <v>-0.0143540669856459</v>
      </c>
      <c r="K397" s="26" t="n">
        <f aca="false">SUMPRODUCT(B397:J397,Optimization!$C$7:$K$7)</f>
        <v>-0.00224502647498802</v>
      </c>
      <c r="L397" s="26" t="n">
        <f aca="false">SUMPRODUCT(B397:J397,Optimization!$C$8:$K$8)</f>
        <v>0.00281477181596324</v>
      </c>
      <c r="M397" s="26" t="n">
        <f aca="false">SUMPRODUCT(B397:J397,Optimization!$C$9:$K$9)</f>
        <v>0.000747869409323043</v>
      </c>
      <c r="N397" s="26" t="n">
        <f aca="false">SUMPRODUCT(B397:J397,Optimization!$C$10:$K$10)</f>
        <v>0.00401929495417544</v>
      </c>
      <c r="O397" s="27" t="n">
        <f aca="false">IF(AND(A397&gt;=Inputs!$C$6,A397&lt;=Inputs!$C$7),1,0)</f>
        <v>0</v>
      </c>
      <c r="P397" s="28" t="n">
        <f aca="false">P396*(1+K397)</f>
        <v>140.129693350083</v>
      </c>
      <c r="Q397" s="28" t="n">
        <f aca="false">MAX(Q396,P397)</f>
        <v>146.31253752665</v>
      </c>
      <c r="R397" s="29" t="n">
        <f aca="false">P397/Q397-1</f>
        <v>-0.0422577878908123</v>
      </c>
      <c r="S397" s="26" t="n">
        <f aca="false">IF(A397=Inputs!$C$12,"",F397)</f>
        <v>-0.0214380983223804</v>
      </c>
      <c r="T397" s="27" t="n">
        <f aca="false">IF(AND(A397&gt;Risk_Metrics!$C$28,P397&gt;=Risk_Metrics!$C$30),1,0)</f>
        <v>1</v>
      </c>
      <c r="U397" s="26" t="n">
        <f aca="false">IF(A397=Inputs!$C$12,"",K397)</f>
        <v>-0.00224502647498802</v>
      </c>
    </row>
    <row r="398" customFormat="false" ht="15" hidden="false" customHeight="false" outlineLevel="0" collapsed="false">
      <c r="A398" s="25" t="n">
        <f aca="false">Prices!A399</f>
        <v>44298</v>
      </c>
      <c r="B398" s="26" t="n">
        <f aca="false">Prices!B399/Prices!B398-1</f>
        <v>-0.00147672174726055</v>
      </c>
      <c r="C398" s="26" t="n">
        <f aca="false">Prices!C399/Prices!C398-1</f>
        <v>0.00996019594205699</v>
      </c>
      <c r="D398" s="26" t="n">
        <f aca="false">Prices!D399/Prices!D398-1</f>
        <v>0.0173233689767878</v>
      </c>
      <c r="E398" s="26" t="n">
        <f aca="false">Prices!E399/Prices!E398-1</f>
        <v>-0.000158787104023284</v>
      </c>
      <c r="F398" s="26" t="n">
        <f aca="false">Prices!F399/Prices!F398-1</f>
        <v>0.00502053856686446</v>
      </c>
      <c r="G398" s="26" t="n">
        <f aca="false">Prices!G399/Prices!G398-1</f>
        <v>-0.00717299547793271</v>
      </c>
      <c r="H398" s="26" t="n">
        <f aca="false">Prices!H399/Prices!H398-1</f>
        <v>0.0101479492600423</v>
      </c>
      <c r="I398" s="26" t="n">
        <f aca="false">Prices!I399/Prices!I398-1</f>
        <v>-0.0122879461673492</v>
      </c>
      <c r="J398" s="26" t="n">
        <f aca="false">Prices!J399/Prices!J398-1</f>
        <v>0.00388351456310687</v>
      </c>
      <c r="K398" s="26" t="n">
        <f aca="false">SUMPRODUCT(B398:J398,Optimization!$C$7:$K$7)</f>
        <v>0.00280434631247696</v>
      </c>
      <c r="L398" s="26" t="n">
        <f aca="false">SUMPRODUCT(B398:J398,Optimization!$C$8:$K$8)</f>
        <v>0.00826290763328689</v>
      </c>
      <c r="M398" s="26" t="n">
        <f aca="false">SUMPRODUCT(B398:J398,Optimization!$C$9:$K$9)</f>
        <v>0.00560457999701341</v>
      </c>
      <c r="N398" s="26" t="n">
        <f aca="false">SUMPRODUCT(B398:J398,Optimization!$C$10:$K$10)</f>
        <v>0.00994179772143152</v>
      </c>
      <c r="O398" s="27" t="n">
        <f aca="false">IF(AND(A398&gt;=Inputs!$C$6,A398&lt;=Inputs!$C$7),1,0)</f>
        <v>0</v>
      </c>
      <c r="P398" s="28" t="n">
        <f aca="false">P397*(1+K398)</f>
        <v>140.522665538897</v>
      </c>
      <c r="Q398" s="28" t="n">
        <f aca="false">MAX(Q397,P398)</f>
        <v>146.31253752665</v>
      </c>
      <c r="R398" s="29" t="n">
        <f aca="false">P398/Q398-1</f>
        <v>-0.0395719470499804</v>
      </c>
      <c r="S398" s="26" t="n">
        <f aca="false">IF(A398=Inputs!$C$12,"",F398)</f>
        <v>0.00502053856686446</v>
      </c>
      <c r="T398" s="27" t="n">
        <f aca="false">IF(AND(A398&gt;Risk_Metrics!$C$28,P398&gt;=Risk_Metrics!$C$30),1,0)</f>
        <v>1</v>
      </c>
      <c r="U398" s="26" t="n">
        <f aca="false">IF(A398=Inputs!$C$12,"",K398)</f>
        <v>0.00280434631247696</v>
      </c>
    </row>
    <row r="399" customFormat="false" ht="15" hidden="false" customHeight="false" outlineLevel="0" collapsed="false">
      <c r="A399" s="25" t="n">
        <f aca="false">Prices!A400</f>
        <v>44299</v>
      </c>
      <c r="B399" s="26" t="n">
        <f aca="false">Prices!B400/Prices!B399-1</f>
        <v>0.000134471637582845</v>
      </c>
      <c r="C399" s="26" t="n">
        <f aca="false">Prices!C400/Prices!C399-1</f>
        <v>-0.00842754168908011</v>
      </c>
      <c r="D399" s="26" t="n">
        <f aca="false">Prices!D400/Prices!D399-1</f>
        <v>0.000333823027251379</v>
      </c>
      <c r="E399" s="26" t="n">
        <f aca="false">Prices!E400/Prices!E399-1</f>
        <v>0.00349318831375056</v>
      </c>
      <c r="F399" s="26" t="n">
        <f aca="false">Prices!F400/Prices!F399-1</f>
        <v>0.0930971843778383</v>
      </c>
      <c r="G399" s="26" t="n">
        <f aca="false">Prices!G400/Prices!G399-1</f>
        <v>0.0114746276466373</v>
      </c>
      <c r="H399" s="26" t="n">
        <f aca="false">Prices!H400/Prices!H399-1</f>
        <v>0.00334868159684731</v>
      </c>
      <c r="I399" s="26" t="n">
        <f aca="false">Prices!I400/Prices!I399-1</f>
        <v>0</v>
      </c>
      <c r="J399" s="26" t="n">
        <f aca="false">Prices!J400/Prices!J399-1</f>
        <v>0.00174081234543877</v>
      </c>
      <c r="K399" s="26" t="n">
        <f aca="false">SUMPRODUCT(B399:J399,Optimization!$C$7:$K$7)</f>
        <v>0.0116883608062518</v>
      </c>
      <c r="L399" s="26" t="n">
        <f aca="false">SUMPRODUCT(B399:J399,Optimization!$C$8:$K$8)</f>
        <v>-0.000638924700049437</v>
      </c>
      <c r="M399" s="26" t="n">
        <f aca="false">SUMPRODUCT(B399:J399,Optimization!$C$9:$K$9)</f>
        <v>-0.00056242104434803</v>
      </c>
      <c r="N399" s="26" t="n">
        <f aca="false">SUMPRODUCT(B399:J399,Optimization!$C$10:$K$10)</f>
        <v>-0.000713954819413479</v>
      </c>
      <c r="O399" s="27" t="n">
        <f aca="false">IF(AND(A399&gt;=Inputs!$C$6,A399&lt;=Inputs!$C$7),1,0)</f>
        <v>0</v>
      </c>
      <c r="P399" s="28" t="n">
        <f aca="false">P398*(1+K399)</f>
        <v>142.165145155172</v>
      </c>
      <c r="Q399" s="28" t="n">
        <f aca="false">MAX(Q398,P399)</f>
        <v>146.31253752665</v>
      </c>
      <c r="R399" s="29" t="n">
        <f aca="false">P399/Q399-1</f>
        <v>-0.0283461174386545</v>
      </c>
      <c r="S399" s="26" t="n">
        <f aca="false">IF(A399=Inputs!$C$12,"",F399)</f>
        <v>0.0930971843778383</v>
      </c>
      <c r="T399" s="27" t="n">
        <f aca="false">IF(AND(A399&gt;Risk_Metrics!$C$28,P399&gt;=Risk_Metrics!$C$30),1,0)</f>
        <v>1</v>
      </c>
      <c r="U399" s="26" t="n">
        <f aca="false">IF(A399=Inputs!$C$12,"",K399)</f>
        <v>0.0116883608062518</v>
      </c>
    </row>
    <row r="400" customFormat="false" ht="15" hidden="false" customHeight="false" outlineLevel="0" collapsed="false">
      <c r="A400" s="25" t="n">
        <f aca="false">Prices!A401</f>
        <v>44300</v>
      </c>
      <c r="B400" s="26" t="n">
        <f aca="false">Prices!B401/Prices!B400-1</f>
        <v>0.00430165350586975</v>
      </c>
      <c r="C400" s="26" t="n">
        <f aca="false">Prices!C401/Prices!C400-1</f>
        <v>-0.00488245966600065</v>
      </c>
      <c r="D400" s="26" t="n">
        <f aca="false">Prices!D401/Prices!D400-1</f>
        <v>-0.00867817118418457</v>
      </c>
      <c r="E400" s="26" t="n">
        <f aca="false">Prices!E401/Prices!E400-1</f>
        <v>0.0071202688746792</v>
      </c>
      <c r="F400" s="26" t="n">
        <f aca="false">Prices!F401/Prices!F400-1</f>
        <v>-0.0315746157041961</v>
      </c>
      <c r="G400" s="26" t="n">
        <f aca="false">Prices!G401/Prices!G400-1</f>
        <v>-0.0218486563801957</v>
      </c>
      <c r="H400" s="26" t="n">
        <f aca="false">Prices!H401/Prices!H400-1</f>
        <v>0.0158531921507381</v>
      </c>
      <c r="I400" s="26" t="n">
        <f aca="false">Prices!I401/Prices!I400-1</f>
        <v>-0.0343601916090162</v>
      </c>
      <c r="J400" s="26" t="n">
        <f aca="false">Prices!J401/Prices!J400-1</f>
        <v>0.0330179371883002</v>
      </c>
      <c r="K400" s="26" t="n">
        <f aca="false">SUMPRODUCT(B400:J400,Optimization!$C$7:$K$7)</f>
        <v>-0.00456122698044511</v>
      </c>
      <c r="L400" s="26" t="n">
        <f aca="false">SUMPRODUCT(B400:J400,Optimization!$C$8:$K$8)</f>
        <v>-0.00179892270501991</v>
      </c>
      <c r="M400" s="26" t="n">
        <f aca="false">SUMPRODUCT(B400:J400,Optimization!$C$9:$K$9)</f>
        <v>0.00030031932341112</v>
      </c>
      <c r="N400" s="26" t="n">
        <f aca="false">SUMPRODUCT(B400:J400,Optimization!$C$10:$K$10)</f>
        <v>-0.000622136373342575</v>
      </c>
      <c r="O400" s="27" t="n">
        <f aca="false">IF(AND(A400&gt;=Inputs!$C$6,A400&lt;=Inputs!$C$7),1,0)</f>
        <v>0</v>
      </c>
      <c r="P400" s="28" t="n">
        <f aca="false">P399*(1+K400)</f>
        <v>141.516697659412</v>
      </c>
      <c r="Q400" s="28" t="n">
        <f aca="false">MAX(Q399,P400)</f>
        <v>146.31253752665</v>
      </c>
      <c r="R400" s="29" t="n">
        <f aca="false">P400/Q400-1</f>
        <v>-0.0327780513434476</v>
      </c>
      <c r="S400" s="26" t="n">
        <f aca="false">IF(A400=Inputs!$C$12,"",F400)</f>
        <v>-0.0315746157041961</v>
      </c>
      <c r="T400" s="27" t="n">
        <f aca="false">IF(AND(A400&gt;Risk_Metrics!$C$28,P400&gt;=Risk_Metrics!$C$30),1,0)</f>
        <v>1</v>
      </c>
      <c r="U400" s="26" t="n">
        <f aca="false">IF(A400=Inputs!$C$12,"",K400)</f>
        <v>-0.00456122698044511</v>
      </c>
    </row>
    <row r="401" customFormat="false" ht="15" hidden="false" customHeight="false" outlineLevel="0" collapsed="false">
      <c r="A401" s="25" t="n">
        <f aca="false">Prices!A402</f>
        <v>44301</v>
      </c>
      <c r="B401" s="26" t="n">
        <f aca="false">Prices!B402/Prices!B401-1</f>
        <v>0.0835229297754374</v>
      </c>
      <c r="C401" s="26" t="n">
        <f aca="false">Prices!C402/Prices!C401-1</f>
        <v>-0.0085407602064882</v>
      </c>
      <c r="D401" s="26" t="n">
        <f aca="false">Prices!D402/Prices!D401-1</f>
        <v>0.0117844440476618</v>
      </c>
      <c r="E401" s="26" t="n">
        <f aca="false">Prices!E402/Prices!E401-1</f>
        <v>-0.00078560877342948</v>
      </c>
      <c r="F401" s="26" t="n">
        <f aca="false">Prices!F402/Prices!F401-1</f>
        <v>-0.00214495933697811</v>
      </c>
      <c r="G401" s="26" t="n">
        <f aca="false">Prices!G402/Prices!G401-1</f>
        <v>0.0189002569200922</v>
      </c>
      <c r="H401" s="26" t="n">
        <f aca="false">Prices!H402/Prices!H401-1</f>
        <v>-0.0517453798767967</v>
      </c>
      <c r="I401" s="26" t="n">
        <f aca="false">Prices!I402/Prices!I401-1</f>
        <v>-0.0196318723700535</v>
      </c>
      <c r="J401" s="26" t="n">
        <f aca="false">Prices!J402/Prices!J401-1</f>
        <v>0.0113084018691589</v>
      </c>
      <c r="K401" s="26" t="n">
        <f aca="false">SUMPRODUCT(B401:J401,Optimization!$C$7:$K$7)</f>
        <v>0.00474082800540048</v>
      </c>
      <c r="L401" s="26" t="n">
        <f aca="false">SUMPRODUCT(B401:J401,Optimization!$C$8:$K$8)</f>
        <v>0.0172061089376609</v>
      </c>
      <c r="M401" s="26" t="n">
        <f aca="false">SUMPRODUCT(B401:J401,Optimization!$C$9:$K$9)</f>
        <v>0.0175804855056291</v>
      </c>
      <c r="N401" s="26" t="n">
        <f aca="false">SUMPRODUCT(B401:J401,Optimization!$C$10:$K$10)</f>
        <v>0.0205556256839608</v>
      </c>
      <c r="O401" s="27" t="n">
        <f aca="false">IF(AND(A401&gt;=Inputs!$C$6,A401&lt;=Inputs!$C$7),1,0)</f>
        <v>0</v>
      </c>
      <c r="P401" s="28" t="n">
        <f aca="false">P400*(1+K401)</f>
        <v>142.187603982907</v>
      </c>
      <c r="Q401" s="28" t="n">
        <f aca="false">MAX(Q400,P401)</f>
        <v>146.31253752665</v>
      </c>
      <c r="R401" s="29" t="n">
        <f aca="false">P401/Q401-1</f>
        <v>-0.0281926184418185</v>
      </c>
      <c r="S401" s="26" t="n">
        <f aca="false">IF(A401=Inputs!$C$12,"",F401)</f>
        <v>-0.00214495933697811</v>
      </c>
      <c r="T401" s="27" t="n">
        <f aca="false">IF(AND(A401&gt;Risk_Metrics!$C$28,P401&gt;=Risk_Metrics!$C$30),1,0)</f>
        <v>1</v>
      </c>
      <c r="U401" s="26" t="n">
        <f aca="false">IF(A401=Inputs!$C$12,"",K401)</f>
        <v>0.00474082800540048</v>
      </c>
    </row>
    <row r="402" customFormat="false" ht="15" hidden="false" customHeight="false" outlineLevel="0" collapsed="false">
      <c r="A402" s="25" t="n">
        <f aca="false">Prices!A403</f>
        <v>44302</v>
      </c>
      <c r="B402" s="26" t="n">
        <f aca="false">Prices!B403/Prices!B402-1</f>
        <v>-0.0169239660379481</v>
      </c>
      <c r="C402" s="26" t="n">
        <f aca="false">Prices!C403/Prices!C402-1</f>
        <v>0.015395840007179</v>
      </c>
      <c r="D402" s="26" t="n">
        <f aca="false">Prices!D403/Prices!D402-1</f>
        <v>-0.0173044265325932</v>
      </c>
      <c r="E402" s="26" t="n">
        <f aca="false">Prices!E403/Prices!E402-1</f>
        <v>0.00911952858866449</v>
      </c>
      <c r="F402" s="26" t="n">
        <f aca="false">Prices!F403/Prices!F402-1</f>
        <v>0.0146173688736027</v>
      </c>
      <c r="G402" s="26" t="n">
        <f aca="false">Prices!G403/Prices!G402-1</f>
        <v>0.00548064947220284</v>
      </c>
      <c r="H402" s="26" t="n">
        <f aca="false">Prices!H403/Prices!H402-1</f>
        <v>-0.00606318752706803</v>
      </c>
      <c r="I402" s="26" t="n">
        <f aca="false">Prices!I403/Prices!I402-1</f>
        <v>0.0100125159578384</v>
      </c>
      <c r="J402" s="26" t="n">
        <f aca="false">Prices!J403/Prices!J402-1</f>
        <v>0.00425098423667869</v>
      </c>
      <c r="K402" s="26" t="n">
        <f aca="false">SUMPRODUCT(B402:J402,Optimization!$C$7:$K$7)</f>
        <v>0.00206503411539518</v>
      </c>
      <c r="L402" s="26" t="n">
        <f aca="false">SUMPRODUCT(B402:J402,Optimization!$C$8:$K$8)</f>
        <v>-0.00672075760239259</v>
      </c>
      <c r="M402" s="26" t="n">
        <f aca="false">SUMPRODUCT(B402:J402,Optimization!$C$9:$K$9)</f>
        <v>-0.00367394486235351</v>
      </c>
      <c r="N402" s="26" t="n">
        <f aca="false">SUMPRODUCT(B402:J402,Optimization!$C$10:$K$10)</f>
        <v>-0.00859281229977945</v>
      </c>
      <c r="O402" s="27" t="n">
        <f aca="false">IF(AND(A402&gt;=Inputs!$C$6,A402&lt;=Inputs!$C$7),1,0)</f>
        <v>0</v>
      </c>
      <c r="P402" s="28" t="n">
        <f aca="false">P401*(1+K402)</f>
        <v>142.481226235918</v>
      </c>
      <c r="Q402" s="28" t="n">
        <f aca="false">MAX(Q401,P402)</f>
        <v>146.31253752665</v>
      </c>
      <c r="R402" s="29" t="n">
        <f aca="false">P402/Q402-1</f>
        <v>-0.0261858030453082</v>
      </c>
      <c r="S402" s="26" t="n">
        <f aca="false">IF(A402=Inputs!$C$12,"",F402)</f>
        <v>0.0146173688736027</v>
      </c>
      <c r="T402" s="27" t="n">
        <f aca="false">IF(AND(A402&gt;Risk_Metrics!$C$28,P402&gt;=Risk_Metrics!$C$30),1,0)</f>
        <v>1</v>
      </c>
      <c r="U402" s="26" t="n">
        <f aca="false">IF(A402=Inputs!$C$12,"",K402)</f>
        <v>0.00206503411539518</v>
      </c>
    </row>
    <row r="403" customFormat="false" ht="15" hidden="false" customHeight="false" outlineLevel="0" collapsed="false">
      <c r="A403" s="25" t="n">
        <f aca="false">Prices!A404</f>
        <v>44305</v>
      </c>
      <c r="B403" s="26" t="n">
        <f aca="false">Prices!B404/Prices!B403-1</f>
        <v>-0.0128173407183377</v>
      </c>
      <c r="C403" s="26" t="n">
        <f aca="false">Prices!C404/Prices!C403-1</f>
        <v>-0.018772420466825</v>
      </c>
      <c r="D403" s="26" t="n">
        <f aca="false">Prices!D404/Prices!D403-1</f>
        <v>0.0104977646292663</v>
      </c>
      <c r="E403" s="26" t="n">
        <f aca="false">Prices!E404/Prices!E403-1</f>
        <v>-0.0271112651916486</v>
      </c>
      <c r="F403" s="26" t="n">
        <f aca="false">Prices!F404/Prices!F403-1</f>
        <v>-0.010593220338983</v>
      </c>
      <c r="G403" s="26" t="n">
        <f aca="false">Prices!G404/Prices!G403-1</f>
        <v>0.00293501048218037</v>
      </c>
      <c r="H403" s="26" t="n">
        <f aca="false">Prices!H404/Prices!H403-1</f>
        <v>0.0579520671916309</v>
      </c>
      <c r="I403" s="26" t="n">
        <f aca="false">Prices!I404/Prices!I403-1</f>
        <v>0.00681539674149323</v>
      </c>
      <c r="J403" s="26" t="n">
        <f aca="false">Prices!J404/Prices!J403-1</f>
        <v>-0.00864999555811175</v>
      </c>
      <c r="K403" s="26" t="n">
        <f aca="false">SUMPRODUCT(B403:J403,Optimization!$C$7:$K$7)</f>
        <v>2.8444085629409E-005</v>
      </c>
      <c r="L403" s="26" t="n">
        <f aca="false">SUMPRODUCT(B403:J403,Optimization!$C$8:$K$8)</f>
        <v>-0.000500843023877288</v>
      </c>
      <c r="M403" s="26" t="n">
        <f aca="false">SUMPRODUCT(B403:J403,Optimization!$C$9:$K$9)</f>
        <v>-0.00304378367410978</v>
      </c>
      <c r="N403" s="26" t="n">
        <f aca="false">SUMPRODUCT(B403:J403,Optimization!$C$10:$K$10)</f>
        <v>-0.000628274827106198</v>
      </c>
      <c r="O403" s="27" t="n">
        <f aca="false">IF(AND(A403&gt;=Inputs!$C$6,A403&lt;=Inputs!$C$7),1,0)</f>
        <v>0</v>
      </c>
      <c r="P403" s="28" t="n">
        <f aca="false">P402*(1+K403)</f>
        <v>142.485278984118</v>
      </c>
      <c r="Q403" s="28" t="n">
        <f aca="false">MAX(Q402,P403)</f>
        <v>146.31253752665</v>
      </c>
      <c r="R403" s="29" t="n">
        <f aca="false">P403/Q403-1</f>
        <v>-0.0261581037909027</v>
      </c>
      <c r="S403" s="26" t="n">
        <f aca="false">IF(A403=Inputs!$C$12,"",F403)</f>
        <v>-0.010593220338983</v>
      </c>
      <c r="T403" s="27" t="n">
        <f aca="false">IF(AND(A403&gt;Risk_Metrics!$C$28,P403&gt;=Risk_Metrics!$C$30),1,0)</f>
        <v>1</v>
      </c>
      <c r="U403" s="26" t="n">
        <f aca="false">IF(A403=Inputs!$C$12,"",K403)</f>
        <v>2.8444085629409E-005</v>
      </c>
    </row>
    <row r="404" customFormat="false" ht="15" hidden="false" customHeight="false" outlineLevel="0" collapsed="false">
      <c r="A404" s="25" t="n">
        <f aca="false">Prices!A405</f>
        <v>44306</v>
      </c>
      <c r="B404" s="26" t="n">
        <f aca="false">Prices!B405/Prices!B404-1</f>
        <v>0.00343691454778305</v>
      </c>
      <c r="C404" s="26" t="n">
        <f aca="false">Prices!C405/Prices!C404-1</f>
        <v>-0.0117734540963876</v>
      </c>
      <c r="D404" s="26" t="n">
        <f aca="false">Prices!D405/Prices!D404-1</f>
        <v>0.00837801608579092</v>
      </c>
      <c r="E404" s="26" t="n">
        <f aca="false">Prices!E405/Prices!E404-1</f>
        <v>-0.0105701475107327</v>
      </c>
      <c r="F404" s="26" t="n">
        <f aca="false">Prices!F405/Prices!F404-1</f>
        <v>-0.0214132762312634</v>
      </c>
      <c r="G404" s="26" t="n">
        <f aca="false">Prices!G405/Prices!G404-1</f>
        <v>0.000418060200668924</v>
      </c>
      <c r="H404" s="26" t="n">
        <f aca="false">Prices!H405/Prices!H404-1</f>
        <v>-0.0189456746727481</v>
      </c>
      <c r="I404" s="26" t="n">
        <f aca="false">Prices!I405/Prices!I404-1</f>
        <v>0.00461544615384613</v>
      </c>
      <c r="J404" s="26" t="n">
        <f aca="false">Prices!J405/Prices!J404-1</f>
        <v>-0.0145734610255231</v>
      </c>
      <c r="K404" s="26" t="n">
        <f aca="false">SUMPRODUCT(B404:J404,Optimization!$C$7:$K$7)</f>
        <v>-0.00671417517206289</v>
      </c>
      <c r="L404" s="26" t="n">
        <f aca="false">SUMPRODUCT(B404:J404,Optimization!$C$8:$K$8)</f>
        <v>0.000813463255716293</v>
      </c>
      <c r="M404" s="26" t="n">
        <f aca="false">SUMPRODUCT(B404:J404,Optimization!$C$9:$K$9)</f>
        <v>-0.00133608169796964</v>
      </c>
      <c r="N404" s="26" t="n">
        <f aca="false">SUMPRODUCT(B404:J404,Optimization!$C$10:$K$10)</f>
        <v>0.00121288554090163</v>
      </c>
      <c r="O404" s="27" t="n">
        <f aca="false">IF(AND(A404&gt;=Inputs!$C$6,A404&lt;=Inputs!$C$7),1,0)</f>
        <v>0</v>
      </c>
      <c r="P404" s="28" t="n">
        <f aca="false">P403*(1+K404)</f>
        <v>141.528607861578</v>
      </c>
      <c r="Q404" s="28" t="n">
        <f aca="false">MAX(Q403,P404)</f>
        <v>146.31253752665</v>
      </c>
      <c r="R404" s="29" t="n">
        <f aca="false">P404/Q404-1</f>
        <v>-0.0326966488719443</v>
      </c>
      <c r="S404" s="26" t="n">
        <f aca="false">IF(A404=Inputs!$C$12,"",F404)</f>
        <v>-0.0214132762312634</v>
      </c>
      <c r="T404" s="27" t="n">
        <f aca="false">IF(AND(A404&gt;Risk_Metrics!$C$28,P404&gt;=Risk_Metrics!$C$30),1,0)</f>
        <v>1</v>
      </c>
      <c r="U404" s="26" t="n">
        <f aca="false">IF(A404=Inputs!$C$12,"",K404)</f>
        <v>-0.00671417517206289</v>
      </c>
    </row>
    <row r="405" customFormat="false" ht="15" hidden="false" customHeight="false" outlineLevel="0" collapsed="false">
      <c r="A405" s="25" t="n">
        <f aca="false">Prices!A406</f>
        <v>44308</v>
      </c>
      <c r="B405" s="26" t="n">
        <f aca="false">Prices!B406/Prices!B405-1</f>
        <v>0.00114164655228621</v>
      </c>
      <c r="C405" s="26" t="n">
        <f aca="false">Prices!C406/Prices!C405-1</f>
        <v>-0.00688754679402648</v>
      </c>
      <c r="D405" s="26" t="n">
        <f aca="false">Prices!D406/Prices!D405-1</f>
        <v>-0.0262546028580924</v>
      </c>
      <c r="E405" s="26" t="n">
        <f aca="false">Prices!E406/Prices!E405-1</f>
        <v>-0.0147296862209402</v>
      </c>
      <c r="F405" s="26" t="n">
        <f aca="false">Prices!F406/Prices!F405-1</f>
        <v>-0.0319474398249454</v>
      </c>
      <c r="G405" s="26" t="n">
        <f aca="false">Prices!G406/Prices!G405-1</f>
        <v>-0.0346844964479732</v>
      </c>
      <c r="H405" s="26" t="n">
        <f aca="false">Prices!H406/Prices!H405-1</f>
        <v>-0.00461801007556673</v>
      </c>
      <c r="I405" s="26" t="n">
        <f aca="false">Prices!I406/Prices!I405-1</f>
        <v>-0.0159265227610094</v>
      </c>
      <c r="J405" s="26" t="n">
        <f aca="false">Prices!J406/Prices!J405-1</f>
        <v>0.000659372620219534</v>
      </c>
      <c r="K405" s="26" t="n">
        <f aca="false">SUMPRODUCT(B405:J405,Optimization!$C$7:$K$7)</f>
        <v>-0.0148052539788942</v>
      </c>
      <c r="L405" s="26" t="n">
        <f aca="false">SUMPRODUCT(B405:J405,Optimization!$C$8:$K$8)</f>
        <v>-0.0139641288082722</v>
      </c>
      <c r="M405" s="26" t="n">
        <f aca="false">SUMPRODUCT(B405:J405,Optimization!$C$9:$K$9)</f>
        <v>-0.0107626082271766</v>
      </c>
      <c r="N405" s="26" t="n">
        <f aca="false">SUMPRODUCT(B405:J405,Optimization!$C$10:$K$10)</f>
        <v>-0.0143903559411641</v>
      </c>
      <c r="O405" s="27" t="n">
        <f aca="false">IF(AND(A405&gt;=Inputs!$C$6,A405&lt;=Inputs!$C$7),1,0)</f>
        <v>0</v>
      </c>
      <c r="P405" s="28" t="n">
        <f aca="false">P404*(1+K405)</f>
        <v>139.433240876908</v>
      </c>
      <c r="Q405" s="28" t="n">
        <f aca="false">MAX(Q404,P405)</f>
        <v>146.31253752665</v>
      </c>
      <c r="R405" s="29" t="n">
        <f aca="false">P405/Q405-1</f>
        <v>-0.0470178206600308</v>
      </c>
      <c r="S405" s="26" t="n">
        <f aca="false">IF(A405=Inputs!$C$12,"",F405)</f>
        <v>-0.0319474398249454</v>
      </c>
      <c r="T405" s="27" t="n">
        <f aca="false">IF(AND(A405&gt;Risk_Metrics!$C$28,P405&gt;=Risk_Metrics!$C$30),1,0)</f>
        <v>1</v>
      </c>
      <c r="U405" s="26" t="n">
        <f aca="false">IF(A405=Inputs!$C$12,"",K405)</f>
        <v>-0.0148052539788942</v>
      </c>
    </row>
    <row r="406" customFormat="false" ht="15" hidden="false" customHeight="false" outlineLevel="0" collapsed="false">
      <c r="A406" s="25" t="n">
        <f aca="false">Prices!A407</f>
        <v>44309</v>
      </c>
      <c r="B406" s="26" t="n">
        <f aca="false">Prices!B407/Prices!B406-1</f>
        <v>0.0073492399226871</v>
      </c>
      <c r="C406" s="26" t="n">
        <f aca="false">Prices!C407/Prices!C406-1</f>
        <v>0.00693531409438286</v>
      </c>
      <c r="D406" s="26" t="n">
        <f aca="false">Prices!D407/Prices!D406-1</f>
        <v>-0.00580204797959205</v>
      </c>
      <c r="E406" s="26" t="n">
        <f aca="false">Prices!E407/Prices!E406-1</f>
        <v>0.0136356499693717</v>
      </c>
      <c r="F406" s="26" t="n">
        <f aca="false">Prices!F407/Prices!F406-1</f>
        <v>0.0307413186825807</v>
      </c>
      <c r="G406" s="26" t="n">
        <f aca="false">Prices!G407/Prices!G406-1</f>
        <v>0.0203463203463203</v>
      </c>
      <c r="H406" s="26" t="n">
        <f aca="false">Prices!H407/Prices!H406-1</f>
        <v>-0.000843441621402041</v>
      </c>
      <c r="I406" s="26" t="n">
        <f aca="false">Prices!I407/Prices!I406-1</f>
        <v>0.0345471822425401</v>
      </c>
      <c r="J406" s="26" t="n">
        <f aca="false">Prices!J407/Prices!J406-1</f>
        <v>0.0165677769961092</v>
      </c>
      <c r="K406" s="26" t="n">
        <f aca="false">SUMPRODUCT(B406:J406,Optimization!$C$7:$K$7)</f>
        <v>0.0137197014058887</v>
      </c>
      <c r="L406" s="26" t="n">
        <f aca="false">SUMPRODUCT(B406:J406,Optimization!$C$8:$K$8)</f>
        <v>0.00561032910344412</v>
      </c>
      <c r="M406" s="26" t="n">
        <f aca="false">SUMPRODUCT(B406:J406,Optimization!$C$9:$K$9)</f>
        <v>0.00923053520425241</v>
      </c>
      <c r="N406" s="26" t="n">
        <f aca="false">SUMPRODUCT(B406:J406,Optimization!$C$10:$K$10)</f>
        <v>0.00300942410237013</v>
      </c>
      <c r="O406" s="27" t="n">
        <f aca="false">IF(AND(A406&gt;=Inputs!$C$6,A406&lt;=Inputs!$C$7),1,0)</f>
        <v>0</v>
      </c>
      <c r="P406" s="28" t="n">
        <f aca="false">P405*(1+K406)</f>
        <v>141.346223307795</v>
      </c>
      <c r="Q406" s="28" t="n">
        <f aca="false">MAX(Q405,P406)</f>
        <v>146.31253752665</v>
      </c>
      <c r="R406" s="29" t="n">
        <f aca="false">P406/Q406-1</f>
        <v>-0.0339431897143533</v>
      </c>
      <c r="S406" s="26" t="n">
        <f aca="false">IF(A406=Inputs!$C$12,"",F406)</f>
        <v>0.0307413186825807</v>
      </c>
      <c r="T406" s="27" t="n">
        <f aca="false">IF(AND(A406&gt;Risk_Metrics!$C$28,P406&gt;=Risk_Metrics!$C$30),1,0)</f>
        <v>1</v>
      </c>
      <c r="U406" s="26" t="n">
        <f aca="false">IF(A406=Inputs!$C$12,"",K406)</f>
        <v>0.0137197014058887</v>
      </c>
    </row>
    <row r="407" customFormat="false" ht="15" hidden="false" customHeight="false" outlineLevel="0" collapsed="false">
      <c r="A407" s="25" t="n">
        <f aca="false">Prices!A408</f>
        <v>44312</v>
      </c>
      <c r="B407" s="26" t="n">
        <f aca="false">Prices!B408/Prices!B407-1</f>
        <v>-0.0325785660377358</v>
      </c>
      <c r="C407" s="26" t="n">
        <f aca="false">Prices!C408/Prices!C407-1</f>
        <v>-0.0132166423386687</v>
      </c>
      <c r="D407" s="26" t="n">
        <f aca="false">Prices!D408/Prices!D407-1</f>
        <v>-0.00549261948138069</v>
      </c>
      <c r="E407" s="26" t="n">
        <f aca="false">Prices!E408/Prices!E407-1</f>
        <v>0.003565591514334</v>
      </c>
      <c r="F407" s="26" t="n">
        <f aca="false">Prices!F408/Prices!F407-1</f>
        <v>-0.019736799111263</v>
      </c>
      <c r="G407" s="26" t="n">
        <f aca="false">Prices!G408/Prices!G407-1</f>
        <v>0.0182435299109036</v>
      </c>
      <c r="H407" s="26" t="n">
        <f aca="false">Prices!H408/Prices!H407-1</f>
        <v>0.00379907117775136</v>
      </c>
      <c r="I407" s="26" t="n">
        <f aca="false">Prices!I408/Prices!I407-1</f>
        <v>0.00481347744804594</v>
      </c>
      <c r="J407" s="26" t="n">
        <f aca="false">Prices!J408/Prices!J407-1</f>
        <v>0.00537088629263605</v>
      </c>
      <c r="K407" s="26" t="n">
        <f aca="false">SUMPRODUCT(B407:J407,Optimization!$C$7:$K$7)</f>
        <v>-0.00391467451393081</v>
      </c>
      <c r="L407" s="26" t="n">
        <f aca="false">SUMPRODUCT(B407:J407,Optimization!$C$8:$K$8)</f>
        <v>-0.00793333837588087</v>
      </c>
      <c r="M407" s="26" t="n">
        <f aca="false">SUMPRODUCT(B407:J407,Optimization!$C$9:$K$9)</f>
        <v>-0.00773255667151009</v>
      </c>
      <c r="N407" s="26" t="n">
        <f aca="false">SUMPRODUCT(B407:J407,Optimization!$C$10:$K$10)</f>
        <v>-0.0094098810051897</v>
      </c>
      <c r="O407" s="27" t="n">
        <f aca="false">IF(AND(A407&gt;=Inputs!$C$6,A407&lt;=Inputs!$C$7),1,0)</f>
        <v>0</v>
      </c>
      <c r="P407" s="28" t="n">
        <f aca="false">P406*(1+K407)</f>
        <v>140.792898849771</v>
      </c>
      <c r="Q407" s="28" t="n">
        <f aca="false">MAX(Q406,P407)</f>
        <v>146.31253752665</v>
      </c>
      <c r="R407" s="29" t="n">
        <f aca="false">P407/Q407-1</f>
        <v>-0.0377249876885878</v>
      </c>
      <c r="S407" s="26" t="n">
        <f aca="false">IF(A407=Inputs!$C$12,"",F407)</f>
        <v>-0.019736799111263</v>
      </c>
      <c r="T407" s="27" t="n">
        <f aca="false">IF(AND(A407&gt;Risk_Metrics!$C$28,P407&gt;=Risk_Metrics!$C$30),1,0)</f>
        <v>1</v>
      </c>
      <c r="U407" s="26" t="n">
        <f aca="false">IF(A407=Inputs!$C$12,"",K407)</f>
        <v>-0.00391467451393081</v>
      </c>
    </row>
    <row r="408" customFormat="false" ht="15" hidden="false" customHeight="false" outlineLevel="0" collapsed="false">
      <c r="A408" s="25" t="n">
        <f aca="false">Prices!A409</f>
        <v>44313</v>
      </c>
      <c r="B408" s="26" t="n">
        <f aca="false">Prices!B409/Prices!B408-1</f>
        <v>-0.00572101127442415</v>
      </c>
      <c r="C408" s="26" t="n">
        <f aca="false">Prices!C409/Prices!C408-1</f>
        <v>-0.00113186191284675</v>
      </c>
      <c r="D408" s="26" t="n">
        <f aca="false">Prices!D409/Prices!D408-1</f>
        <v>0.0107007942941246</v>
      </c>
      <c r="E408" s="26" t="n">
        <f aca="false">Prices!E409/Prices!E408-1</f>
        <v>-0.0142118383143359</v>
      </c>
      <c r="F408" s="26" t="n">
        <f aca="false">Prices!F409/Prices!F408-1</f>
        <v>-0.0232662192393738</v>
      </c>
      <c r="G408" s="26" t="n">
        <f aca="false">Prices!G409/Prices!G408-1</f>
        <v>-0.0154167083333333</v>
      </c>
      <c r="H408" s="26" t="n">
        <f aca="false">Prices!H409/Prices!H408-1</f>
        <v>-0.0285954992180193</v>
      </c>
      <c r="I408" s="26" t="n">
        <f aca="false">Prices!I409/Prices!I408-1</f>
        <v>-0.0224550884757432</v>
      </c>
      <c r="J408" s="26" t="n">
        <f aca="false">Prices!J409/Prices!J408-1</f>
        <v>0.0142765312701483</v>
      </c>
      <c r="K408" s="26" t="n">
        <f aca="false">SUMPRODUCT(B408:J408,Optimization!$C$7:$K$7)</f>
        <v>-0.0095356556893115</v>
      </c>
      <c r="L408" s="26" t="n">
        <f aca="false">SUMPRODUCT(B408:J408,Optimization!$C$8:$K$8)</f>
        <v>0.00389243665119759</v>
      </c>
      <c r="M408" s="26" t="n">
        <f aca="false">SUMPRODUCT(B408:J408,Optimization!$C$9:$K$9)</f>
        <v>0.00215466725287428</v>
      </c>
      <c r="N408" s="26" t="n">
        <f aca="false">SUMPRODUCT(B408:J408,Optimization!$C$10:$K$10)</f>
        <v>0.00550376523656671</v>
      </c>
      <c r="O408" s="27" t="n">
        <f aca="false">IF(AND(A408&gt;=Inputs!$C$6,A408&lt;=Inputs!$C$7),1,0)</f>
        <v>0</v>
      </c>
      <c r="P408" s="28" t="n">
        <f aca="false">P407*(1+K408)</f>
        <v>139.45034624284</v>
      </c>
      <c r="Q408" s="28" t="n">
        <f aca="false">MAX(Q407,P408)</f>
        <v>146.31253752665</v>
      </c>
      <c r="R408" s="29" t="n">
        <f aca="false">P408/Q408-1</f>
        <v>-0.0469009108844173</v>
      </c>
      <c r="S408" s="26" t="n">
        <f aca="false">IF(A408=Inputs!$C$12,"",F408)</f>
        <v>-0.0232662192393738</v>
      </c>
      <c r="T408" s="27" t="n">
        <f aca="false">IF(AND(A408&gt;Risk_Metrics!$C$28,P408&gt;=Risk_Metrics!$C$30),1,0)</f>
        <v>1</v>
      </c>
      <c r="U408" s="26" t="n">
        <f aca="false">IF(A408=Inputs!$C$12,"",K408)</f>
        <v>-0.0095356556893115</v>
      </c>
    </row>
    <row r="409" customFormat="false" ht="15" hidden="false" customHeight="false" outlineLevel="0" collapsed="false">
      <c r="A409" s="25" t="n">
        <f aca="false">Prices!A410</f>
        <v>44314</v>
      </c>
      <c r="B409" s="26" t="n">
        <f aca="false">Prices!B410/Prices!B409-1</f>
        <v>0.00457694514741802</v>
      </c>
      <c r="C409" s="26" t="n">
        <f aca="false">Prices!C410/Prices!C409-1</f>
        <v>0.0122757507082154</v>
      </c>
      <c r="D409" s="26" t="n">
        <f aca="false">Prices!D410/Prices!D409-1</f>
        <v>-0.0368852446418974</v>
      </c>
      <c r="E409" s="26" t="n">
        <f aca="false">Prices!E410/Prices!E409-1</f>
        <v>0.0340759824037356</v>
      </c>
      <c r="F409" s="26" t="n">
        <f aca="false">Prices!F410/Prices!F409-1</f>
        <v>0.036646770499313</v>
      </c>
      <c r="G409" s="26" t="n">
        <f aca="false">Prices!G410/Prices!G409-1</f>
        <v>0.0135421927017432</v>
      </c>
      <c r="H409" s="26" t="n">
        <f aca="false">Prices!H410/Prices!H409-1</f>
        <v>0.0363636796536795</v>
      </c>
      <c r="I409" s="26" t="n">
        <f aca="false">Prices!I410/Prices!I409-1</f>
        <v>0.0079631848108308</v>
      </c>
      <c r="J409" s="26" t="n">
        <f aca="false">Prices!J410/Prices!J409-1</f>
        <v>0.016345758726505</v>
      </c>
      <c r="K409" s="26" t="n">
        <f aca="false">SUMPRODUCT(B409:J409,Optimization!$C$7:$K$7)</f>
        <v>0.0138783355566159</v>
      </c>
      <c r="L409" s="26" t="n">
        <f aca="false">SUMPRODUCT(B409:J409,Optimization!$C$8:$K$8)</f>
        <v>-0.0107423708907066</v>
      </c>
      <c r="M409" s="26" t="n">
        <f aca="false">SUMPRODUCT(B409:J409,Optimization!$C$9:$K$9)</f>
        <v>-0.0035077791203681</v>
      </c>
      <c r="N409" s="26" t="n">
        <f aca="false">SUMPRODUCT(B409:J409,Optimization!$C$10:$K$10)</f>
        <v>-0.013321669977846</v>
      </c>
      <c r="O409" s="27" t="n">
        <f aca="false">IF(AND(A409&gt;=Inputs!$C$6,A409&lt;=Inputs!$C$7),1,0)</f>
        <v>0</v>
      </c>
      <c r="P409" s="28" t="n">
        <f aca="false">P408*(1+K409)</f>
        <v>141.385684941484</v>
      </c>
      <c r="Q409" s="28" t="n">
        <f aca="false">MAX(Q408,P409)</f>
        <v>146.31253752665</v>
      </c>
      <c r="R409" s="29" t="n">
        <f aca="false">P409/Q409-1</f>
        <v>-0.0336734819069663</v>
      </c>
      <c r="S409" s="26" t="n">
        <f aca="false">IF(A409=Inputs!$C$12,"",F409)</f>
        <v>0.036646770499313</v>
      </c>
      <c r="T409" s="27" t="n">
        <f aca="false">IF(AND(A409&gt;Risk_Metrics!$C$28,P409&gt;=Risk_Metrics!$C$30),1,0)</f>
        <v>1</v>
      </c>
      <c r="U409" s="26" t="n">
        <f aca="false">IF(A409=Inputs!$C$12,"",K409)</f>
        <v>0.0138783355566159</v>
      </c>
    </row>
    <row r="410" customFormat="false" ht="15" hidden="false" customHeight="false" outlineLevel="0" collapsed="false">
      <c r="A410" s="25" t="n">
        <f aca="false">Prices!A411</f>
        <v>44315</v>
      </c>
      <c r="B410" s="26" t="n">
        <f aca="false">Prices!B411/Prices!B410-1</f>
        <v>-0.00846136422806543</v>
      </c>
      <c r="C410" s="26" t="n">
        <f aca="false">Prices!C411/Prices!C410-1</f>
        <v>-0.0195896078434774</v>
      </c>
      <c r="D410" s="26" t="n">
        <f aca="false">Prices!D411/Prices!D410-1</f>
        <v>0</v>
      </c>
      <c r="E410" s="26" t="n">
        <f aca="false">Prices!E411/Prices!E410-1</f>
        <v>0.00396070982193764</v>
      </c>
      <c r="F410" s="26" t="n">
        <f aca="false">Prices!F411/Prices!F410-1</f>
        <v>-0.0517012837693895</v>
      </c>
      <c r="G410" s="26" t="n">
        <f aca="false">Prices!G411/Prices!G410-1</f>
        <v>-0.0217119406383324</v>
      </c>
      <c r="H410" s="26" t="n">
        <f aca="false">Prices!H411/Prices!H410-1</f>
        <v>-0.0133667496505118</v>
      </c>
      <c r="I410" s="26" t="n">
        <f aca="false">Prices!I411/Prices!I410-1</f>
        <v>0.0145852020662414</v>
      </c>
      <c r="J410" s="26" t="n">
        <f aca="false">Prices!J411/Prices!J410-1</f>
        <v>0.000268039675983545</v>
      </c>
      <c r="K410" s="26" t="n">
        <f aca="false">SUMPRODUCT(B410:J410,Optimization!$C$7:$K$7)</f>
        <v>-0.0106685549517349</v>
      </c>
      <c r="L410" s="26" t="n">
        <f aca="false">SUMPRODUCT(B410:J410,Optimization!$C$8:$K$8)</f>
        <v>-0.00239083106264067</v>
      </c>
      <c r="M410" s="26" t="n">
        <f aca="false">SUMPRODUCT(B410:J410,Optimization!$C$9:$K$9)</f>
        <v>-0.00246085352541219</v>
      </c>
      <c r="N410" s="26" t="n">
        <f aca="false">SUMPRODUCT(B410:J410,Optimization!$C$10:$K$10)</f>
        <v>-0.00364880925040135</v>
      </c>
      <c r="O410" s="27" t="n">
        <f aca="false">IF(AND(A410&gt;=Inputs!$C$6,A410&lt;=Inputs!$C$7),1,0)</f>
        <v>0</v>
      </c>
      <c r="P410" s="28" t="n">
        <f aca="false">P409*(1+K410)</f>
        <v>139.877303992297</v>
      </c>
      <c r="Q410" s="28" t="n">
        <f aca="false">MAX(Q409,P410)</f>
        <v>146.31253752665</v>
      </c>
      <c r="R410" s="29" t="n">
        <f aca="false">P410/Q410-1</f>
        <v>-0.0439827894665606</v>
      </c>
      <c r="S410" s="26" t="n">
        <f aca="false">IF(A410=Inputs!$C$12,"",F410)</f>
        <v>-0.0517012837693895</v>
      </c>
      <c r="T410" s="27" t="n">
        <f aca="false">IF(AND(A410&gt;Risk_Metrics!$C$28,P410&gt;=Risk_Metrics!$C$30),1,0)</f>
        <v>1</v>
      </c>
      <c r="U410" s="26" t="n">
        <f aca="false">IF(A410=Inputs!$C$12,"",K410)</f>
        <v>-0.0106685549517349</v>
      </c>
    </row>
    <row r="411" customFormat="false" ht="15" hidden="false" customHeight="false" outlineLevel="0" collapsed="false">
      <c r="A411" s="25" t="n">
        <f aca="false">Prices!A412</f>
        <v>44316</v>
      </c>
      <c r="B411" s="26" t="n">
        <f aca="false">Prices!B412/Prices!B411-1</f>
        <v>-0.00682678237696688</v>
      </c>
      <c r="C411" s="26" t="n">
        <f aca="false">Prices!C412/Prices!C411-1</f>
        <v>-0.0199809712647373</v>
      </c>
      <c r="D411" s="26" t="n">
        <f aca="false">Prices!D412/Prices!D411-1</f>
        <v>-0.0113475882500855</v>
      </c>
      <c r="E411" s="26" t="n">
        <f aca="false">Prices!E412/Prices!E411-1</f>
        <v>0.0146757774132205</v>
      </c>
      <c r="F411" s="26" t="n">
        <f aca="false">Prices!F412/Prices!F411-1</f>
        <v>-0.0279589015824279</v>
      </c>
      <c r="G411" s="26" t="n">
        <f aca="false">Prices!G412/Prices!G411-1</f>
        <v>-0.0170720870678618</v>
      </c>
      <c r="H411" s="26" t="n">
        <f aca="false">Prices!H412/Prices!H411-1</f>
        <v>0</v>
      </c>
      <c r="I411" s="26" t="n">
        <f aca="false">Prices!I412/Prices!I411-1</f>
        <v>-0.0248576826851658</v>
      </c>
      <c r="J411" s="26" t="n">
        <f aca="false">Prices!J412/Prices!J411-1</f>
        <v>-0.0261723990934988</v>
      </c>
      <c r="K411" s="26" t="n">
        <f aca="false">SUMPRODUCT(B411:J411,Optimization!$C$7:$K$7)</f>
        <v>-0.0132822927675026</v>
      </c>
      <c r="L411" s="26" t="n">
        <f aca="false">SUMPRODUCT(B411:J411,Optimization!$C$8:$K$8)</f>
        <v>-0.0155494004393451</v>
      </c>
      <c r="M411" s="26" t="n">
        <f aca="false">SUMPRODUCT(B411:J411,Optimization!$C$9:$K$9)</f>
        <v>-0.0170715319164744</v>
      </c>
      <c r="N411" s="26" t="n">
        <f aca="false">SUMPRODUCT(B411:J411,Optimization!$C$10:$K$10)</f>
        <v>-0.0143924352739406</v>
      </c>
      <c r="O411" s="27" t="n">
        <f aca="false">IF(AND(A411&gt;=Inputs!$C$6,A411&lt;=Inputs!$C$7),1,0)</f>
        <v>0</v>
      </c>
      <c r="P411" s="28" t="n">
        <f aca="false">P410*(1+K411)</f>
        <v>138.019412689143</v>
      </c>
      <c r="Q411" s="28" t="n">
        <f aca="false">MAX(Q410,P411)</f>
        <v>146.31253752665</v>
      </c>
      <c r="R411" s="29" t="n">
        <f aca="false">P411/Q411-1</f>
        <v>-0.0566808899476369</v>
      </c>
      <c r="S411" s="26" t="n">
        <f aca="false">IF(A411=Inputs!$C$12,"",F411)</f>
        <v>-0.0279589015824279</v>
      </c>
      <c r="T411" s="27" t="n">
        <f aca="false">IF(AND(A411&gt;Risk_Metrics!$C$28,P411&gt;=Risk_Metrics!$C$30),1,0)</f>
        <v>1</v>
      </c>
      <c r="U411" s="26" t="n">
        <f aca="false">IF(A411=Inputs!$C$12,"",K411)</f>
        <v>-0.0132822927675026</v>
      </c>
    </row>
    <row r="412" customFormat="false" ht="15" hidden="false" customHeight="false" outlineLevel="0" collapsed="false">
      <c r="A412" s="25" t="n">
        <f aca="false">Prices!A413</f>
        <v>44319</v>
      </c>
      <c r="B412" s="26" t="n">
        <f aca="false">Prices!B413/Prices!B412-1</f>
        <v>-0.000396549890375519</v>
      </c>
      <c r="C412" s="26" t="n">
        <f aca="false">Prices!C413/Prices!C412-1</f>
        <v>-0.000194097094916357</v>
      </c>
      <c r="D412" s="26" t="n">
        <f aca="false">Prices!D413/Prices!D412-1</f>
        <v>-0.0125537307228742</v>
      </c>
      <c r="E412" s="26" t="n">
        <f aca="false">Prices!E413/Prices!E412-1</f>
        <v>-0.00295492987768609</v>
      </c>
      <c r="F412" s="26" t="n">
        <f aca="false">Prices!F413/Prices!F412-1</f>
        <v>0.00431447726200962</v>
      </c>
      <c r="G412" s="26" t="n">
        <f aca="false">Prices!G413/Prices!G412-1</f>
        <v>0.042118929999178</v>
      </c>
      <c r="H412" s="26" t="n">
        <f aca="false">Prices!H413/Prices!H412-1</f>
        <v>-0.00804407247908245</v>
      </c>
      <c r="I412" s="26" t="n">
        <f aca="false">Prices!I413/Prices!I412-1</f>
        <v>0.0181204232763998</v>
      </c>
      <c r="J412" s="26" t="n">
        <f aca="false">Prices!J413/Prices!J412-1</f>
        <v>-0.00513665396633622</v>
      </c>
      <c r="K412" s="26" t="n">
        <f aca="false">SUMPRODUCT(B412:J412,Optimization!$C$7:$K$7)</f>
        <v>0.00391931072292406</v>
      </c>
      <c r="L412" s="26" t="n">
        <f aca="false">SUMPRODUCT(B412:J412,Optimization!$C$8:$K$8)</f>
        <v>-0.00477501413971647</v>
      </c>
      <c r="M412" s="26" t="n">
        <f aca="false">SUMPRODUCT(B412:J412,Optimization!$C$9:$K$9)</f>
        <v>-0.00255676447016427</v>
      </c>
      <c r="N412" s="26" t="n">
        <f aca="false">SUMPRODUCT(B412:J412,Optimization!$C$10:$K$10)</f>
        <v>-0.00651291186916138</v>
      </c>
      <c r="O412" s="27" t="n">
        <f aca="false">IF(AND(A412&gt;=Inputs!$C$6,A412&lt;=Inputs!$C$7),1,0)</f>
        <v>0</v>
      </c>
      <c r="P412" s="28" t="n">
        <f aca="false">P411*(1+K412)</f>
        <v>138.560353653267</v>
      </c>
      <c r="Q412" s="28" t="n">
        <f aca="false">MAX(Q411,P412)</f>
        <v>146.31253752665</v>
      </c>
      <c r="R412" s="29" t="n">
        <f aca="false">P412/Q412-1</f>
        <v>-0.0529837292444694</v>
      </c>
      <c r="S412" s="26" t="n">
        <f aca="false">IF(A412=Inputs!$C$12,"",F412)</f>
        <v>0.00431447726200962</v>
      </c>
      <c r="T412" s="27" t="n">
        <f aca="false">IF(AND(A412&gt;Risk_Metrics!$C$28,P412&gt;=Risk_Metrics!$C$30),1,0)</f>
        <v>1</v>
      </c>
      <c r="U412" s="26" t="n">
        <f aca="false">IF(A412=Inputs!$C$12,"",K412)</f>
        <v>0.00391931072292406</v>
      </c>
    </row>
    <row r="413" customFormat="false" ht="15" hidden="false" customHeight="false" outlineLevel="0" collapsed="false">
      <c r="A413" s="25" t="n">
        <f aca="false">Prices!A414</f>
        <v>44320</v>
      </c>
      <c r="B413" s="26" t="n">
        <f aca="false">Prices!B414/Prices!B413-1</f>
        <v>0.00502508575674088</v>
      </c>
      <c r="C413" s="26" t="n">
        <f aca="false">Prices!C414/Prices!C413-1</f>
        <v>-0.0159255188997662</v>
      </c>
      <c r="D413" s="26" t="n">
        <f aca="false">Prices!D414/Prices!D413-1</f>
        <v>-0.00544867397571103</v>
      </c>
      <c r="E413" s="26" t="n">
        <f aca="false">Prices!E414/Prices!E413-1</f>
        <v>-0.021369505204032</v>
      </c>
      <c r="F413" s="26" t="n">
        <f aca="false">Prices!F414/Prices!F413-1</f>
        <v>0.00238658699825356</v>
      </c>
      <c r="G413" s="26" t="n">
        <f aca="false">Prices!G414/Prices!G413-1</f>
        <v>-0.0145833333333334</v>
      </c>
      <c r="H413" s="26" t="n">
        <f aca="false">Prices!H414/Prices!H413-1</f>
        <v>-0.0230474178403756</v>
      </c>
      <c r="I413" s="26" t="n">
        <f aca="false">Prices!I414/Prices!I413-1</f>
        <v>-0.00693828012438735</v>
      </c>
      <c r="J413" s="26" t="n">
        <f aca="false">Prices!J414/Prices!J413-1</f>
        <v>0.0151207727744862</v>
      </c>
      <c r="K413" s="26" t="n">
        <f aca="false">SUMPRODUCT(B413:J413,Optimization!$C$7:$K$7)</f>
        <v>-0.00719780931645833</v>
      </c>
      <c r="L413" s="26" t="n">
        <f aca="false">SUMPRODUCT(B413:J413,Optimization!$C$8:$K$8)</f>
        <v>-0.00191794278114168</v>
      </c>
      <c r="M413" s="26" t="n">
        <f aca="false">SUMPRODUCT(B413:J413,Optimization!$C$9:$K$9)</f>
        <v>-0.00051985807589678</v>
      </c>
      <c r="N413" s="26" t="n">
        <f aca="false">SUMPRODUCT(B413:J413,Optimization!$C$10:$K$10)</f>
        <v>-0.00205737852511028</v>
      </c>
      <c r="O413" s="27" t="n">
        <f aca="false">IF(AND(A413&gt;=Inputs!$C$6,A413&lt;=Inputs!$C$7),1,0)</f>
        <v>0</v>
      </c>
      <c r="P413" s="28" t="n">
        <f aca="false">P412*(1+K413)</f>
        <v>137.56302264885</v>
      </c>
      <c r="Q413" s="28" t="n">
        <f aca="false">MAX(Q412,P413)</f>
        <v>146.31253752665</v>
      </c>
      <c r="R413" s="29" t="n">
        <f aca="false">P413/Q413-1</f>
        <v>-0.0598001717809512</v>
      </c>
      <c r="S413" s="26" t="n">
        <f aca="false">IF(A413=Inputs!$C$12,"",F413)</f>
        <v>0.00238658699825356</v>
      </c>
      <c r="T413" s="27" t="n">
        <f aca="false">IF(AND(A413&gt;Risk_Metrics!$C$28,P413&gt;=Risk_Metrics!$C$30),1,0)</f>
        <v>1</v>
      </c>
      <c r="U413" s="26" t="n">
        <f aca="false">IF(A413=Inputs!$C$12,"",K413)</f>
        <v>-0.00719780931645833</v>
      </c>
    </row>
    <row r="414" customFormat="false" ht="15" hidden="false" customHeight="false" outlineLevel="0" collapsed="false">
      <c r="A414" s="25" t="n">
        <f aca="false">Prices!A415</f>
        <v>44321</v>
      </c>
      <c r="B414" s="26" t="n">
        <f aca="false">Prices!B415/Prices!B414-1</f>
        <v>0.0453946973684209</v>
      </c>
      <c r="C414" s="26" t="n">
        <f aca="false">Prices!C415/Prices!C414-1</f>
        <v>0.0163805219881896</v>
      </c>
      <c r="D414" s="26" t="n">
        <f aca="false">Prices!D415/Prices!D414-1</f>
        <v>0.0186267355232554</v>
      </c>
      <c r="E414" s="26" t="n">
        <f aca="false">Prices!E415/Prices!E414-1</f>
        <v>-0.0181702895068444</v>
      </c>
      <c r="F414" s="26" t="n">
        <f aca="false">Prices!F415/Prices!F414-1</f>
        <v>-0.00428571428571423</v>
      </c>
      <c r="G414" s="26" t="n">
        <f aca="false">Prices!G415/Prices!G414-1</f>
        <v>0.00084566596194513</v>
      </c>
      <c r="H414" s="26" t="n">
        <f aca="false">Prices!H415/Prices!H414-1</f>
        <v>0.041066013152731</v>
      </c>
      <c r="I414" s="26" t="n">
        <f aca="false">Prices!I415/Prices!I414-1</f>
        <v>0.0312880638692628</v>
      </c>
      <c r="J414" s="26" t="n">
        <f aca="false">Prices!J415/Prices!J414-1</f>
        <v>0.00554042698529389</v>
      </c>
      <c r="K414" s="26" t="n">
        <f aca="false">SUMPRODUCT(B414:J414,Optimization!$C$7:$K$7)</f>
        <v>0.01518734678406</v>
      </c>
      <c r="L414" s="26" t="n">
        <f aca="false">SUMPRODUCT(B414:J414,Optimization!$C$8:$K$8)</f>
        <v>0.0216250932789663</v>
      </c>
      <c r="M414" s="26" t="n">
        <f aca="false">SUMPRODUCT(B414:J414,Optimization!$C$9:$K$9)</f>
        <v>0.0219211229029677</v>
      </c>
      <c r="N414" s="26" t="n">
        <f aca="false">SUMPRODUCT(B414:J414,Optimization!$C$10:$K$10)</f>
        <v>0.021598752162764</v>
      </c>
      <c r="O414" s="27" t="n">
        <f aca="false">IF(AND(A414&gt;=Inputs!$C$6,A414&lt;=Inputs!$C$7),1,0)</f>
        <v>0</v>
      </c>
      <c r="P414" s="28" t="n">
        <f aca="false">P413*(1+K414)</f>
        <v>139.652239978481</v>
      </c>
      <c r="Q414" s="28" t="n">
        <f aca="false">MAX(Q413,P414)</f>
        <v>146.31253752665</v>
      </c>
      <c r="R414" s="29" t="n">
        <f aca="false">P414/Q414-1</f>
        <v>-0.0455210309434749</v>
      </c>
      <c r="S414" s="26" t="n">
        <f aca="false">IF(A414=Inputs!$C$12,"",F414)</f>
        <v>-0.00428571428571423</v>
      </c>
      <c r="T414" s="27" t="n">
        <f aca="false">IF(AND(A414&gt;Risk_Metrics!$C$28,P414&gt;=Risk_Metrics!$C$30),1,0)</f>
        <v>1</v>
      </c>
      <c r="U414" s="26" t="n">
        <f aca="false">IF(A414=Inputs!$C$12,"",K414)</f>
        <v>0.01518734678406</v>
      </c>
    </row>
    <row r="415" customFormat="false" ht="15" hidden="false" customHeight="false" outlineLevel="0" collapsed="false">
      <c r="A415" s="25" t="n">
        <f aca="false">Prices!A416</f>
        <v>44322</v>
      </c>
      <c r="B415" s="26" t="n">
        <f aca="false">Prices!B416/Prices!B415-1</f>
        <v>0.00692263084666966</v>
      </c>
      <c r="C415" s="26" t="n">
        <f aca="false">Prices!C416/Prices!C415-1</f>
        <v>-0.0135922723725154</v>
      </c>
      <c r="D415" s="26" t="n">
        <f aca="false">Prices!D416/Prices!D415-1</f>
        <v>-0.00143417000481061</v>
      </c>
      <c r="E415" s="26" t="n">
        <f aca="false">Prices!E416/Prices!E415-1</f>
        <v>0.00275977281687578</v>
      </c>
      <c r="F415" s="26" t="n">
        <f aca="false">Prices!F416/Prices!F415-1</f>
        <v>-0.0219989956958393</v>
      </c>
      <c r="G415" s="26" t="n">
        <f aca="false">Prices!G416/Prices!G415-1</f>
        <v>0.00591461765948464</v>
      </c>
      <c r="H415" s="26" t="n">
        <f aca="false">Prices!H416/Prices!H415-1</f>
        <v>-0.0138480906420477</v>
      </c>
      <c r="I415" s="26" t="n">
        <f aca="false">Prices!I416/Prices!I415-1</f>
        <v>-0.0035345801609844</v>
      </c>
      <c r="J415" s="26" t="n">
        <f aca="false">Prices!J416/Prices!J415-1</f>
        <v>0.0392015539626192</v>
      </c>
      <c r="K415" s="26" t="n">
        <f aca="false">SUMPRODUCT(B415:J415,Optimization!$C$7:$K$7)</f>
        <v>4.33851566057601E-005</v>
      </c>
      <c r="L415" s="26" t="n">
        <f aca="false">SUMPRODUCT(B415:J415,Optimization!$C$8:$K$8)</f>
        <v>0.00480088726939094</v>
      </c>
      <c r="M415" s="26" t="n">
        <f aca="false">SUMPRODUCT(B415:J415,Optimization!$C$9:$K$9)</f>
        <v>0.00734133661989826</v>
      </c>
      <c r="N415" s="26" t="n">
        <f aca="false">SUMPRODUCT(B415:J415,Optimization!$C$10:$K$10)</f>
        <v>0.00427932471297739</v>
      </c>
      <c r="O415" s="27" t="n">
        <f aca="false">IF(AND(A415&gt;=Inputs!$C$6,A415&lt;=Inputs!$C$7),1,0)</f>
        <v>0</v>
      </c>
      <c r="P415" s="28" t="n">
        <f aca="false">P414*(1+K415)</f>
        <v>139.658298812783</v>
      </c>
      <c r="Q415" s="28" t="n">
        <f aca="false">MAX(Q414,P415)</f>
        <v>146.31253752665</v>
      </c>
      <c r="R415" s="29" t="n">
        <f aca="false">P415/Q415-1</f>
        <v>-0.0454796207239256</v>
      </c>
      <c r="S415" s="26" t="n">
        <f aca="false">IF(A415=Inputs!$C$12,"",F415)</f>
        <v>-0.0219989956958393</v>
      </c>
      <c r="T415" s="27" t="n">
        <f aca="false">IF(AND(A415&gt;Risk_Metrics!$C$28,P415&gt;=Risk_Metrics!$C$30),1,0)</f>
        <v>1</v>
      </c>
      <c r="U415" s="26" t="n">
        <f aca="false">IF(A415=Inputs!$C$12,"",K415)</f>
        <v>4.33851566057601E-005</v>
      </c>
    </row>
    <row r="416" customFormat="false" ht="15" hidden="false" customHeight="false" outlineLevel="0" collapsed="false">
      <c r="A416" s="25" t="n">
        <f aca="false">Prices!A417</f>
        <v>44323</v>
      </c>
      <c r="B416" s="26" t="n">
        <f aca="false">Prices!B417/Prices!B416-1</f>
        <v>0.0136249500000001</v>
      </c>
      <c r="C416" s="26" t="n">
        <f aca="false">Prices!C417/Prices!C416-1</f>
        <v>0.0500001417322946</v>
      </c>
      <c r="D416" s="26" t="n">
        <f aca="false">Prices!D417/Prices!D416-1</f>
        <v>0.00179533213644523</v>
      </c>
      <c r="E416" s="26" t="n">
        <f aca="false">Prices!E417/Prices!E416-1</f>
        <v>0.0233122713291243</v>
      </c>
      <c r="F416" s="26" t="n">
        <f aca="false">Prices!F417/Prices!F416-1</f>
        <v>0.0024449387557488</v>
      </c>
      <c r="G416" s="26" t="n">
        <f aca="false">Prices!G417/Prices!G416-1</f>
        <v>0.0424191953976982</v>
      </c>
      <c r="H416" s="26" t="n">
        <f aca="false">Prices!H417/Prices!H416-1</f>
        <v>0.0374467659574469</v>
      </c>
      <c r="I416" s="26" t="n">
        <f aca="false">Prices!I417/Prices!I416-1</f>
        <v>0.0224652070667926</v>
      </c>
      <c r="J416" s="26" t="n">
        <f aca="false">Prices!J417/Prices!J416-1</f>
        <v>0.00347669699756548</v>
      </c>
      <c r="K416" s="26" t="n">
        <f aca="false">SUMPRODUCT(B416:J416,Optimization!$C$7:$K$7)</f>
        <v>0.021887277708124</v>
      </c>
      <c r="L416" s="26" t="n">
        <f aca="false">SUMPRODUCT(B416:J416,Optimization!$C$8:$K$8)</f>
        <v>0.0122525232034119</v>
      </c>
      <c r="M416" s="26" t="n">
        <f aca="false">SUMPRODUCT(B416:J416,Optimization!$C$9:$K$9)</f>
        <v>0.0142830720783692</v>
      </c>
      <c r="N416" s="26" t="n">
        <f aca="false">SUMPRODUCT(B416:J416,Optimization!$C$10:$K$10)</f>
        <v>0.0115205358171631</v>
      </c>
      <c r="O416" s="27" t="n">
        <f aca="false">IF(AND(A416&gt;=Inputs!$C$6,A416&lt;=Inputs!$C$7),1,0)</f>
        <v>0</v>
      </c>
      <c r="P416" s="28" t="n">
        <f aca="false">P415*(1+K416)</f>
        <v>142.715038783143</v>
      </c>
      <c r="Q416" s="28" t="n">
        <f aca="false">MAX(Q415,P416)</f>
        <v>146.31253752665</v>
      </c>
      <c r="R416" s="29" t="n">
        <f aca="false">P416/Q416-1</f>
        <v>-0.0245877681046462</v>
      </c>
      <c r="S416" s="26" t="n">
        <f aca="false">IF(A416=Inputs!$C$12,"",F416)</f>
        <v>0.0024449387557488</v>
      </c>
      <c r="T416" s="27" t="n">
        <f aca="false">IF(AND(A416&gt;Risk_Metrics!$C$28,P416&gt;=Risk_Metrics!$C$30),1,0)</f>
        <v>1</v>
      </c>
      <c r="U416" s="26" t="n">
        <f aca="false">IF(A416=Inputs!$C$12,"",K416)</f>
        <v>0.021887277708124</v>
      </c>
    </row>
    <row r="417" customFormat="false" ht="15" hidden="false" customHeight="false" outlineLevel="0" collapsed="false">
      <c r="A417" s="25" t="n">
        <f aca="false">Prices!A418</f>
        <v>44326</v>
      </c>
      <c r="B417" s="26" t="n">
        <f aca="false">Prices!B418/Prices!B417-1</f>
        <v>0.00727591600818434</v>
      </c>
      <c r="C417" s="26" t="n">
        <f aca="false">Prices!C418/Prices!C417-1</f>
        <v>-0.00074999995781766</v>
      </c>
      <c r="D417" s="26" t="n">
        <f aca="false">Prices!D418/Prices!D417-1</f>
        <v>0.00430107526881729</v>
      </c>
      <c r="E417" s="26" t="n">
        <f aca="false">Prices!E418/Prices!E417-1</f>
        <v>-0.00411324164077276</v>
      </c>
      <c r="F417" s="26" t="n">
        <f aca="false">Prices!F418/Prices!F417-1</f>
        <v>-0.0395121463414635</v>
      </c>
      <c r="G417" s="26" t="n">
        <f aca="false">Prices!G418/Prices!G417-1</f>
        <v>0.00886385979049154</v>
      </c>
      <c r="H417" s="26" t="n">
        <f aca="false">Prices!H418/Prices!H417-1</f>
        <v>0.0131255952881704</v>
      </c>
      <c r="I417" s="26" t="n">
        <f aca="false">Prices!I418/Prices!I417-1</f>
        <v>-0.0196588609424692</v>
      </c>
      <c r="J417" s="26" t="n">
        <f aca="false">Prices!J418/Prices!J417-1</f>
        <v>-0.00658289319834271</v>
      </c>
      <c r="K417" s="26" t="n">
        <f aca="false">SUMPRODUCT(B417:J417,Optimization!$C$7:$K$7)</f>
        <v>-0.00411674396946692</v>
      </c>
      <c r="L417" s="26" t="n">
        <f aca="false">SUMPRODUCT(B417:J417,Optimization!$C$8:$K$8)</f>
        <v>-5.98767455285676E-005</v>
      </c>
      <c r="M417" s="26" t="n">
        <f aca="false">SUMPRODUCT(B417:J417,Optimization!$C$9:$K$9)</f>
        <v>-0.00175244265290864</v>
      </c>
      <c r="N417" s="26" t="n">
        <f aca="false">SUMPRODUCT(B417:J417,Optimization!$C$10:$K$10)</f>
        <v>0.00168520231851624</v>
      </c>
      <c r="O417" s="27" t="n">
        <f aca="false">IF(AND(A417&gt;=Inputs!$C$6,A417&lt;=Inputs!$C$7),1,0)</f>
        <v>0</v>
      </c>
      <c r="P417" s="28" t="n">
        <f aca="false">P416*(1+K417)</f>
        <v>142.12751750788</v>
      </c>
      <c r="Q417" s="28" t="n">
        <f aca="false">MAX(Q416,P417)</f>
        <v>146.31253752665</v>
      </c>
      <c r="R417" s="29" t="n">
        <f aca="false">P417/Q417-1</f>
        <v>-0.0286032905280457</v>
      </c>
      <c r="S417" s="26" t="n">
        <f aca="false">IF(A417=Inputs!$C$12,"",F417)</f>
        <v>-0.0395121463414635</v>
      </c>
      <c r="T417" s="27" t="n">
        <f aca="false">IF(AND(A417&gt;Risk_Metrics!$C$28,P417&gt;=Risk_Metrics!$C$30),1,0)</f>
        <v>1</v>
      </c>
      <c r="U417" s="26" t="n">
        <f aca="false">IF(A417=Inputs!$C$12,"",K417)</f>
        <v>-0.00411674396946692</v>
      </c>
    </row>
    <row r="418" customFormat="false" ht="15" hidden="false" customHeight="false" outlineLevel="0" collapsed="false">
      <c r="A418" s="25" t="n">
        <f aca="false">Prices!A419</f>
        <v>44327</v>
      </c>
      <c r="B418" s="26" t="n">
        <f aca="false">Prices!B419/Prices!B418-1</f>
        <v>0.00391772771792343</v>
      </c>
      <c r="C418" s="26" t="n">
        <f aca="false">Prices!C419/Prices!C418-1</f>
        <v>-0.00844272076708152</v>
      </c>
      <c r="D418" s="26" t="n">
        <f aca="false">Prices!D419/Prices!D418-1</f>
        <v>0.00999282655246248</v>
      </c>
      <c r="E418" s="26" t="n">
        <f aca="false">Prices!E419/Prices!E418-1</f>
        <v>-0.00174743444404391</v>
      </c>
      <c r="F418" s="26" t="n">
        <f aca="false">Prices!F419/Prices!F418-1</f>
        <v>-0.00457089870132543</v>
      </c>
      <c r="G418" s="26" t="n">
        <f aca="false">Prices!G419/Prices!G418-1</f>
        <v>-0.00838662107082189</v>
      </c>
      <c r="H418" s="26" t="n">
        <f aca="false">Prices!H419/Prices!H418-1</f>
        <v>0.0182185822583569</v>
      </c>
      <c r="I418" s="26" t="n">
        <f aca="false">Prices!I419/Prices!I418-1</f>
        <v>0.0197582424063698</v>
      </c>
      <c r="J418" s="26" t="n">
        <f aca="false">Prices!J419/Prices!J418-1</f>
        <v>0.0351381892904665</v>
      </c>
      <c r="K418" s="26" t="n">
        <f aca="false">SUMPRODUCT(B418:J418,Optimization!$C$7:$K$7)</f>
        <v>0.0070975436935896</v>
      </c>
      <c r="L418" s="26" t="n">
        <f aca="false">SUMPRODUCT(B418:J418,Optimization!$C$8:$K$8)</f>
        <v>0.011760577137582</v>
      </c>
      <c r="M418" s="26" t="n">
        <f aca="false">SUMPRODUCT(B418:J418,Optimization!$C$9:$K$9)</f>
        <v>0.0132607550634084</v>
      </c>
      <c r="N418" s="26" t="n">
        <f aca="false">SUMPRODUCT(B418:J418,Optimization!$C$10:$K$10)</f>
        <v>0.0104164269896996</v>
      </c>
      <c r="O418" s="27" t="n">
        <f aca="false">IF(AND(A418&gt;=Inputs!$C$6,A418&lt;=Inputs!$C$7),1,0)</f>
        <v>0</v>
      </c>
      <c r="P418" s="28" t="n">
        <f aca="false">P417*(1+K418)</f>
        <v>143.136273773453</v>
      </c>
      <c r="Q418" s="28" t="n">
        <f aca="false">MAX(Q417,P418)</f>
        <v>146.31253752665</v>
      </c>
      <c r="R418" s="29" t="n">
        <f aca="false">P418/Q418-1</f>
        <v>-0.0217087599387593</v>
      </c>
      <c r="S418" s="26" t="n">
        <f aca="false">IF(A418=Inputs!$C$12,"",F418)</f>
        <v>-0.00457089870132543</v>
      </c>
      <c r="T418" s="27" t="n">
        <f aca="false">IF(AND(A418&gt;Risk_Metrics!$C$28,P418&gt;=Risk_Metrics!$C$30),1,0)</f>
        <v>1</v>
      </c>
      <c r="U418" s="26" t="n">
        <f aca="false">IF(A418=Inputs!$C$12,"",K418)</f>
        <v>0.0070975436935896</v>
      </c>
    </row>
    <row r="419" customFormat="false" ht="15" hidden="false" customHeight="false" outlineLevel="0" collapsed="false">
      <c r="A419" s="25" t="n">
        <f aca="false">Prices!A420</f>
        <v>44328</v>
      </c>
      <c r="B419" s="26" t="n">
        <f aca="false">Prices!B420/Prices!B419-1</f>
        <v>-0.0195121707317073</v>
      </c>
      <c r="C419" s="26" t="n">
        <f aca="false">Prices!C420/Prices!C419-1</f>
        <v>-0.0255440487125062</v>
      </c>
      <c r="D419" s="26" t="n">
        <f aca="false">Prices!D420/Prices!D419-1</f>
        <v>-0.0215547004082933</v>
      </c>
      <c r="E419" s="26" t="n">
        <f aca="false">Prices!E420/Prices!E419-1</f>
        <v>-0.0722469923615532</v>
      </c>
      <c r="F419" s="26" t="n">
        <f aca="false">Prices!F420/Prices!F419-1</f>
        <v>-0.013265306122449</v>
      </c>
      <c r="G419" s="26" t="n">
        <f aca="false">Prices!G420/Prices!G419-1</f>
        <v>-0.06282722513089</v>
      </c>
      <c r="H419" s="26" t="n">
        <f aca="false">Prices!H420/Prices!H419-1</f>
        <v>-0.014711689860835</v>
      </c>
      <c r="I419" s="26" t="n">
        <f aca="false">Prices!I420/Prices!I419-1</f>
        <v>-0.045691206148571</v>
      </c>
      <c r="J419" s="26" t="n">
        <f aca="false">Prices!J420/Prices!J419-1</f>
        <v>-0.0369777540685836</v>
      </c>
      <c r="K419" s="26" t="n">
        <f aca="false">SUMPRODUCT(B419:J419,Optimization!$C$7:$K$7)</f>
        <v>-0.0347034548383765</v>
      </c>
      <c r="L419" s="26" t="n">
        <f aca="false">SUMPRODUCT(B419:J419,Optimization!$C$8:$K$8)</f>
        <v>-0.0266912275048777</v>
      </c>
      <c r="M419" s="26" t="n">
        <f aca="false">SUMPRODUCT(B419:J419,Optimization!$C$9:$K$9)</f>
        <v>-0.0286074097330026</v>
      </c>
      <c r="N419" s="26" t="n">
        <f aca="false">SUMPRODUCT(B419:J419,Optimization!$C$10:$K$10)</f>
        <v>-0.0248639637318256</v>
      </c>
      <c r="O419" s="27" t="n">
        <f aca="false">IF(AND(A419&gt;=Inputs!$C$6,A419&lt;=Inputs!$C$7),1,0)</f>
        <v>0</v>
      </c>
      <c r="P419" s="28" t="n">
        <f aca="false">P418*(1+K419)</f>
        <v>138.168950560823</v>
      </c>
      <c r="Q419" s="28" t="n">
        <f aca="false">MAX(Q418,P419)</f>
        <v>146.31253752665</v>
      </c>
      <c r="R419" s="29" t="n">
        <f aca="false">P419/Q419-1</f>
        <v>-0.0556588458070039</v>
      </c>
      <c r="S419" s="26" t="n">
        <f aca="false">IF(A419=Inputs!$C$12,"",F419)</f>
        <v>-0.013265306122449</v>
      </c>
      <c r="T419" s="27" t="n">
        <f aca="false">IF(AND(A419&gt;Risk_Metrics!$C$28,P419&gt;=Risk_Metrics!$C$30),1,0)</f>
        <v>1</v>
      </c>
      <c r="U419" s="26" t="n">
        <f aca="false">IF(A419=Inputs!$C$12,"",K419)</f>
        <v>-0.0347034548383765</v>
      </c>
    </row>
    <row r="420" customFormat="false" ht="15" hidden="false" customHeight="false" outlineLevel="0" collapsed="false">
      <c r="A420" s="25" t="n">
        <f aca="false">Prices!A421</f>
        <v>44329</v>
      </c>
      <c r="B420" s="26" t="n">
        <f aca="false">Prices!B421/Prices!B420-1</f>
        <v>0.00970146742036149</v>
      </c>
      <c r="C420" s="26" t="n">
        <f aca="false">Prices!C421/Prices!C420-1</f>
        <v>0.00485440795551106</v>
      </c>
      <c r="D420" s="26" t="n">
        <f aca="false">Prices!D421/Prices!D420-1</f>
        <v>-0.0140845787618425</v>
      </c>
      <c r="E420" s="26" t="n">
        <f aca="false">Prices!E421/Prices!E420-1</f>
        <v>0.00840483719390806</v>
      </c>
      <c r="F420" s="26" t="n">
        <f aca="false">Prices!F421/Prices!F420-1</f>
        <v>0.00465356773526371</v>
      </c>
      <c r="G420" s="26" t="n">
        <f aca="false">Prices!G421/Prices!G420-1</f>
        <v>0.0184787709497207</v>
      </c>
      <c r="H420" s="26" t="n">
        <f aca="false">Prices!H421/Prices!H420-1</f>
        <v>0.0084745355740703</v>
      </c>
      <c r="I420" s="26" t="n">
        <f aca="false">Prices!I421/Prices!I420-1</f>
        <v>0.00212121212121219</v>
      </c>
      <c r="J420" s="26" t="n">
        <f aca="false">Prices!J421/Prices!J420-1</f>
        <v>-0.0160937983714895</v>
      </c>
      <c r="K420" s="26" t="n">
        <f aca="false">SUMPRODUCT(B420:J420,Optimization!$C$7:$K$7)</f>
        <v>0.0029456024240795</v>
      </c>
      <c r="L420" s="26" t="n">
        <f aca="false">SUMPRODUCT(B420:J420,Optimization!$C$8:$K$8)</f>
        <v>-0.00661405548084106</v>
      </c>
      <c r="M420" s="26" t="n">
        <f aca="false">SUMPRODUCT(B420:J420,Optimization!$C$9:$K$9)</f>
        <v>-0.00512560040685277</v>
      </c>
      <c r="N420" s="26" t="n">
        <f aca="false">SUMPRODUCT(B420:J420,Optimization!$C$10:$K$10)</f>
        <v>-0.00696802870624453</v>
      </c>
      <c r="O420" s="27" t="n">
        <f aca="false">IF(AND(A420&gt;=Inputs!$C$6,A420&lt;=Inputs!$C$7),1,0)</f>
        <v>0</v>
      </c>
      <c r="P420" s="28" t="n">
        <f aca="false">P419*(1+K420)</f>
        <v>138.575941356527</v>
      </c>
      <c r="Q420" s="28" t="n">
        <f aca="false">MAX(Q419,P420)</f>
        <v>146.31253752665</v>
      </c>
      <c r="R420" s="29" t="n">
        <f aca="false">P420/Q420-1</f>
        <v>-0.0528771922140551</v>
      </c>
      <c r="S420" s="26" t="n">
        <f aca="false">IF(A420=Inputs!$C$12,"",F420)</f>
        <v>0.00465356773526371</v>
      </c>
      <c r="T420" s="27" t="n">
        <f aca="false">IF(AND(A420&gt;Risk_Metrics!$C$28,P420&gt;=Risk_Metrics!$C$30),1,0)</f>
        <v>1</v>
      </c>
      <c r="U420" s="26" t="n">
        <f aca="false">IF(A420=Inputs!$C$12,"",K420)</f>
        <v>0.0029456024240795</v>
      </c>
    </row>
    <row r="421" customFormat="false" ht="15" hidden="false" customHeight="false" outlineLevel="0" collapsed="false">
      <c r="A421" s="25" t="n">
        <f aca="false">Prices!A422</f>
        <v>44330</v>
      </c>
      <c r="B421" s="26" t="n">
        <f aca="false">Prices!B422/Prices!B421-1</f>
        <v>0.0327666420300565</v>
      </c>
      <c r="C421" s="26" t="n">
        <f aca="false">Prices!C422/Prices!C421-1</f>
        <v>0.0347826086956522</v>
      </c>
      <c r="D421" s="26" t="n">
        <f aca="false">Prices!D422/Prices!D421-1</f>
        <v>-0.0146519785586806</v>
      </c>
      <c r="E421" s="26" t="n">
        <f aca="false">Prices!E422/Prices!E421-1</f>
        <v>0</v>
      </c>
      <c r="F421" s="26" t="n">
        <f aca="false">Prices!F422/Prices!F421-1</f>
        <v>0.000514719505918526</v>
      </c>
      <c r="G421" s="26" t="n">
        <f aca="false">Prices!G422/Prices!G421-1</f>
        <v>0.0215189020456159</v>
      </c>
      <c r="H421" s="26" t="n">
        <f aca="false">Prices!H422/Prices!H421-1</f>
        <v>0.0524209283713486</v>
      </c>
      <c r="I421" s="26" t="n">
        <f aca="false">Prices!I422/Prices!I421-1</f>
        <v>0.00514067130329599</v>
      </c>
      <c r="J421" s="26" t="n">
        <f aca="false">Prices!J422/Prices!J421-1</f>
        <v>-0.0171570809344312</v>
      </c>
      <c r="K421" s="26" t="n">
        <f aca="false">SUMPRODUCT(B421:J421,Optimization!$C$7:$K$7)</f>
        <v>0.0128150458287529</v>
      </c>
      <c r="L421" s="26" t="n">
        <f aca="false">SUMPRODUCT(B421:J421,Optimization!$C$8:$K$8)</f>
        <v>0.000771037550055159</v>
      </c>
      <c r="M421" s="26" t="n">
        <f aca="false">SUMPRODUCT(B421:J421,Optimization!$C$9:$K$9)</f>
        <v>0.00351740126204084</v>
      </c>
      <c r="N421" s="26" t="n">
        <f aca="false">SUMPRODUCT(B421:J421,Optimization!$C$10:$K$10)</f>
        <v>0.000922861447341025</v>
      </c>
      <c r="O421" s="27" t="n">
        <f aca="false">IF(AND(A421&gt;=Inputs!$C$6,A421&lt;=Inputs!$C$7),1,0)</f>
        <v>0</v>
      </c>
      <c r="P421" s="28" t="n">
        <f aca="false">P420*(1+K421)</f>
        <v>140.351798395774</v>
      </c>
      <c r="Q421" s="28" t="n">
        <f aca="false">MAX(Q420,P421)</f>
        <v>146.31253752665</v>
      </c>
      <c r="R421" s="29" t="n">
        <f aca="false">P421/Q421-1</f>
        <v>-0.0407397700268211</v>
      </c>
      <c r="S421" s="26" t="n">
        <f aca="false">IF(A421=Inputs!$C$12,"",F421)</f>
        <v>0.000514719505918526</v>
      </c>
      <c r="T421" s="27" t="n">
        <f aca="false">IF(AND(A421&gt;Risk_Metrics!$C$28,P421&gt;=Risk_Metrics!$C$30),1,0)</f>
        <v>1</v>
      </c>
      <c r="U421" s="26" t="n">
        <f aca="false">IF(A421=Inputs!$C$12,"",K421)</f>
        <v>0.0128150458287529</v>
      </c>
    </row>
    <row r="422" customFormat="false" ht="15" hidden="false" customHeight="false" outlineLevel="0" collapsed="false">
      <c r="A422" s="25" t="n">
        <f aca="false">Prices!A423</f>
        <v>44333</v>
      </c>
      <c r="B422" s="26" t="n">
        <f aca="false">Prices!B423/Prices!B422-1</f>
        <v>0.0193225557882899</v>
      </c>
      <c r="C422" s="26" t="n">
        <f aca="false">Prices!C423/Prices!C422-1</f>
        <v>-0.0151260504201682</v>
      </c>
      <c r="D422" s="26" t="n">
        <f aca="false">Prices!D423/Prices!D422-1</f>
        <v>0.00223044609665424</v>
      </c>
      <c r="E422" s="26" t="n">
        <f aca="false">Prices!E423/Prices!E422-1</f>
        <v>0.0192209045888603</v>
      </c>
      <c r="F422" s="26" t="n">
        <f aca="false">Prices!F423/Prices!F422-1</f>
        <v>0.00514403265720009</v>
      </c>
      <c r="G422" s="26" t="n">
        <f aca="false">Prices!G423/Prices!G422-1</f>
        <v>0.0161090878194585</v>
      </c>
      <c r="H422" s="26" t="n">
        <f aca="false">Prices!H423/Prices!H422-1</f>
        <v>0.0136882514710361</v>
      </c>
      <c r="I422" s="26" t="n">
        <f aca="false">Prices!I423/Prices!I422-1</f>
        <v>-0.0126354384695885</v>
      </c>
      <c r="J422" s="26" t="n">
        <f aca="false">Prices!J423/Prices!J422-1</f>
        <v>0.0262301108218181</v>
      </c>
      <c r="K422" s="26" t="n">
        <f aca="false">SUMPRODUCT(B422:J422,Optimization!$C$7:$K$7)</f>
        <v>0.00824265559484007</v>
      </c>
      <c r="L422" s="26" t="n">
        <f aca="false">SUMPRODUCT(B422:J422,Optimization!$C$8:$K$8)</f>
        <v>0.00514670142730452</v>
      </c>
      <c r="M422" s="26" t="n">
        <f aca="false">SUMPRODUCT(B422:J422,Optimization!$C$9:$K$9)</f>
        <v>0.0063144149241937</v>
      </c>
      <c r="N422" s="26" t="n">
        <f aca="false">SUMPRODUCT(B422:J422,Optimization!$C$10:$K$10)</f>
        <v>0.00588165859763661</v>
      </c>
      <c r="O422" s="27" t="n">
        <f aca="false">IF(AND(A422&gt;=Inputs!$C$6,A422&lt;=Inputs!$C$7),1,0)</f>
        <v>0</v>
      </c>
      <c r="P422" s="28" t="n">
        <f aca="false">P421*(1+K422)</f>
        <v>141.508669932067</v>
      </c>
      <c r="Q422" s="28" t="n">
        <f aca="false">MAX(Q421,P422)</f>
        <v>146.31253752665</v>
      </c>
      <c r="R422" s="29" t="n">
        <f aca="false">P422/Q422-1</f>
        <v>-0.0328329183253252</v>
      </c>
      <c r="S422" s="26" t="n">
        <f aca="false">IF(A422=Inputs!$C$12,"",F422)</f>
        <v>0.00514403265720009</v>
      </c>
      <c r="T422" s="27" t="n">
        <f aca="false">IF(AND(A422&gt;Risk_Metrics!$C$28,P422&gt;=Risk_Metrics!$C$30),1,0)</f>
        <v>1</v>
      </c>
      <c r="U422" s="26" t="n">
        <f aca="false">IF(A422=Inputs!$C$12,"",K422)</f>
        <v>0.00824265559484007</v>
      </c>
    </row>
    <row r="423" customFormat="false" ht="15" hidden="false" customHeight="false" outlineLevel="0" collapsed="false">
      <c r="A423" s="25" t="n">
        <f aca="false">Prices!A424</f>
        <v>44334</v>
      </c>
      <c r="B423" s="26" t="n">
        <f aca="false">Prices!B424/Prices!B423-1</f>
        <v>-0.00538262351255114</v>
      </c>
      <c r="C423" s="26" t="n">
        <f aca="false">Prices!C424/Prices!C423-1</f>
        <v>-0.0159272468714448</v>
      </c>
      <c r="D423" s="26" t="n">
        <f aca="false">Prices!D424/Prices!D423-1</f>
        <v>-0.00778928070435014</v>
      </c>
      <c r="E423" s="26" t="n">
        <f aca="false">Prices!E424/Prices!E423-1</f>
        <v>0.0180240660221651</v>
      </c>
      <c r="F423" s="26" t="n">
        <f aca="false">Prices!F424/Prices!F423-1</f>
        <v>-0.00102359257811713</v>
      </c>
      <c r="G423" s="26" t="n">
        <f aca="false">Prices!G424/Prices!G423-1</f>
        <v>-0.00731707317073171</v>
      </c>
      <c r="H423" s="26" t="n">
        <f aca="false">Prices!H424/Prices!H423-1</f>
        <v>-0.0116279069767441</v>
      </c>
      <c r="I423" s="26" t="n">
        <f aca="false">Prices!I424/Prices!I423-1</f>
        <v>-0.0252894576477758</v>
      </c>
      <c r="J423" s="26" t="n">
        <f aca="false">Prices!J424/Prices!J423-1</f>
        <v>0.0100475851405568</v>
      </c>
      <c r="K423" s="26" t="n">
        <f aca="false">SUMPRODUCT(B423:J423,Optimization!$C$7:$K$7)</f>
        <v>-0.00514283669988809</v>
      </c>
      <c r="L423" s="26" t="n">
        <f aca="false">SUMPRODUCT(B423:J423,Optimization!$C$8:$K$8)</f>
        <v>-0.007255985011574</v>
      </c>
      <c r="M423" s="26" t="n">
        <f aca="false">SUMPRODUCT(B423:J423,Optimization!$C$9:$K$9)</f>
        <v>-0.00682949588113103</v>
      </c>
      <c r="N423" s="26" t="n">
        <f aca="false">SUMPRODUCT(B423:J423,Optimization!$C$10:$K$10)</f>
        <v>-0.00647810546590377</v>
      </c>
      <c r="O423" s="27" t="n">
        <f aca="false">IF(AND(A423&gt;=Inputs!$C$6,A423&lt;=Inputs!$C$7),1,0)</f>
        <v>0</v>
      </c>
      <c r="P423" s="28" t="n">
        <f aca="false">P422*(1+K423)</f>
        <v>140.780913950988</v>
      </c>
      <c r="Q423" s="28" t="n">
        <f aca="false">MAX(Q422,P423)</f>
        <v>146.31253752665</v>
      </c>
      <c r="R423" s="29" t="n">
        <f aca="false">P423/Q423-1</f>
        <v>-0.0378069006878854</v>
      </c>
      <c r="S423" s="26" t="n">
        <f aca="false">IF(A423=Inputs!$C$12,"",F423)</f>
        <v>-0.00102359257811713</v>
      </c>
      <c r="T423" s="27" t="n">
        <f aca="false">IF(AND(A423&gt;Risk_Metrics!$C$28,P423&gt;=Risk_Metrics!$C$30),1,0)</f>
        <v>1</v>
      </c>
      <c r="U423" s="26" t="n">
        <f aca="false">IF(A423=Inputs!$C$12,"",K423)</f>
        <v>-0.00514283669988809</v>
      </c>
    </row>
    <row r="424" customFormat="false" ht="15" hidden="false" customHeight="false" outlineLevel="0" collapsed="false">
      <c r="A424" s="25" t="n">
        <f aca="false">Prices!A425</f>
        <v>44335</v>
      </c>
      <c r="B424" s="26" t="n">
        <f aca="false">Prices!B425/Prices!B424-1</f>
        <v>-0.00235290588235293</v>
      </c>
      <c r="C424" s="26" t="n">
        <f aca="false">Prices!C425/Prices!C424-1</f>
        <v>-0.00462427772394658</v>
      </c>
      <c r="D424" s="26" t="n">
        <f aca="false">Prices!D425/Prices!D424-1</f>
        <v>0.00186912149532703</v>
      </c>
      <c r="E424" s="26" t="n">
        <f aca="false">Prices!E425/Prices!E424-1</f>
        <v>-0.0203279016393442</v>
      </c>
      <c r="F424" s="26" t="n">
        <f aca="false">Prices!F425/Prices!F424-1</f>
        <v>-0.0235656249999999</v>
      </c>
      <c r="G424" s="26" t="n">
        <f aca="false">Prices!G425/Prices!G424-1</f>
        <v>0.006142506142506</v>
      </c>
      <c r="H424" s="26" t="n">
        <f aca="false">Prices!H425/Prices!H424-1</f>
        <v>-0.00759013282732457</v>
      </c>
      <c r="I424" s="26" t="n">
        <f aca="false">Prices!I425/Prices!I424-1</f>
        <v>-0.00593938730853383</v>
      </c>
      <c r="J424" s="26" t="n">
        <f aca="false">Prices!J425/Prices!J424-1</f>
        <v>-0.0205060911083087</v>
      </c>
      <c r="K424" s="26" t="n">
        <f aca="false">SUMPRODUCT(B424:J424,Optimization!$C$7:$K$7)</f>
        <v>-0.00854385487244196</v>
      </c>
      <c r="L424" s="26" t="n">
        <f aca="false">SUMPRODUCT(B424:J424,Optimization!$C$8:$K$8)</f>
        <v>-0.00410923068633771</v>
      </c>
      <c r="M424" s="26" t="n">
        <f aca="false">SUMPRODUCT(B424:J424,Optimization!$C$9:$K$9)</f>
        <v>-0.00612035686117936</v>
      </c>
      <c r="N424" s="26" t="n">
        <f aca="false">SUMPRODUCT(B424:J424,Optimization!$C$10:$K$10)</f>
        <v>-0.00334413176594575</v>
      </c>
      <c r="O424" s="27" t="n">
        <f aca="false">IF(AND(A424&gt;=Inputs!$C$6,A424&lt;=Inputs!$C$7),1,0)</f>
        <v>0</v>
      </c>
      <c r="P424" s="28" t="n">
        <f aca="false">P423*(1+K424)</f>
        <v>139.578102253381</v>
      </c>
      <c r="Q424" s="28" t="n">
        <f aca="false">MAX(Q423,P424)</f>
        <v>146.31253752665</v>
      </c>
      <c r="R424" s="29" t="n">
        <f aca="false">P424/Q424-1</f>
        <v>-0.0460277388876731</v>
      </c>
      <c r="S424" s="26" t="n">
        <f aca="false">IF(A424=Inputs!$C$12,"",F424)</f>
        <v>-0.0235656249999999</v>
      </c>
      <c r="T424" s="27" t="n">
        <f aca="false">IF(AND(A424&gt;Risk_Metrics!$C$28,P424&gt;=Risk_Metrics!$C$30),1,0)</f>
        <v>1</v>
      </c>
      <c r="U424" s="26" t="n">
        <f aca="false">IF(A424=Inputs!$C$12,"",K424)</f>
        <v>-0.00854385487244196</v>
      </c>
    </row>
    <row r="425" customFormat="false" ht="15" hidden="false" customHeight="false" outlineLevel="0" collapsed="false">
      <c r="A425" s="25" t="n">
        <f aca="false">Prices!A426</f>
        <v>44336</v>
      </c>
      <c r="B425" s="26" t="n">
        <f aca="false">Prices!B426/Prices!B425-1</f>
        <v>-0.00106136788697997</v>
      </c>
      <c r="C425" s="26" t="n">
        <f aca="false">Prices!C426/Prices!C425-1</f>
        <v>0.0017422184519289</v>
      </c>
      <c r="D425" s="26" t="n">
        <f aca="false">Prices!D426/Prices!D425-1</f>
        <v>-0.0238805605925582</v>
      </c>
      <c r="E425" s="26" t="n">
        <f aca="false">Prices!E426/Prices!E425-1</f>
        <v>0.0453481106207534</v>
      </c>
      <c r="F425" s="26" t="n">
        <f aca="false">Prices!F426/Prices!F425-1</f>
        <v>-0.012591763514783</v>
      </c>
      <c r="G425" s="26" t="n">
        <f aca="false">Prices!G426/Prices!G425-1</f>
        <v>0.0219780626780628</v>
      </c>
      <c r="H425" s="26" t="n">
        <f aca="false">Prices!H426/Prices!H425-1</f>
        <v>-0.00841300191204586</v>
      </c>
      <c r="I425" s="26" t="n">
        <f aca="false">Prices!I426/Prices!I425-1</f>
        <v>0.00691827065780726</v>
      </c>
      <c r="J425" s="26" t="n">
        <f aca="false">Prices!J426/Prices!J425-1</f>
        <v>-0.0101558930957684</v>
      </c>
      <c r="K425" s="26" t="n">
        <f aca="false">SUMPRODUCT(B425:J425,Optimization!$C$7:$K$7)</f>
        <v>0.00220934171182411</v>
      </c>
      <c r="L425" s="26" t="n">
        <f aca="false">SUMPRODUCT(B425:J425,Optimization!$C$8:$K$8)</f>
        <v>-0.0116470454188258</v>
      </c>
      <c r="M425" s="26" t="n">
        <f aca="false">SUMPRODUCT(B425:J425,Optimization!$C$9:$K$9)</f>
        <v>-0.00851054761540826</v>
      </c>
      <c r="N425" s="26" t="n">
        <f aca="false">SUMPRODUCT(B425:J425,Optimization!$C$10:$K$10)</f>
        <v>-0.0131840000827327</v>
      </c>
      <c r="O425" s="27" t="n">
        <f aca="false">IF(AND(A425&gt;=Inputs!$C$6,A425&lt;=Inputs!$C$7),1,0)</f>
        <v>0</v>
      </c>
      <c r="P425" s="28" t="n">
        <f aca="false">P424*(1+K425)</f>
        <v>139.886477976746</v>
      </c>
      <c r="Q425" s="28" t="n">
        <f aca="false">MAX(Q424,P425)</f>
        <v>146.31253752665</v>
      </c>
      <c r="R425" s="29" t="n">
        <f aca="false">P425/Q425-1</f>
        <v>-0.0439200881792746</v>
      </c>
      <c r="S425" s="26" t="n">
        <f aca="false">IF(A425=Inputs!$C$12,"",F425)</f>
        <v>-0.012591763514783</v>
      </c>
      <c r="T425" s="27" t="n">
        <f aca="false">IF(AND(A425&gt;Risk_Metrics!$C$28,P425&gt;=Risk_Metrics!$C$30),1,0)</f>
        <v>1</v>
      </c>
      <c r="U425" s="26" t="n">
        <f aca="false">IF(A425=Inputs!$C$12,"",K425)</f>
        <v>0.00220934171182411</v>
      </c>
    </row>
    <row r="426" customFormat="false" ht="15" hidden="false" customHeight="false" outlineLevel="0" collapsed="false">
      <c r="A426" s="25" t="n">
        <f aca="false">Prices!A427</f>
        <v>44337</v>
      </c>
      <c r="B426" s="26" t="n">
        <f aca="false">Prices!B427/Prices!B426-1</f>
        <v>0.00153461222446727</v>
      </c>
      <c r="C426" s="26" t="n">
        <f aca="false">Prices!C427/Prices!C426-1</f>
        <v>0.00579710144927548</v>
      </c>
      <c r="D426" s="26" t="n">
        <f aca="false">Prices!D427/Prices!D426-1</f>
        <v>-0.00611620795107037</v>
      </c>
      <c r="E426" s="26" t="n">
        <f aca="false">Prices!E427/Prices!E426-1</f>
        <v>0.00656315020708886</v>
      </c>
      <c r="F426" s="26" t="n">
        <f aca="false">Prices!F427/Prices!F426-1</f>
        <v>-0.0191286397449522</v>
      </c>
      <c r="G426" s="26" t="n">
        <f aca="false">Prices!G427/Prices!G426-1</f>
        <v>-0.0234966537834865</v>
      </c>
      <c r="H426" s="26" t="n">
        <f aca="false">Prices!H427/Prices!H426-1</f>
        <v>0.00077134593135364</v>
      </c>
      <c r="I426" s="26" t="n">
        <f aca="false">Prices!I427/Prices!I426-1</f>
        <v>-0.0121799188007495</v>
      </c>
      <c r="J426" s="26" t="n">
        <f aca="false">Prices!J427/Prices!J426-1</f>
        <v>-0.0153901447629363</v>
      </c>
      <c r="K426" s="26" t="n">
        <f aca="false">SUMPRODUCT(B426:J426,Optimization!$C$7:$K$7)</f>
        <v>-0.00684948391455663</v>
      </c>
      <c r="L426" s="26" t="n">
        <f aca="false">SUMPRODUCT(B426:J426,Optimization!$C$8:$K$8)</f>
        <v>-0.00549697262215266</v>
      </c>
      <c r="M426" s="26" t="n">
        <f aca="false">SUMPRODUCT(B426:J426,Optimization!$C$9:$K$9)</f>
        <v>-0.00594001931227451</v>
      </c>
      <c r="N426" s="26" t="n">
        <f aca="false">SUMPRODUCT(B426:J426,Optimization!$C$10:$K$10)</f>
        <v>-0.00469286364892197</v>
      </c>
      <c r="O426" s="27" t="n">
        <f aca="false">IF(AND(A426&gt;=Inputs!$C$6,A426&lt;=Inputs!$C$7),1,0)</f>
        <v>0</v>
      </c>
      <c r="P426" s="28" t="n">
        <f aca="false">P425*(1+K426)</f>
        <v>138.928327795981</v>
      </c>
      <c r="Q426" s="28" t="n">
        <f aca="false">MAX(Q425,P426)</f>
        <v>146.31253752665</v>
      </c>
      <c r="R426" s="29" t="n">
        <f aca="false">P426/Q426-1</f>
        <v>-0.0504687421563214</v>
      </c>
      <c r="S426" s="26" t="n">
        <f aca="false">IF(A426=Inputs!$C$12,"",F426)</f>
        <v>-0.0191286397449522</v>
      </c>
      <c r="T426" s="27" t="n">
        <f aca="false">IF(AND(A426&gt;Risk_Metrics!$C$28,P426&gt;=Risk_Metrics!$C$30),1,0)</f>
        <v>1</v>
      </c>
      <c r="U426" s="26" t="n">
        <f aca="false">IF(A426=Inputs!$C$12,"",K426)</f>
        <v>-0.00684948391455663</v>
      </c>
    </row>
    <row r="427" customFormat="false" ht="15" hidden="false" customHeight="false" outlineLevel="0" collapsed="false">
      <c r="A427" s="25" t="n">
        <f aca="false">Prices!A428</f>
        <v>44340</v>
      </c>
      <c r="B427" s="26" t="n">
        <f aca="false">Prices!B428/Prices!B427-1</f>
        <v>0.0108440127696376</v>
      </c>
      <c r="C427" s="26" t="n">
        <f aca="false">Prices!C428/Prices!C427-1</f>
        <v>0.0057637463976945</v>
      </c>
      <c r="D427" s="26" t="n">
        <f aca="false">Prices!D428/Prices!D427-1</f>
        <v>0.00269230769230777</v>
      </c>
      <c r="E427" s="26" t="n">
        <f aca="false">Prices!E428/Prices!E427-1</f>
        <v>0.0217875155568144</v>
      </c>
      <c r="F427" s="26" t="n">
        <f aca="false">Prices!F428/Prices!F427-1</f>
        <v>0.0552546617147705</v>
      </c>
      <c r="G427" s="26" t="n">
        <f aca="false">Prices!G428/Prices!G427-1</f>
        <v>0.00407834420880904</v>
      </c>
      <c r="H427" s="26" t="n">
        <f aca="false">Prices!H428/Prices!H427-1</f>
        <v>0.016955606283021</v>
      </c>
      <c r="I427" s="26" t="n">
        <f aca="false">Prices!I428/Prices!I427-1</f>
        <v>0.0116977872809922</v>
      </c>
      <c r="J427" s="26" t="n">
        <f aca="false">Prices!J428/Prices!J427-1</f>
        <v>0.00347346428750517</v>
      </c>
      <c r="K427" s="26" t="n">
        <f aca="false">SUMPRODUCT(B427:J427,Optimization!$C$7:$K$7)</f>
        <v>0.0147274940212836</v>
      </c>
      <c r="L427" s="26" t="n">
        <f aca="false">SUMPRODUCT(B427:J427,Optimization!$C$8:$K$8)</f>
        <v>0.00539176961670389</v>
      </c>
      <c r="M427" s="26" t="n">
        <f aca="false">SUMPRODUCT(B427:J427,Optimization!$C$9:$K$9)</f>
        <v>0.00614624602896788</v>
      </c>
      <c r="N427" s="26" t="n">
        <f aca="false">SUMPRODUCT(B427:J427,Optimization!$C$10:$K$10)</f>
        <v>0.00499828155604549</v>
      </c>
      <c r="O427" s="27" t="n">
        <f aca="false">IF(AND(A427&gt;=Inputs!$C$6,A427&lt;=Inputs!$C$7),1,0)</f>
        <v>0</v>
      </c>
      <c r="P427" s="28" t="n">
        <f aca="false">P426*(1+K427)</f>
        <v>140.974393912983</v>
      </c>
      <c r="Q427" s="28" t="n">
        <f aca="false">MAX(Q426,P427)</f>
        <v>146.31253752665</v>
      </c>
      <c r="R427" s="29" t="n">
        <f aca="false">P427/Q427-1</f>
        <v>-0.0364845262334067</v>
      </c>
      <c r="S427" s="26" t="n">
        <f aca="false">IF(A427=Inputs!$C$12,"",F427)</f>
        <v>0.0552546617147705</v>
      </c>
      <c r="T427" s="27" t="n">
        <f aca="false">IF(AND(A427&gt;Risk_Metrics!$C$28,P427&gt;=Risk_Metrics!$C$30),1,0)</f>
        <v>1</v>
      </c>
      <c r="U427" s="26" t="n">
        <f aca="false">IF(A427=Inputs!$C$12,"",K427)</f>
        <v>0.0147274940212836</v>
      </c>
    </row>
    <row r="428" customFormat="false" ht="15" hidden="false" customHeight="false" outlineLevel="0" collapsed="false">
      <c r="A428" s="25" t="n">
        <f aca="false">Prices!A429</f>
        <v>44341</v>
      </c>
      <c r="B428" s="26" t="n">
        <f aca="false">Prices!B429/Prices!B428-1</f>
        <v>0.000699603528460768</v>
      </c>
      <c r="C428" s="26" t="n">
        <f aca="false">Prices!C429/Prices!C428-1</f>
        <v>-0.0257880214448125</v>
      </c>
      <c r="D428" s="26" t="n">
        <f aca="false">Prices!D429/Prices!D428-1</f>
        <v>-0.00345224395857302</v>
      </c>
      <c r="E428" s="26" t="n">
        <f aca="false">Prices!E429/Prices!E428-1</f>
        <v>-0.0163423968871596</v>
      </c>
      <c r="F428" s="26" t="n">
        <f aca="false">Prices!F429/Prices!F428-1</f>
        <v>0.0112936858316222</v>
      </c>
      <c r="G428" s="26" t="n">
        <f aca="false">Prices!G429/Prices!G428-1</f>
        <v>0.0146222171152635</v>
      </c>
      <c r="H428" s="26" t="n">
        <f aca="false">Prices!H429/Prices!H428-1</f>
        <v>-0.0208411906343763</v>
      </c>
      <c r="I428" s="26" t="n">
        <f aca="false">Prices!I429/Prices!I428-1</f>
        <v>0.00281250000000011</v>
      </c>
      <c r="J428" s="26" t="n">
        <f aca="false">Prices!J429/Prices!J428-1</f>
        <v>-0.0248678814435042</v>
      </c>
      <c r="K428" s="26" t="n">
        <f aca="false">SUMPRODUCT(B428:J428,Optimization!$C$7:$K$7)</f>
        <v>-0.00687374754367545</v>
      </c>
      <c r="L428" s="26" t="n">
        <f aca="false">SUMPRODUCT(B428:J428,Optimization!$C$8:$K$8)</f>
        <v>-0.008628215533633</v>
      </c>
      <c r="M428" s="26" t="n">
        <f aca="false">SUMPRODUCT(B428:J428,Optimization!$C$9:$K$9)</f>
        <v>-0.0100107095905588</v>
      </c>
      <c r="N428" s="26" t="n">
        <f aca="false">SUMPRODUCT(B428:J428,Optimization!$C$10:$K$10)</f>
        <v>-0.00872125943195831</v>
      </c>
      <c r="O428" s="27" t="n">
        <f aca="false">IF(AND(A428&gt;=Inputs!$C$6,A428&lt;=Inputs!$C$7),1,0)</f>
        <v>0</v>
      </c>
      <c r="P428" s="28" t="n">
        <f aca="false">P427*(1+K428)</f>
        <v>140.005371519102</v>
      </c>
      <c r="Q428" s="28" t="n">
        <f aca="false">MAX(Q427,P428)</f>
        <v>146.31253752665</v>
      </c>
      <c r="R428" s="29" t="n">
        <f aca="false">P428/Q428-1</f>
        <v>-0.0431074883545031</v>
      </c>
      <c r="S428" s="26" t="n">
        <f aca="false">IF(A428=Inputs!$C$12,"",F428)</f>
        <v>0.0112936858316222</v>
      </c>
      <c r="T428" s="27" t="n">
        <f aca="false">IF(AND(A428&gt;Risk_Metrics!$C$28,P428&gt;=Risk_Metrics!$C$30),1,0)</f>
        <v>1</v>
      </c>
      <c r="U428" s="26" t="n">
        <f aca="false">IF(A428=Inputs!$C$12,"",K428)</f>
        <v>-0.00687374754367545</v>
      </c>
    </row>
    <row r="429" customFormat="false" ht="15" hidden="false" customHeight="false" outlineLevel="0" collapsed="false">
      <c r="A429" s="25" t="n">
        <f aca="false">Prices!A430</f>
        <v>44342</v>
      </c>
      <c r="B429" s="26" t="n">
        <f aca="false">Prices!B430/Prices!B429-1</f>
        <v>0.00326261943602901</v>
      </c>
      <c r="C429" s="26" t="n">
        <f aca="false">Prices!C430/Prices!C429-1</f>
        <v>0.00588235294117645</v>
      </c>
      <c r="D429" s="26" t="n">
        <f aca="false">Prices!D430/Prices!D429-1</f>
        <v>-0.000769861431870744</v>
      </c>
      <c r="E429" s="26" t="n">
        <f aca="false">Prices!E430/Prices!E429-1</f>
        <v>0.0031645727347378</v>
      </c>
      <c r="F429" s="26" t="n">
        <f aca="false">Prices!F430/Prices!F429-1</f>
        <v>-0.0203046690200676</v>
      </c>
      <c r="G429" s="26" t="n">
        <f aca="false">Prices!G430/Prices!G429-1</f>
        <v>0.00960764611689347</v>
      </c>
      <c r="H429" s="26" t="n">
        <f aca="false">Prices!H430/Prices!H429-1</f>
        <v>0.0096749226006192</v>
      </c>
      <c r="I429" s="26" t="n">
        <f aca="false">Prices!I430/Prices!I429-1</f>
        <v>0.022125241508258</v>
      </c>
      <c r="J429" s="26" t="n">
        <f aca="false">Prices!J430/Prices!J429-1</f>
        <v>0.0294254452286189</v>
      </c>
      <c r="K429" s="26" t="n">
        <f aca="false">SUMPRODUCT(B429:J429,Optimization!$C$7:$K$7)</f>
        <v>0.00689647445715495</v>
      </c>
      <c r="L429" s="26" t="n">
        <f aca="false">SUMPRODUCT(B429:J429,Optimization!$C$8:$K$8)</f>
        <v>0.00798486972066421</v>
      </c>
      <c r="M429" s="26" t="n">
        <f aca="false">SUMPRODUCT(B429:J429,Optimization!$C$9:$K$9)</f>
        <v>0.0110021488172717</v>
      </c>
      <c r="N429" s="26" t="n">
        <f aca="false">SUMPRODUCT(B429:J429,Optimization!$C$10:$K$10)</f>
        <v>0.00611559935234091</v>
      </c>
      <c r="O429" s="27" t="n">
        <f aca="false">IF(AND(A429&gt;=Inputs!$C$6,A429&lt;=Inputs!$C$7),1,0)</f>
        <v>0</v>
      </c>
      <c r="P429" s="28" t="n">
        <f aca="false">P428*(1+K429)</f>
        <v>140.970914987648</v>
      </c>
      <c r="Q429" s="28" t="n">
        <f aca="false">MAX(Q428,P429)</f>
        <v>146.31253752665</v>
      </c>
      <c r="R429" s="29" t="n">
        <f aca="false">P429/Q429-1</f>
        <v>-0.036508303589697</v>
      </c>
      <c r="S429" s="26" t="n">
        <f aca="false">IF(A429=Inputs!$C$12,"",F429)</f>
        <v>-0.0203046690200676</v>
      </c>
      <c r="T429" s="27" t="n">
        <f aca="false">IF(AND(A429&gt;Risk_Metrics!$C$28,P429&gt;=Risk_Metrics!$C$30),1,0)</f>
        <v>1</v>
      </c>
      <c r="U429" s="26" t="n">
        <f aca="false">IF(A429=Inputs!$C$12,"",K429)</f>
        <v>0.00689647445715495</v>
      </c>
    </row>
    <row r="430" customFormat="false" ht="15" hidden="false" customHeight="false" outlineLevel="0" collapsed="false">
      <c r="A430" s="25" t="n">
        <f aca="false">Prices!A431</f>
        <v>44343</v>
      </c>
      <c r="B430" s="26" t="n">
        <f aca="false">Prices!B431/Prices!B430-1</f>
        <v>0.0163763534582195</v>
      </c>
      <c r="C430" s="26" t="n">
        <f aca="false">Prices!C431/Prices!C430-1</f>
        <v>-0.00701754385964915</v>
      </c>
      <c r="D430" s="26" t="n">
        <f aca="false">Prices!D431/Prices!D430-1</f>
        <v>0.0315871352691499</v>
      </c>
      <c r="E430" s="26" t="n">
        <f aca="false">Prices!E431/Prices!E430-1</f>
        <v>-0.0261829644737236</v>
      </c>
      <c r="F430" s="26" t="n">
        <f aca="false">Prices!F431/Prices!F430-1</f>
        <v>0.00414507793497831</v>
      </c>
      <c r="G430" s="26" t="n">
        <f aca="false">Prices!G431/Prices!G430-1</f>
        <v>0.0063441715441781</v>
      </c>
      <c r="H430" s="26" t="n">
        <f aca="false">Prices!H431/Prices!H430-1</f>
        <v>-0.00689919509390569</v>
      </c>
      <c r="I430" s="26" t="n">
        <f aca="false">Prices!I431/Prices!I430-1</f>
        <v>0.0335366778517281</v>
      </c>
      <c r="J430" s="26" t="n">
        <f aca="false">Prices!J431/Prices!J430-1</f>
        <v>0.00716879329860598</v>
      </c>
      <c r="K430" s="26" t="n">
        <f aca="false">SUMPRODUCT(B430:J430,Optimization!$C$7:$K$7)</f>
        <v>0.00656205621439795</v>
      </c>
      <c r="L430" s="26" t="n">
        <f aca="false">SUMPRODUCT(B430:J430,Optimization!$C$8:$K$8)</f>
        <v>0.0203310916900733</v>
      </c>
      <c r="M430" s="26" t="n">
        <f aca="false">SUMPRODUCT(B430:J430,Optimization!$C$9:$K$9)</f>
        <v>0.0177177658842765</v>
      </c>
      <c r="N430" s="26" t="n">
        <f aca="false">SUMPRODUCT(B430:J430,Optimization!$C$10:$K$10)</f>
        <v>0.0200392642506916</v>
      </c>
      <c r="O430" s="27" t="n">
        <f aca="false">IF(AND(A430&gt;=Inputs!$C$6,A430&lt;=Inputs!$C$7),1,0)</f>
        <v>0</v>
      </c>
      <c r="P430" s="28" t="n">
        <f aca="false">P429*(1+K430)</f>
        <v>141.895974056392</v>
      </c>
      <c r="Q430" s="28" t="n">
        <f aca="false">MAX(Q429,P430)</f>
        <v>146.31253752665</v>
      </c>
      <c r="R430" s="29" t="n">
        <f aca="false">P430/Q430-1</f>
        <v>-0.030185816915747</v>
      </c>
      <c r="S430" s="26" t="n">
        <f aca="false">IF(A430=Inputs!$C$12,"",F430)</f>
        <v>0.00414507793497831</v>
      </c>
      <c r="T430" s="27" t="n">
        <f aca="false">IF(AND(A430&gt;Risk_Metrics!$C$28,P430&gt;=Risk_Metrics!$C$30),1,0)</f>
        <v>1</v>
      </c>
      <c r="U430" s="26" t="n">
        <f aca="false">IF(A430=Inputs!$C$12,"",K430)</f>
        <v>0.00656205621439795</v>
      </c>
    </row>
    <row r="431" customFormat="false" ht="15" hidden="false" customHeight="false" outlineLevel="0" collapsed="false">
      <c r="A431" s="25" t="n">
        <f aca="false">Prices!A432</f>
        <v>44344</v>
      </c>
      <c r="B431" s="26" t="n">
        <f aca="false">Prices!B432/Prices!B431-1</f>
        <v>0.0173694088134062</v>
      </c>
      <c r="C431" s="26" t="n">
        <f aca="false">Prices!C432/Prices!C431-1</f>
        <v>0.0294464075382803</v>
      </c>
      <c r="D431" s="26" t="n">
        <f aca="false">Prices!D432/Prices!D431-1</f>
        <v>-0.022031365868881</v>
      </c>
      <c r="E431" s="26" t="n">
        <f aca="false">Prices!E432/Prices!E431-1</f>
        <v>0.00323934229869316</v>
      </c>
      <c r="F431" s="26" t="n">
        <f aca="false">Prices!F432/Prices!F431-1</f>
        <v>0.0345717252100992</v>
      </c>
      <c r="G431" s="26" t="n">
        <f aca="false">Prices!G432/Prices!G431-1</f>
        <v>0.00827427140560566</v>
      </c>
      <c r="H431" s="26" t="n">
        <f aca="false">Prices!H432/Prices!H431-1</f>
        <v>0.0416827479737552</v>
      </c>
      <c r="I431" s="26" t="n">
        <f aca="false">Prices!I432/Prices!I431-1</f>
        <v>0.0230087892030213</v>
      </c>
      <c r="J431" s="26" t="n">
        <f aca="false">Prices!J432/Prices!J431-1</f>
        <v>0.00540587450051122</v>
      </c>
      <c r="K431" s="26" t="n">
        <f aca="false">SUMPRODUCT(B431:J431,Optimization!$C$7:$K$7)</f>
        <v>0.0156630223416101</v>
      </c>
      <c r="L431" s="26" t="n">
        <f aca="false">SUMPRODUCT(B431:J431,Optimization!$C$8:$K$8)</f>
        <v>-0.000153619722805022</v>
      </c>
      <c r="M431" s="26" t="n">
        <f aca="false">SUMPRODUCT(B431:J431,Optimization!$C$9:$K$9)</f>
        <v>0.00537468092917246</v>
      </c>
      <c r="N431" s="26" t="n">
        <f aca="false">SUMPRODUCT(B431:J431,Optimization!$C$10:$K$10)</f>
        <v>-0.00230260678054201</v>
      </c>
      <c r="O431" s="27" t="n">
        <f aca="false">IF(AND(A431&gt;=Inputs!$C$6,A431&lt;=Inputs!$C$7),1,0)</f>
        <v>0</v>
      </c>
      <c r="P431" s="28" t="n">
        <f aca="false">P430*(1+K431)</f>
        <v>144.118493868222</v>
      </c>
      <c r="Q431" s="28" t="n">
        <f aca="false">MAX(Q430,P431)</f>
        <v>146.31253752665</v>
      </c>
      <c r="R431" s="29" t="n">
        <f aca="false">P431/Q431-1</f>
        <v>-0.0149955956988879</v>
      </c>
      <c r="S431" s="26" t="n">
        <f aca="false">IF(A431=Inputs!$C$12,"",F431)</f>
        <v>0.0345717252100992</v>
      </c>
      <c r="T431" s="27" t="n">
        <f aca="false">IF(AND(A431&gt;Risk_Metrics!$C$28,P431&gt;=Risk_Metrics!$C$30),1,0)</f>
        <v>1</v>
      </c>
      <c r="U431" s="26" t="n">
        <f aca="false">IF(A431=Inputs!$C$12,"",K431)</f>
        <v>0.0156630223416101</v>
      </c>
    </row>
    <row r="432" customFormat="false" ht="15" hidden="false" customHeight="false" outlineLevel="0" collapsed="false">
      <c r="A432" s="25" t="n">
        <f aca="false">Prices!A433</f>
        <v>44347</v>
      </c>
      <c r="B432" s="26" t="n">
        <f aca="false">Prices!B433/Prices!B432-1</f>
        <v>-0.00449289008753107</v>
      </c>
      <c r="C432" s="26" t="n">
        <f aca="false">Prices!C433/Prices!C432-1</f>
        <v>0.00343255148741428</v>
      </c>
      <c r="D432" s="26" t="n">
        <f aca="false">Prices!D433/Prices!D432-1</f>
        <v>0.00610916356971503</v>
      </c>
      <c r="E432" s="26" t="n">
        <f aca="false">Prices!E433/Prices!E432-1</f>
        <v>0.0114627544633961</v>
      </c>
      <c r="F432" s="26" t="n">
        <f aca="false">Prices!F433/Prices!F432-1</f>
        <v>-0.00798005027331927</v>
      </c>
      <c r="G432" s="26" t="n">
        <f aca="false">Prices!G433/Prices!G432-1</f>
        <v>0.00273544353262989</v>
      </c>
      <c r="H432" s="26" t="n">
        <f aca="false">Prices!H433/Prices!H432-1</f>
        <v>-0.00444605409410892</v>
      </c>
      <c r="I432" s="26" t="n">
        <f aca="false">Prices!I433/Prices!I432-1</f>
        <v>0.000576730103806211</v>
      </c>
      <c r="J432" s="26" t="n">
        <f aca="false">Prices!J433/Prices!J432-1</f>
        <v>0.0285868188399254</v>
      </c>
      <c r="K432" s="26" t="n">
        <f aca="false">SUMPRODUCT(B432:J432,Optimization!$C$7:$K$7)</f>
        <v>0.00399827417132529</v>
      </c>
      <c r="L432" s="26" t="n">
        <f aca="false">SUMPRODUCT(B432:J432,Optimization!$C$8:$K$8)</f>
        <v>0.00726382334894445</v>
      </c>
      <c r="M432" s="26" t="n">
        <f aca="false">SUMPRODUCT(B432:J432,Optimization!$C$9:$K$9)</f>
        <v>0.00814817911822964</v>
      </c>
      <c r="N432" s="26" t="n">
        <f aca="false">SUMPRODUCT(B432:J432,Optimization!$C$10:$K$10)</f>
        <v>0.0069663408851393</v>
      </c>
      <c r="O432" s="27" t="n">
        <f aca="false">IF(AND(A432&gt;=Inputs!$C$6,A432&lt;=Inputs!$C$7),1,0)</f>
        <v>0</v>
      </c>
      <c r="P432" s="28" t="n">
        <f aca="false">P431*(1+K432)</f>
        <v>144.694719119866</v>
      </c>
      <c r="Q432" s="28" t="n">
        <f aca="false">MAX(Q431,P432)</f>
        <v>146.31253752665</v>
      </c>
      <c r="R432" s="29" t="n">
        <f aca="false">P432/Q432-1</f>
        <v>-0.011057278030529</v>
      </c>
      <c r="S432" s="26" t="n">
        <f aca="false">IF(A432=Inputs!$C$12,"",F432)</f>
        <v>-0.00798005027331927</v>
      </c>
      <c r="T432" s="27" t="n">
        <f aca="false">IF(AND(A432&gt;Risk_Metrics!$C$28,P432&gt;=Risk_Metrics!$C$30),1,0)</f>
        <v>1</v>
      </c>
      <c r="U432" s="26" t="n">
        <f aca="false">IF(A432=Inputs!$C$12,"",K432)</f>
        <v>0.00399827417132529</v>
      </c>
    </row>
    <row r="433" customFormat="false" ht="15" hidden="false" customHeight="false" outlineLevel="0" collapsed="false">
      <c r="A433" s="25" t="n">
        <f aca="false">Prices!A434</f>
        <v>44348</v>
      </c>
      <c r="B433" s="26" t="n">
        <f aca="false">Prices!B434/Prices!B433-1</f>
        <v>-0.00372327666895889</v>
      </c>
      <c r="C433" s="26" t="n">
        <f aca="false">Prices!C434/Prices!C433-1</f>
        <v>0.00912200632143634</v>
      </c>
      <c r="D433" s="26" t="n">
        <f aca="false">Prices!D434/Prices!D433-1</f>
        <v>-0.0212523339658445</v>
      </c>
      <c r="E433" s="26" t="n">
        <f aca="false">Prices!E434/Prices!E433-1</f>
        <v>0.0241021859823725</v>
      </c>
      <c r="F433" s="26" t="n">
        <f aca="false">Prices!F434/Prices!F433-1</f>
        <v>0.0759176005991755</v>
      </c>
      <c r="G433" s="26" t="n">
        <f aca="false">Prices!G434/Prices!G433-1</f>
        <v>0.0116913094310209</v>
      </c>
      <c r="H433" s="26" t="n">
        <f aca="false">Prices!H434/Prices!H433-1</f>
        <v>0.0156308144536355</v>
      </c>
      <c r="I433" s="26" t="n">
        <f aca="false">Prices!I434/Prices!I433-1</f>
        <v>0.00749273753623236</v>
      </c>
      <c r="J433" s="26" t="n">
        <f aca="false">Prices!J434/Prices!J433-1</f>
        <v>-0.0137654819111822</v>
      </c>
      <c r="K433" s="26" t="n">
        <f aca="false">SUMPRODUCT(B433:J433,Optimization!$C$7:$K$7)</f>
        <v>0.0116906179753208</v>
      </c>
      <c r="L433" s="26" t="n">
        <f aca="false">SUMPRODUCT(B433:J433,Optimization!$C$8:$K$8)</f>
        <v>-0.0104641888946783</v>
      </c>
      <c r="M433" s="26" t="n">
        <f aca="false">SUMPRODUCT(B433:J433,Optimization!$C$9:$K$9)</f>
        <v>-0.00773574216904163</v>
      </c>
      <c r="N433" s="26" t="n">
        <f aca="false">SUMPRODUCT(B433:J433,Optimization!$C$10:$K$10)</f>
        <v>-0.0118316531242052</v>
      </c>
      <c r="O433" s="27" t="n">
        <f aca="false">IF(AND(A433&gt;=Inputs!$C$6,A433&lt;=Inputs!$C$7),1,0)</f>
        <v>0</v>
      </c>
      <c r="P433" s="28" t="n">
        <f aca="false">P432*(1+K433)</f>
        <v>146.386289804143</v>
      </c>
      <c r="Q433" s="28" t="n">
        <f aca="false">MAX(Q432,P433)</f>
        <v>146.386289804143</v>
      </c>
      <c r="R433" s="29" t="n">
        <f aca="false">P433/Q433-1</f>
        <v>0</v>
      </c>
      <c r="S433" s="26" t="n">
        <f aca="false">IF(A433=Inputs!$C$12,"",F433)</f>
        <v>0.0759176005991755</v>
      </c>
      <c r="T433" s="27" t="n">
        <f aca="false">IF(AND(A433&gt;Risk_Metrics!$C$28,P433&gt;=Risk_Metrics!$C$30),1,0)</f>
        <v>1</v>
      </c>
      <c r="U433" s="26" t="n">
        <f aca="false">IF(A433=Inputs!$C$12,"",K433)</f>
        <v>0.0116906179753208</v>
      </c>
    </row>
    <row r="434" customFormat="false" ht="15" hidden="false" customHeight="false" outlineLevel="0" collapsed="false">
      <c r="A434" s="25" t="n">
        <f aca="false">Prices!A435</f>
        <v>44349</v>
      </c>
      <c r="B434" s="26" t="n">
        <f aca="false">Prices!B435/Prices!B434-1</f>
        <v>-0.0107588331565516</v>
      </c>
      <c r="C434" s="26" t="n">
        <f aca="false">Prices!C435/Prices!C434-1</f>
        <v>-0.0389831051421974</v>
      </c>
      <c r="D434" s="26" t="n">
        <f aca="false">Prices!D435/Prices!D434-1</f>
        <v>-0.0178364087694297</v>
      </c>
      <c r="E434" s="26" t="n">
        <f aca="false">Prices!E435/Prices!E434-1</f>
        <v>0.00888402376034758</v>
      </c>
      <c r="F434" s="26" t="n">
        <f aca="false">Prices!F435/Prices!F434-1</f>
        <v>-0.00373831775700928</v>
      </c>
      <c r="G434" s="26" t="n">
        <f aca="false">Prices!G435/Prices!G434-1</f>
        <v>0.0111710713085929</v>
      </c>
      <c r="H434" s="26" t="n">
        <f aca="false">Prices!H435/Prices!H434-1</f>
        <v>0.0212532055238839</v>
      </c>
      <c r="I434" s="26" t="n">
        <f aca="false">Prices!I435/Prices!I434-1</f>
        <v>-0.0357551497641633</v>
      </c>
      <c r="J434" s="26" t="n">
        <f aca="false">Prices!J435/Prices!J434-1</f>
        <v>0.0141343289964928</v>
      </c>
      <c r="K434" s="26" t="n">
        <f aca="false">SUMPRODUCT(B434:J434,Optimization!$C$7:$K$7)</f>
        <v>-0.0057365761111149</v>
      </c>
      <c r="L434" s="26" t="n">
        <f aca="false">SUMPRODUCT(B434:J434,Optimization!$C$8:$K$8)</f>
        <v>-0.0159700733025544</v>
      </c>
      <c r="M434" s="26" t="n">
        <f aca="false">SUMPRODUCT(B434:J434,Optimization!$C$9:$K$9)</f>
        <v>-0.0147232514151666</v>
      </c>
      <c r="N434" s="26" t="n">
        <f aca="false">SUMPRODUCT(B434:J434,Optimization!$C$10:$K$10)</f>
        <v>-0.0154233467931034</v>
      </c>
      <c r="O434" s="27" t="n">
        <f aca="false">IF(AND(A434&gt;=Inputs!$C$6,A434&lt;=Inputs!$C$7),1,0)</f>
        <v>0</v>
      </c>
      <c r="P434" s="28" t="n">
        <f aca="false">P433*(1+K434)</f>
        <v>145.546533711057</v>
      </c>
      <c r="Q434" s="28" t="n">
        <f aca="false">MAX(Q433,P434)</f>
        <v>146.386289804143</v>
      </c>
      <c r="R434" s="29" t="n">
        <f aca="false">P434/Q434-1</f>
        <v>-0.00573657611111489</v>
      </c>
      <c r="S434" s="26" t="n">
        <f aca="false">IF(A434=Inputs!$C$12,"",F434)</f>
        <v>-0.00373831775700928</v>
      </c>
      <c r="T434" s="27" t="n">
        <f aca="false">IF(AND(A434&gt;Risk_Metrics!$C$28,P434&gt;=Risk_Metrics!$C$30),1,0)</f>
        <v>1</v>
      </c>
      <c r="U434" s="26" t="n">
        <f aca="false">IF(A434=Inputs!$C$12,"",K434)</f>
        <v>-0.0057365761111149</v>
      </c>
    </row>
    <row r="435" customFormat="false" ht="15" hidden="false" customHeight="false" outlineLevel="0" collapsed="false">
      <c r="A435" s="25" t="n">
        <f aca="false">Prices!A436</f>
        <v>44351</v>
      </c>
      <c r="B435" s="26" t="n">
        <f aca="false">Prices!B436/Prices!B435-1</f>
        <v>-0.0177446483742335</v>
      </c>
      <c r="C435" s="26" t="n">
        <f aca="false">Prices!C436/Prices!C435-1</f>
        <v>0.0135214579659022</v>
      </c>
      <c r="D435" s="26" t="n">
        <f aca="false">Prices!D436/Prices!D435-1</f>
        <v>-0.000394788787998368</v>
      </c>
      <c r="E435" s="26" t="n">
        <f aca="false">Prices!E436/Prices!E435-1</f>
        <v>0.0296616547352857</v>
      </c>
      <c r="F435" s="26" t="n">
        <f aca="false">Prices!F436/Prices!F435-1</f>
        <v>-0.00797373358348974</v>
      </c>
      <c r="G435" s="26" t="n">
        <f aca="false">Prices!G436/Prices!G435-1</f>
        <v>0.048</v>
      </c>
      <c r="H435" s="26" t="n">
        <f aca="false">Prices!H436/Prices!H435-1</f>
        <v>0.0226049148688585</v>
      </c>
      <c r="I435" s="26" t="n">
        <f aca="false">Prices!I436/Prices!I435-1</f>
        <v>0.000593325440323866</v>
      </c>
      <c r="J435" s="26" t="n">
        <f aca="false">Prices!J436/Prices!J435-1</f>
        <v>-0.0165505309263799</v>
      </c>
      <c r="K435" s="26" t="n">
        <f aca="false">SUMPRODUCT(B435:J435,Optimization!$C$7:$K$7)</f>
        <v>0.00796862792647431</v>
      </c>
      <c r="L435" s="26" t="n">
        <f aca="false">SUMPRODUCT(B435:J435,Optimization!$C$8:$K$8)</f>
        <v>-0.00387685103150208</v>
      </c>
      <c r="M435" s="26" t="n">
        <f aca="false">SUMPRODUCT(B435:J435,Optimization!$C$9:$K$9)</f>
        <v>-0.00513911644265182</v>
      </c>
      <c r="N435" s="26" t="n">
        <f aca="false">SUMPRODUCT(B435:J435,Optimization!$C$10:$K$10)</f>
        <v>-0.00390295195589411</v>
      </c>
      <c r="O435" s="27" t="n">
        <f aca="false">IF(AND(A435&gt;=Inputs!$C$6,A435&lt;=Inputs!$C$7),1,0)</f>
        <v>0</v>
      </c>
      <c r="P435" s="28" t="n">
        <f aca="false">P434*(1+K435)</f>
        <v>146.706339884189</v>
      </c>
      <c r="Q435" s="28" t="n">
        <f aca="false">MAX(Q434,P435)</f>
        <v>146.706339884189</v>
      </c>
      <c r="R435" s="29" t="n">
        <f aca="false">P435/Q435-1</f>
        <v>0</v>
      </c>
      <c r="S435" s="26" t="n">
        <f aca="false">IF(A435=Inputs!$C$12,"",F435)</f>
        <v>-0.00797373358348974</v>
      </c>
      <c r="T435" s="27" t="n">
        <f aca="false">IF(AND(A435&gt;Risk_Metrics!$C$28,P435&gt;=Risk_Metrics!$C$30),1,0)</f>
        <v>1</v>
      </c>
      <c r="U435" s="26" t="n">
        <f aca="false">IF(A435=Inputs!$C$12,"",K435)</f>
        <v>0.00796862792647431</v>
      </c>
    </row>
    <row r="436" customFormat="false" ht="15" hidden="false" customHeight="false" outlineLevel="0" collapsed="false">
      <c r="A436" s="25" t="n">
        <f aca="false">Prices!A437</f>
        <v>44354</v>
      </c>
      <c r="B436" s="26" t="n">
        <f aca="false">Prices!B437/Prices!B436-1</f>
        <v>-0.00337996491678449</v>
      </c>
      <c r="C436" s="26" t="n">
        <f aca="false">Prices!C437/Prices!C436-1</f>
        <v>0.00290029002320202</v>
      </c>
      <c r="D436" s="26" t="n">
        <f aca="false">Prices!D437/Prices!D436-1</f>
        <v>0.0264612954186414</v>
      </c>
      <c r="E436" s="26" t="n">
        <f aca="false">Prices!E437/Prices!E436-1</f>
        <v>0.00525128266312724</v>
      </c>
      <c r="F436" s="26" t="n">
        <f aca="false">Prices!F437/Prices!F436-1</f>
        <v>0.0312056264775415</v>
      </c>
      <c r="G436" s="26" t="n">
        <f aca="false">Prices!G437/Prices!G436-1</f>
        <v>0.00836059614685558</v>
      </c>
      <c r="H436" s="26" t="n">
        <f aca="false">Prices!H437/Prices!H436-1</f>
        <v>-0.00736838596491229</v>
      </c>
      <c r="I436" s="26" t="n">
        <f aca="false">Prices!I437/Prices!I436-1</f>
        <v>0.00266824785057818</v>
      </c>
      <c r="J436" s="26" t="n">
        <f aca="false">Prices!J437/Prices!J436-1</f>
        <v>-0.00974312648816422</v>
      </c>
      <c r="K436" s="26" t="n">
        <f aca="false">SUMPRODUCT(B436:J436,Optimization!$C$7:$K$7)</f>
        <v>0.00626176235667611</v>
      </c>
      <c r="L436" s="26" t="n">
        <f aca="false">SUMPRODUCT(B436:J436,Optimization!$C$8:$K$8)</f>
        <v>0.0103731145022902</v>
      </c>
      <c r="M436" s="26" t="n">
        <f aca="false">SUMPRODUCT(B436:J436,Optimization!$C$9:$K$9)</f>
        <v>0.00591791149405263</v>
      </c>
      <c r="N436" s="26" t="n">
        <f aca="false">SUMPRODUCT(B436:J436,Optimization!$C$10:$K$10)</f>
        <v>0.0117414004667577</v>
      </c>
      <c r="O436" s="27" t="n">
        <f aca="false">IF(AND(A436&gt;=Inputs!$C$6,A436&lt;=Inputs!$C$7),1,0)</f>
        <v>0</v>
      </c>
      <c r="P436" s="28" t="n">
        <f aca="false">P435*(1+K436)</f>
        <v>147.624980120761</v>
      </c>
      <c r="Q436" s="28" t="n">
        <f aca="false">MAX(Q435,P436)</f>
        <v>147.624980120761</v>
      </c>
      <c r="R436" s="29" t="n">
        <f aca="false">P436/Q436-1</f>
        <v>0</v>
      </c>
      <c r="S436" s="26" t="n">
        <f aca="false">IF(A436=Inputs!$C$12,"",F436)</f>
        <v>0.0312056264775415</v>
      </c>
      <c r="T436" s="27" t="n">
        <f aca="false">IF(AND(A436&gt;Risk_Metrics!$C$28,P436&gt;=Risk_Metrics!$C$30),1,0)</f>
        <v>1</v>
      </c>
      <c r="U436" s="26" t="n">
        <f aca="false">IF(A436=Inputs!$C$12,"",K436)</f>
        <v>0.00626176235667611</v>
      </c>
    </row>
    <row r="437" customFormat="false" ht="15" hidden="false" customHeight="false" outlineLevel="0" collapsed="false">
      <c r="A437" s="25" t="n">
        <f aca="false">Prices!A438</f>
        <v>44355</v>
      </c>
      <c r="B437" s="26" t="n">
        <f aca="false">Prices!B438/Prices!B437-1</f>
        <v>0.0244415384296213</v>
      </c>
      <c r="C437" s="26" t="n">
        <f aca="false">Prices!C438/Prices!C437-1</f>
        <v>-0.0555234785700708</v>
      </c>
      <c r="D437" s="26" t="n">
        <f aca="false">Prices!D438/Prices!D437-1</f>
        <v>-0.0280877260484801</v>
      </c>
      <c r="E437" s="26" t="n">
        <f aca="false">Prices!E438/Prices!E437-1</f>
        <v>-0.00417908955223889</v>
      </c>
      <c r="F437" s="26" t="n">
        <f aca="false">Prices!F438/Prices!F437-1</f>
        <v>0.0169647417223631</v>
      </c>
      <c r="G437" s="26" t="n">
        <f aca="false">Prices!G438/Prices!G437-1</f>
        <v>-0.0201874549387167</v>
      </c>
      <c r="H437" s="26" t="n">
        <f aca="false">Prices!H438/Prices!H437-1</f>
        <v>0.0130787906299472</v>
      </c>
      <c r="I437" s="26" t="n">
        <f aca="false">Prices!I438/Prices!I437-1</f>
        <v>-0.00709633353045536</v>
      </c>
      <c r="J437" s="26" t="n">
        <f aca="false">Prices!J438/Prices!J437-1</f>
        <v>-0.0168157866686283</v>
      </c>
      <c r="K437" s="26" t="n">
        <f aca="false">SUMPRODUCT(B437:J437,Optimization!$C$7:$K$7)</f>
        <v>-0.00860053316962872</v>
      </c>
      <c r="L437" s="26" t="n">
        <f aca="false">SUMPRODUCT(B437:J437,Optimization!$C$8:$K$8)</f>
        <v>-0.0194777920849289</v>
      </c>
      <c r="M437" s="26" t="n">
        <f aca="false">SUMPRODUCT(B437:J437,Optimization!$C$9:$K$9)</f>
        <v>-0.016893515009495</v>
      </c>
      <c r="N437" s="26" t="n">
        <f aca="false">SUMPRODUCT(B437:J437,Optimization!$C$10:$K$10)</f>
        <v>-0.0201296245878649</v>
      </c>
      <c r="O437" s="27" t="n">
        <f aca="false">IF(AND(A437&gt;=Inputs!$C$6,A437&lt;=Inputs!$C$7),1,0)</f>
        <v>0</v>
      </c>
      <c r="P437" s="28" t="n">
        <f aca="false">P436*(1+K437)</f>
        <v>146.355326582567</v>
      </c>
      <c r="Q437" s="28" t="n">
        <f aca="false">MAX(Q436,P437)</f>
        <v>147.624980120761</v>
      </c>
      <c r="R437" s="29" t="n">
        <f aca="false">P437/Q437-1</f>
        <v>-0.00860053316962861</v>
      </c>
      <c r="S437" s="26" t="n">
        <f aca="false">IF(A437=Inputs!$C$12,"",F437)</f>
        <v>0.0169647417223631</v>
      </c>
      <c r="T437" s="27" t="n">
        <f aca="false">IF(AND(A437&gt;Risk_Metrics!$C$28,P437&gt;=Risk_Metrics!$C$30),1,0)</f>
        <v>1</v>
      </c>
      <c r="U437" s="26" t="n">
        <f aca="false">IF(A437=Inputs!$C$12,"",K437)</f>
        <v>-0.00860053316962872</v>
      </c>
    </row>
    <row r="438" customFormat="false" ht="15" hidden="false" customHeight="false" outlineLevel="0" collapsed="false">
      <c r="A438" s="25" t="n">
        <f aca="false">Prices!A439</f>
        <v>44356</v>
      </c>
      <c r="B438" s="26" t="n">
        <f aca="false">Prices!B439/Prices!B438-1</f>
        <v>0.00867583353141166</v>
      </c>
      <c r="C438" s="26" t="n">
        <f aca="false">Prices!C439/Prices!C438-1</f>
        <v>0.00428658909981627</v>
      </c>
      <c r="D438" s="26" t="n">
        <f aca="false">Prices!D439/Prices!D438-1</f>
        <v>0.0166270783847979</v>
      </c>
      <c r="E438" s="26" t="n">
        <f aca="false">Prices!E439/Prices!E438-1</f>
        <v>-0.017685851053869</v>
      </c>
      <c r="F438" s="26" t="n">
        <f aca="false">Prices!F439/Prices!F438-1</f>
        <v>0.00541023444544631</v>
      </c>
      <c r="G438" s="26" t="n">
        <f aca="false">Prices!G439/Prices!G438-1</f>
        <v>-0.027961736571008</v>
      </c>
      <c r="H438" s="26" t="n">
        <f aca="false">Prices!H439/Prices!H438-1</f>
        <v>0</v>
      </c>
      <c r="I438" s="26" t="n">
        <f aca="false">Prices!I439/Prices!I438-1</f>
        <v>0.00952948126685649</v>
      </c>
      <c r="J438" s="26" t="n">
        <f aca="false">Prices!J439/Prices!J438-1</f>
        <v>0.0207423493584851</v>
      </c>
      <c r="K438" s="26" t="n">
        <f aca="false">SUMPRODUCT(B438:J438,Optimization!$C$7:$K$7)</f>
        <v>0.00218044205132631</v>
      </c>
      <c r="L438" s="26" t="n">
        <f aca="false">SUMPRODUCT(B438:J438,Optimization!$C$8:$K$8)</f>
        <v>0.0137499828961951</v>
      </c>
      <c r="M438" s="26" t="n">
        <f aca="false">SUMPRODUCT(B438:J438,Optimization!$C$9:$K$9)</f>
        <v>0.0133023387833516</v>
      </c>
      <c r="N438" s="26" t="n">
        <f aca="false">SUMPRODUCT(B438:J438,Optimization!$C$10:$K$10)</f>
        <v>0.0138670451145235</v>
      </c>
      <c r="O438" s="27" t="n">
        <f aca="false">IF(AND(A438&gt;=Inputs!$C$6,A438&lt;=Inputs!$C$7),1,0)</f>
        <v>0</v>
      </c>
      <c r="P438" s="28" t="n">
        <f aca="false">P437*(1+K438)</f>
        <v>146.674445891083</v>
      </c>
      <c r="Q438" s="28" t="n">
        <f aca="false">MAX(Q437,P438)</f>
        <v>147.624980120761</v>
      </c>
      <c r="R438" s="29" t="n">
        <f aca="false">P438/Q438-1</f>
        <v>-0.00643884408248929</v>
      </c>
      <c r="S438" s="26" t="n">
        <f aca="false">IF(A438=Inputs!$C$12,"",F438)</f>
        <v>0.00541023444544631</v>
      </c>
      <c r="T438" s="27" t="n">
        <f aca="false">IF(AND(A438&gt;Risk_Metrics!$C$28,P438&gt;=Risk_Metrics!$C$30),1,0)</f>
        <v>1</v>
      </c>
      <c r="U438" s="26" t="n">
        <f aca="false">IF(A438=Inputs!$C$12,"",K438)</f>
        <v>0.00218044205132631</v>
      </c>
    </row>
    <row r="439" customFormat="false" ht="15" hidden="false" customHeight="false" outlineLevel="0" collapsed="false">
      <c r="A439" s="25" t="n">
        <f aca="false">Prices!A440</f>
        <v>44357</v>
      </c>
      <c r="B439" s="26" t="n">
        <f aca="false">Prices!B440/Prices!B439-1</f>
        <v>-0.00282933450849554</v>
      </c>
      <c r="C439" s="26" t="n">
        <f aca="false">Prices!C440/Prices!C439-1</f>
        <v>-0.0243902439024389</v>
      </c>
      <c r="D439" s="26" t="n">
        <f aca="false">Prices!D440/Prices!D439-1</f>
        <v>0.00467285825545161</v>
      </c>
      <c r="E439" s="26" t="n">
        <f aca="false">Prices!E440/Prices!E439-1</f>
        <v>-0.00213608480109728</v>
      </c>
      <c r="F439" s="26" t="n">
        <f aca="false">Prices!F440/Prices!F439-1</f>
        <v>0.010313991493901</v>
      </c>
      <c r="G439" s="26" t="n">
        <f aca="false">Prices!G440/Prices!G439-1</f>
        <v>0.00529897804693413</v>
      </c>
      <c r="H439" s="26" t="n">
        <f aca="false">Prices!H440/Prices!H439-1</f>
        <v>0.000697836706210708</v>
      </c>
      <c r="I439" s="26" t="n">
        <f aca="false">Prices!I440/Prices!I439-1</f>
        <v>0.0162241583348579</v>
      </c>
      <c r="J439" s="26" t="n">
        <f aca="false">Prices!J440/Prices!J439-1</f>
        <v>-0.00329763823433971</v>
      </c>
      <c r="K439" s="26" t="n">
        <f aca="false">SUMPRODUCT(B439:J439,Optimization!$C$7:$K$7)</f>
        <v>0.000506057932331543</v>
      </c>
      <c r="L439" s="26" t="n">
        <f aca="false">SUMPRODUCT(B439:J439,Optimization!$C$8:$K$8)</f>
        <v>-0.000462804890283979</v>
      </c>
      <c r="M439" s="26" t="n">
        <f aca="false">SUMPRODUCT(B439:J439,Optimization!$C$9:$K$9)</f>
        <v>-0.00122089082591065</v>
      </c>
      <c r="N439" s="26" t="n">
        <f aca="false">SUMPRODUCT(B439:J439,Optimization!$C$10:$K$10)</f>
        <v>-0.00143033417664262</v>
      </c>
      <c r="O439" s="27" t="n">
        <f aca="false">IF(AND(A439&gt;=Inputs!$C$6,A439&lt;=Inputs!$C$7),1,0)</f>
        <v>0</v>
      </c>
      <c r="P439" s="28" t="n">
        <f aca="false">P438*(1+K439)</f>
        <v>146.748671657897</v>
      </c>
      <c r="Q439" s="28" t="n">
        <f aca="false">MAX(Q438,P439)</f>
        <v>147.624980120761</v>
      </c>
      <c r="R439" s="29" t="n">
        <f aca="false">P439/Q439-1</f>
        <v>-0.0059360445782809</v>
      </c>
      <c r="S439" s="26" t="n">
        <f aca="false">IF(A439=Inputs!$C$12,"",F439)</f>
        <v>0.010313991493901</v>
      </c>
      <c r="T439" s="27" t="n">
        <f aca="false">IF(AND(A439&gt;Risk_Metrics!$C$28,P439&gt;=Risk_Metrics!$C$30),1,0)</f>
        <v>1</v>
      </c>
      <c r="U439" s="26" t="n">
        <f aca="false">IF(A439=Inputs!$C$12,"",K439)</f>
        <v>0.000506057932331543</v>
      </c>
    </row>
    <row r="440" customFormat="false" ht="15" hidden="false" customHeight="false" outlineLevel="0" collapsed="false">
      <c r="A440" s="25" t="n">
        <f aca="false">Prices!A441</f>
        <v>44358</v>
      </c>
      <c r="B440" s="26" t="n">
        <f aca="false">Prices!B441/Prices!B440-1</f>
        <v>0.00102140505026216</v>
      </c>
      <c r="C440" s="26" t="n">
        <f aca="false">Prices!C441/Prices!C440-1</f>
        <v>0.0081249375000001</v>
      </c>
      <c r="D440" s="26" t="n">
        <f aca="false">Prices!D441/Prices!D440-1</f>
        <v>0.00775197704465036</v>
      </c>
      <c r="E440" s="26" t="n">
        <f aca="false">Prices!E441/Prices!E440-1</f>
        <v>-0.0207951216882225</v>
      </c>
      <c r="F440" s="26" t="n">
        <f aca="false">Prices!F441/Prices!F440-1</f>
        <v>-0.00754549456078579</v>
      </c>
      <c r="G440" s="26" t="n">
        <f aca="false">Prices!G441/Prices!G440-1</f>
        <v>-0.0304969514494334</v>
      </c>
      <c r="H440" s="26" t="n">
        <f aca="false">Prices!H441/Prices!H440-1</f>
        <v>-0.00383542538354253</v>
      </c>
      <c r="I440" s="26" t="n">
        <f aca="false">Prices!I441/Prices!I440-1</f>
        <v>-0.0168360517609274</v>
      </c>
      <c r="J440" s="26" t="n">
        <f aca="false">Prices!J441/Prices!J440-1</f>
        <v>0.0224447282045117</v>
      </c>
      <c r="K440" s="26" t="n">
        <f aca="false">SUMPRODUCT(B440:J440,Optimization!$C$7:$K$7)</f>
        <v>-0.00446288856038748</v>
      </c>
      <c r="L440" s="26" t="n">
        <f aca="false">SUMPRODUCT(B440:J440,Optimization!$C$8:$K$8)</f>
        <v>0.00673878249501177</v>
      </c>
      <c r="M440" s="26" t="n">
        <f aca="false">SUMPRODUCT(B440:J440,Optimization!$C$9:$K$9)</f>
        <v>0.00654759112726332</v>
      </c>
      <c r="N440" s="26" t="n">
        <f aca="false">SUMPRODUCT(B440:J440,Optimization!$C$10:$K$10)</f>
        <v>0.0078984960698841</v>
      </c>
      <c r="O440" s="27" t="n">
        <f aca="false">IF(AND(A440&gt;=Inputs!$C$6,A440&lt;=Inputs!$C$7),1,0)</f>
        <v>0</v>
      </c>
      <c r="P440" s="28" t="n">
        <f aca="false">P439*(1+K440)</f>
        <v>146.093748689903</v>
      </c>
      <c r="Q440" s="28" t="n">
        <f aca="false">MAX(Q439,P440)</f>
        <v>147.624980120761</v>
      </c>
      <c r="R440" s="29" t="n">
        <f aca="false">P440/Q440-1</f>
        <v>-0.010372441233226</v>
      </c>
      <c r="S440" s="26" t="n">
        <f aca="false">IF(A440=Inputs!$C$12,"",F440)</f>
        <v>-0.00754549456078579</v>
      </c>
      <c r="T440" s="27" t="n">
        <f aca="false">IF(AND(A440&gt;Risk_Metrics!$C$28,P440&gt;=Risk_Metrics!$C$30),1,0)</f>
        <v>1</v>
      </c>
      <c r="U440" s="26" t="n">
        <f aca="false">IF(A440=Inputs!$C$12,"",K440)</f>
        <v>-0.00446288856038748</v>
      </c>
    </row>
    <row r="441" customFormat="false" ht="15" hidden="false" customHeight="false" outlineLevel="0" collapsed="false">
      <c r="A441" s="25" t="n">
        <f aca="false">Prices!A442</f>
        <v>44361</v>
      </c>
      <c r="B441" s="26" t="n">
        <f aca="false">Prices!B442/Prices!B441-1</f>
        <v>0.0452381534661506</v>
      </c>
      <c r="C441" s="26" t="n">
        <f aca="false">Prices!C442/Prices!C441-1</f>
        <v>0.0117793559689618</v>
      </c>
      <c r="D441" s="26" t="n">
        <f aca="false">Prices!D442/Prices!D441-1</f>
        <v>-0.0134615384615385</v>
      </c>
      <c r="E441" s="26" t="n">
        <f aca="false">Prices!E442/Prices!E441-1</f>
        <v>0.00811987807433034</v>
      </c>
      <c r="F441" s="26" t="n">
        <f aca="false">Prices!F442/Prices!F441-1</f>
        <v>0.0138639975910557</v>
      </c>
      <c r="G441" s="26" t="n">
        <f aca="false">Prices!G442/Prices!G441-1</f>
        <v>0.0341747184466019</v>
      </c>
      <c r="H441" s="26" t="n">
        <f aca="false">Prices!H442/Prices!H441-1</f>
        <v>0.00630031501575079</v>
      </c>
      <c r="I441" s="26" t="n">
        <f aca="false">Prices!I442/Prices!I441-1</f>
        <v>-0.00501913212338745</v>
      </c>
      <c r="J441" s="26" t="n">
        <f aca="false">Prices!J442/Prices!J441-1</f>
        <v>-0.00542238080889912</v>
      </c>
      <c r="K441" s="26" t="n">
        <f aca="false">SUMPRODUCT(B441:J441,Optimization!$C$7:$K$7)</f>
        <v>0.0106192630187807</v>
      </c>
      <c r="L441" s="26" t="n">
        <f aca="false">SUMPRODUCT(B441:J441,Optimization!$C$8:$K$8)</f>
        <v>0.00120005424733128</v>
      </c>
      <c r="M441" s="26" t="n">
        <f aca="false">SUMPRODUCT(B441:J441,Optimization!$C$9:$K$9)</f>
        <v>0.00411908516684803</v>
      </c>
      <c r="N441" s="26" t="n">
        <f aca="false">SUMPRODUCT(B441:J441,Optimization!$C$10:$K$10)</f>
        <v>0.0019340918175838</v>
      </c>
      <c r="O441" s="27" t="n">
        <f aca="false">IF(AND(A441&gt;=Inputs!$C$6,A441&lt;=Inputs!$C$7),1,0)</f>
        <v>0</v>
      </c>
      <c r="P441" s="28" t="n">
        <f aca="false">P440*(1+K441)</f>
        <v>147.64515663264</v>
      </c>
      <c r="Q441" s="28" t="n">
        <f aca="false">MAX(Q440,P441)</f>
        <v>147.64515663264</v>
      </c>
      <c r="R441" s="29" t="n">
        <f aca="false">P441/Q441-1</f>
        <v>0</v>
      </c>
      <c r="S441" s="26" t="n">
        <f aca="false">IF(A441=Inputs!$C$12,"",F441)</f>
        <v>0.0138639975910557</v>
      </c>
      <c r="T441" s="27" t="n">
        <f aca="false">IF(AND(A441&gt;Risk_Metrics!$C$28,P441&gt;=Risk_Metrics!$C$30),1,0)</f>
        <v>1</v>
      </c>
      <c r="U441" s="26" t="n">
        <f aca="false">IF(A441=Inputs!$C$12,"",K441)</f>
        <v>0.0106192630187807</v>
      </c>
    </row>
    <row r="442" customFormat="false" ht="15" hidden="false" customHeight="false" outlineLevel="0" collapsed="false">
      <c r="A442" s="25" t="n">
        <f aca="false">Prices!A443</f>
        <v>44362</v>
      </c>
      <c r="B442" s="26" t="n">
        <f aca="false">Prices!B443/Prices!B442-1</f>
        <v>-0.00911166050305545</v>
      </c>
      <c r="C442" s="26" t="n">
        <f aca="false">Prices!C443/Prices!C442-1</f>
        <v>0.0214460784313726</v>
      </c>
      <c r="D442" s="26" t="n">
        <f aca="false">Prices!D443/Prices!D442-1</f>
        <v>-0.00194931773879137</v>
      </c>
      <c r="E442" s="26" t="n">
        <f aca="false">Prices!E443/Prices!E442-1</f>
        <v>-0.00247825286487757</v>
      </c>
      <c r="F442" s="26" t="n">
        <f aca="false">Prices!F443/Prices!F442-1</f>
        <v>0.00308778120864561</v>
      </c>
      <c r="G442" s="26" t="n">
        <f aca="false">Prices!G443/Prices!G442-1</f>
        <v>-0.0138940673636525</v>
      </c>
      <c r="H442" s="26" t="n">
        <f aca="false">Prices!H443/Prices!H442-1</f>
        <v>0.00973916521739127</v>
      </c>
      <c r="I442" s="26" t="n">
        <f aca="false">Prices!I443/Prices!I442-1</f>
        <v>0.0483679807605941</v>
      </c>
      <c r="J442" s="26" t="n">
        <f aca="false">Prices!J443/Prices!J442-1</f>
        <v>-0.0195216407006539</v>
      </c>
      <c r="K442" s="26" t="n">
        <f aca="false">SUMPRODUCT(B442:J442,Optimization!$C$7:$K$7)</f>
        <v>0.00396511849410809</v>
      </c>
      <c r="L442" s="26" t="n">
        <f aca="false">SUMPRODUCT(B442:J442,Optimization!$C$8:$K$8)</f>
        <v>0.00204981278868013</v>
      </c>
      <c r="M442" s="26" t="n">
        <f aca="false">SUMPRODUCT(B442:J442,Optimization!$C$9:$K$9)</f>
        <v>0.0030372398571587</v>
      </c>
      <c r="N442" s="26" t="n">
        <f aca="false">SUMPRODUCT(B442:J442,Optimization!$C$10:$K$10)</f>
        <v>-0.000803454124392019</v>
      </c>
      <c r="O442" s="27" t="n">
        <f aca="false">IF(AND(A442&gt;=Inputs!$C$6,A442&lt;=Inputs!$C$7),1,0)</f>
        <v>0</v>
      </c>
      <c r="P442" s="28" t="n">
        <f aca="false">P441*(1+K442)</f>
        <v>148.23058717377</v>
      </c>
      <c r="Q442" s="28" t="n">
        <f aca="false">MAX(Q441,P442)</f>
        <v>148.23058717377</v>
      </c>
      <c r="R442" s="29" t="n">
        <f aca="false">P442/Q442-1</f>
        <v>0</v>
      </c>
      <c r="S442" s="26" t="n">
        <f aca="false">IF(A442=Inputs!$C$12,"",F442)</f>
        <v>0.00308778120864561</v>
      </c>
      <c r="T442" s="27" t="n">
        <f aca="false">IF(AND(A442&gt;Risk_Metrics!$C$28,P442&gt;=Risk_Metrics!$C$30),1,0)</f>
        <v>1</v>
      </c>
      <c r="U442" s="26" t="n">
        <f aca="false">IF(A442=Inputs!$C$12,"",K442)</f>
        <v>0.00396511849410809</v>
      </c>
    </row>
    <row r="443" customFormat="false" ht="15" hidden="false" customHeight="false" outlineLevel="0" collapsed="false">
      <c r="A443" s="25" t="n">
        <f aca="false">Prices!A444</f>
        <v>44363</v>
      </c>
      <c r="B443" s="26" t="n">
        <f aca="false">Prices!B444/Prices!B443-1</f>
        <v>0.000328396285241395</v>
      </c>
      <c r="C443" s="26" t="n">
        <f aca="false">Prices!C444/Prices!C443-1</f>
        <v>0.0143971205758848</v>
      </c>
      <c r="D443" s="26" t="n">
        <f aca="false">Prices!D444/Prices!D443-1</f>
        <v>-0.0082031640625001</v>
      </c>
      <c r="E443" s="26" t="n">
        <f aca="false">Prices!E444/Prices!E443-1</f>
        <v>-0.00434781042398114</v>
      </c>
      <c r="F443" s="26" t="n">
        <f aca="false">Prices!F444/Prices!F443-1</f>
        <v>-0.0202286279683377</v>
      </c>
      <c r="G443" s="26" t="n">
        <f aca="false">Prices!G444/Prices!G443-1</f>
        <v>-0.0121857958872812</v>
      </c>
      <c r="H443" s="26" t="n">
        <f aca="false">Prices!H444/Prices!H443-1</f>
        <v>0.0037891145783977</v>
      </c>
      <c r="I443" s="26" t="n">
        <f aca="false">Prices!I444/Prices!I443-1</f>
        <v>0.0322671648872255</v>
      </c>
      <c r="J443" s="26" t="n">
        <f aca="false">Prices!J444/Prices!J443-1</f>
        <v>-0.0300448251121076</v>
      </c>
      <c r="K443" s="26" t="n">
        <f aca="false">SUMPRODUCT(B443:J443,Optimization!$C$7:$K$7)</f>
        <v>-0.00269204745860648</v>
      </c>
      <c r="L443" s="26" t="n">
        <f aca="false">SUMPRODUCT(B443:J443,Optimization!$C$8:$K$8)</f>
        <v>-0.00352512675503058</v>
      </c>
      <c r="M443" s="26" t="n">
        <f aca="false">SUMPRODUCT(B443:J443,Optimization!$C$9:$K$9)</f>
        <v>-0.00280030180208345</v>
      </c>
      <c r="N443" s="26" t="n">
        <f aca="false">SUMPRODUCT(B443:J443,Optimization!$C$10:$K$10)</f>
        <v>-0.00535316094817465</v>
      </c>
      <c r="O443" s="27" t="n">
        <f aca="false">IF(AND(A443&gt;=Inputs!$C$6,A443&lt;=Inputs!$C$7),1,0)</f>
        <v>0</v>
      </c>
      <c r="P443" s="28" t="n">
        <f aca="false">P442*(1+K443)</f>
        <v>147.831543398281</v>
      </c>
      <c r="Q443" s="28" t="n">
        <f aca="false">MAX(Q442,P443)</f>
        <v>148.23058717377</v>
      </c>
      <c r="R443" s="29" t="n">
        <f aca="false">P443/Q443-1</f>
        <v>-0.00269204745860652</v>
      </c>
      <c r="S443" s="26" t="n">
        <f aca="false">IF(A443=Inputs!$C$12,"",F443)</f>
        <v>-0.0202286279683377</v>
      </c>
      <c r="T443" s="27" t="n">
        <f aca="false">IF(AND(A443&gt;Risk_Metrics!$C$28,P443&gt;=Risk_Metrics!$C$30),1,0)</f>
        <v>1</v>
      </c>
      <c r="U443" s="26" t="n">
        <f aca="false">IF(A443=Inputs!$C$12,"",K443)</f>
        <v>-0.00269204745860648</v>
      </c>
    </row>
    <row r="444" customFormat="false" ht="15" hidden="false" customHeight="false" outlineLevel="0" collapsed="false">
      <c r="A444" s="25" t="n">
        <f aca="false">Prices!A445</f>
        <v>44364</v>
      </c>
      <c r="B444" s="26" t="n">
        <f aca="false">Prices!B445/Prices!B444-1</f>
        <v>0.0136791424932965</v>
      </c>
      <c r="C444" s="26" t="n">
        <f aca="false">Prices!C445/Prices!C444-1</f>
        <v>0.0153755174452987</v>
      </c>
      <c r="D444" s="26" t="n">
        <f aca="false">Prices!D445/Prices!D444-1</f>
        <v>-0.0055139427142159</v>
      </c>
      <c r="E444" s="26" t="n">
        <f aca="false">Prices!E445/Prices!E444-1</f>
        <v>-0.0240174817209538</v>
      </c>
      <c r="F444" s="26" t="n">
        <f aca="false">Prices!F445/Prices!F444-1</f>
        <v>-0.0062837519621296</v>
      </c>
      <c r="G444" s="26" t="n">
        <f aca="false">Prices!G445/Prices!G444-1</f>
        <v>-0.0100231684647969</v>
      </c>
      <c r="H444" s="26" t="n">
        <f aca="false">Prices!H445/Prices!H444-1</f>
        <v>-0.0346602619993226</v>
      </c>
      <c r="I444" s="26" t="n">
        <f aca="false">Prices!I445/Prices!I444-1</f>
        <v>-0.00767759781525657</v>
      </c>
      <c r="J444" s="26" t="n">
        <f aca="false">Prices!J445/Prices!J444-1</f>
        <v>-0.0208044378954334</v>
      </c>
      <c r="K444" s="26" t="n">
        <f aca="false">SUMPRODUCT(B444:J444,Optimization!$C$7:$K$7)</f>
        <v>-0.00888066473705705</v>
      </c>
      <c r="L444" s="26" t="n">
        <f aca="false">SUMPRODUCT(B444:J444,Optimization!$C$8:$K$8)</f>
        <v>-0.00252291253925259</v>
      </c>
      <c r="M444" s="26" t="n">
        <f aca="false">SUMPRODUCT(B444:J444,Optimization!$C$9:$K$9)</f>
        <v>-0.00271954983994787</v>
      </c>
      <c r="N444" s="26" t="n">
        <f aca="false">SUMPRODUCT(B444:J444,Optimization!$C$10:$K$10)</f>
        <v>-0.00154862304332138</v>
      </c>
      <c r="O444" s="27" t="n">
        <f aca="false">IF(AND(A444&gt;=Inputs!$C$6,A444&lt;=Inputs!$C$7),1,0)</f>
        <v>0</v>
      </c>
      <c r="P444" s="28" t="n">
        <f aca="false">P443*(1+K444)</f>
        <v>146.518701023799</v>
      </c>
      <c r="Q444" s="28" t="n">
        <f aca="false">MAX(Q443,P444)</f>
        <v>148.23058717377</v>
      </c>
      <c r="R444" s="29" t="n">
        <f aca="false">P444/Q444-1</f>
        <v>-0.0115488050247275</v>
      </c>
      <c r="S444" s="26" t="n">
        <f aca="false">IF(A444=Inputs!$C$12,"",F444)</f>
        <v>-0.0062837519621296</v>
      </c>
      <c r="T444" s="27" t="n">
        <f aca="false">IF(AND(A444&gt;Risk_Metrics!$C$28,P444&gt;=Risk_Metrics!$C$30),1,0)</f>
        <v>1</v>
      </c>
      <c r="U444" s="26" t="n">
        <f aca="false">IF(A444=Inputs!$C$12,"",K444)</f>
        <v>-0.00888066473705705</v>
      </c>
    </row>
    <row r="445" customFormat="false" ht="15" hidden="false" customHeight="false" outlineLevel="0" collapsed="false">
      <c r="A445" s="25" t="n">
        <f aca="false">Prices!A446</f>
        <v>44365</v>
      </c>
      <c r="B445" s="26" t="n">
        <f aca="false">Prices!B446/Prices!B445-1</f>
        <v>0.0177048478151198</v>
      </c>
      <c r="C445" s="26" t="n">
        <f aca="false">Prices!C446/Prices!C445-1</f>
        <v>0.0122305765870705</v>
      </c>
      <c r="D445" s="26" t="n">
        <f aca="false">Prices!D446/Prices!D445-1</f>
        <v>0.0166336633663367</v>
      </c>
      <c r="E445" s="26" t="n">
        <f aca="false">Prices!E446/Prices!E445-1</f>
        <v>0.00367527952459956</v>
      </c>
      <c r="F445" s="26" t="n">
        <f aca="false">Prices!F446/Prices!F445-1</f>
        <v>-0.0176151317802679</v>
      </c>
      <c r="G445" s="26" t="n">
        <f aca="false">Prices!G446/Prices!G445-1</f>
        <v>0.0031152647975079</v>
      </c>
      <c r="H445" s="26" t="n">
        <f aca="false">Prices!H446/Prices!H445-1</f>
        <v>0.00675439057072125</v>
      </c>
      <c r="I445" s="26" t="n">
        <f aca="false">Prices!I446/Prices!I445-1</f>
        <v>-0.00525004159298259</v>
      </c>
      <c r="J445" s="26" t="n">
        <f aca="false">Prices!J446/Prices!J445-1</f>
        <v>0.0301227000921114</v>
      </c>
      <c r="K445" s="26" t="n">
        <f aca="false">SUMPRODUCT(B445:J445,Optimization!$C$7:$K$7)</f>
        <v>0.00748572770891296</v>
      </c>
      <c r="L445" s="26" t="n">
        <f aca="false">SUMPRODUCT(B445:J445,Optimization!$C$8:$K$8)</f>
        <v>0.0162914501111529</v>
      </c>
      <c r="M445" s="26" t="n">
        <f aca="false">SUMPRODUCT(B445:J445,Optimization!$C$9:$K$9)</f>
        <v>0.0162288185542453</v>
      </c>
      <c r="N445" s="26" t="n">
        <f aca="false">SUMPRODUCT(B445:J445,Optimization!$C$10:$K$10)</f>
        <v>0.0174275213928235</v>
      </c>
      <c r="O445" s="27" t="n">
        <f aca="false">IF(AND(A445&gt;=Inputs!$C$6,A445&lt;=Inputs!$C$7),1,0)</f>
        <v>0</v>
      </c>
      <c r="P445" s="28" t="n">
        <f aca="false">P444*(1+K445)</f>
        <v>147.615500123927</v>
      </c>
      <c r="Q445" s="28" t="n">
        <f aca="false">MAX(Q444,P445)</f>
        <v>148.23058717377</v>
      </c>
      <c r="R445" s="29" t="n">
        <f aca="false">P445/Q445-1</f>
        <v>-0.00414952852559303</v>
      </c>
      <c r="S445" s="26" t="n">
        <f aca="false">IF(A445=Inputs!$C$12,"",F445)</f>
        <v>-0.0176151317802679</v>
      </c>
      <c r="T445" s="27" t="n">
        <f aca="false">IF(AND(A445&gt;Risk_Metrics!$C$28,P445&gt;=Risk_Metrics!$C$30),1,0)</f>
        <v>1</v>
      </c>
      <c r="U445" s="26" t="n">
        <f aca="false">IF(A445=Inputs!$C$12,"",K445)</f>
        <v>0.00748572770891296</v>
      </c>
    </row>
    <row r="446" customFormat="false" ht="15" hidden="false" customHeight="false" outlineLevel="0" collapsed="false">
      <c r="A446" s="25" t="n">
        <f aca="false">Prices!A447</f>
        <v>44368</v>
      </c>
      <c r="B446" s="26" t="n">
        <f aca="false">Prices!B447/Prices!B446-1</f>
        <v>0.0176090278225001</v>
      </c>
      <c r="C446" s="26" t="n">
        <f aca="false">Prices!C447/Prices!C446-1</f>
        <v>-0.0178365372748296</v>
      </c>
      <c r="D446" s="26" t="n">
        <f aca="false">Prices!D447/Prices!D446-1</f>
        <v>0.0186988702765873</v>
      </c>
      <c r="E446" s="26" t="n">
        <f aca="false">Prices!E447/Prices!E446-1</f>
        <v>0.00652762288604336</v>
      </c>
      <c r="F446" s="26" t="n">
        <f aca="false">Prices!F447/Prices!F446-1</f>
        <v>0.0160919540229885</v>
      </c>
      <c r="G446" s="26" t="n">
        <f aca="false">Prices!G447/Prices!G446-1</f>
        <v>0.0089285714285714</v>
      </c>
      <c r="H446" s="26" t="n">
        <f aca="false">Prices!H447/Prices!H446-1</f>
        <v>0.022245798022599</v>
      </c>
      <c r="I446" s="26" t="n">
        <f aca="false">Prices!I447/Prices!I446-1</f>
        <v>0.000833305555555386</v>
      </c>
      <c r="J446" s="26" t="n">
        <f aca="false">Prices!J447/Prices!J446-1</f>
        <v>0.00935012409387204</v>
      </c>
      <c r="K446" s="26" t="n">
        <f aca="false">SUMPRODUCT(B446:J446,Optimization!$C$7:$K$7)</f>
        <v>0.00916097075932082</v>
      </c>
      <c r="L446" s="26" t="n">
        <f aca="false">SUMPRODUCT(B446:J446,Optimization!$C$8:$K$8)</f>
        <v>0.0104570321989453</v>
      </c>
      <c r="M446" s="26" t="n">
        <f aca="false">SUMPRODUCT(B446:J446,Optimization!$C$9:$K$9)</f>
        <v>0.008524366176413</v>
      </c>
      <c r="N446" s="26" t="n">
        <f aca="false">SUMPRODUCT(B446:J446,Optimization!$C$10:$K$10)</f>
        <v>0.0114625592418501</v>
      </c>
      <c r="O446" s="27" t="n">
        <f aca="false">IF(AND(A446&gt;=Inputs!$C$6,A446&lt;=Inputs!$C$7),1,0)</f>
        <v>0</v>
      </c>
      <c r="P446" s="28" t="n">
        <f aca="false">P445*(1+K446)</f>
        <v>148.967801404185</v>
      </c>
      <c r="Q446" s="28" t="n">
        <f aca="false">MAX(Q445,P446)</f>
        <v>148.967801404185</v>
      </c>
      <c r="R446" s="29" t="n">
        <f aca="false">P446/Q446-1</f>
        <v>0</v>
      </c>
      <c r="S446" s="26" t="n">
        <f aca="false">IF(A446=Inputs!$C$12,"",F446)</f>
        <v>0.0160919540229885</v>
      </c>
      <c r="T446" s="27" t="n">
        <f aca="false">IF(AND(A446&gt;Risk_Metrics!$C$28,P446&gt;=Risk_Metrics!$C$30),1,0)</f>
        <v>1</v>
      </c>
      <c r="U446" s="26" t="n">
        <f aca="false">IF(A446=Inputs!$C$12,"",K446)</f>
        <v>0.00916097075932082</v>
      </c>
    </row>
    <row r="447" customFormat="false" ht="15" hidden="false" customHeight="false" outlineLevel="0" collapsed="false">
      <c r="A447" s="25" t="n">
        <f aca="false">Prices!A448</f>
        <v>44369</v>
      </c>
      <c r="B447" s="26" t="n">
        <f aca="false">Prices!B448/Prices!B447-1</f>
        <v>-0.00969456895653087</v>
      </c>
      <c r="C447" s="26" t="n">
        <f aca="false">Prices!C448/Prices!C447-1</f>
        <v>-0.00468658465143534</v>
      </c>
      <c r="D447" s="26" t="n">
        <f aca="false">Prices!D448/Prices!D447-1</f>
        <v>0.0057360994263862</v>
      </c>
      <c r="E447" s="26" t="n">
        <f aca="false">Prices!E448/Prices!E447-1</f>
        <v>-0.00347992718317114</v>
      </c>
      <c r="F447" s="26" t="n">
        <f aca="false">Prices!F448/Prices!F447-1</f>
        <v>-0.0153846153846153</v>
      </c>
      <c r="G447" s="26" t="n">
        <f aca="false">Prices!G448/Prices!G447-1</f>
        <v>-0.0265487110427087</v>
      </c>
      <c r="H447" s="26" t="n">
        <f aca="false">Prices!H448/Prices!H447-1</f>
        <v>0.00518131242897035</v>
      </c>
      <c r="I447" s="26" t="n">
        <f aca="false">Prices!I448/Prices!I447-1</f>
        <v>-0.00222031646462151</v>
      </c>
      <c r="J447" s="26" t="n">
        <f aca="false">Prices!J448/Prices!J447-1</f>
        <v>0.0117155661455313</v>
      </c>
      <c r="K447" s="26" t="n">
        <f aca="false">SUMPRODUCT(B447:J447,Optimization!$C$7:$K$7)</f>
        <v>-0.0043757495202439</v>
      </c>
      <c r="L447" s="26" t="n">
        <f aca="false">SUMPRODUCT(B447:J447,Optimization!$C$8:$K$8)</f>
        <v>0.00215819343018775</v>
      </c>
      <c r="M447" s="26" t="n">
        <f aca="false">SUMPRODUCT(B447:J447,Optimization!$C$9:$K$9)</f>
        <v>0.00160930851253086</v>
      </c>
      <c r="N447" s="26" t="n">
        <f aca="false">SUMPRODUCT(B447:J447,Optimization!$C$10:$K$10)</f>
        <v>0.00215454280282029</v>
      </c>
      <c r="O447" s="27" t="n">
        <f aca="false">IF(AND(A447&gt;=Inputs!$C$6,A447&lt;=Inputs!$C$7),1,0)</f>
        <v>0</v>
      </c>
      <c r="P447" s="28" t="n">
        <f aca="false">P446*(1+K447)</f>
        <v>148.315955618659</v>
      </c>
      <c r="Q447" s="28" t="n">
        <f aca="false">MAX(Q446,P447)</f>
        <v>148.967801404185</v>
      </c>
      <c r="R447" s="29" t="n">
        <f aca="false">P447/Q447-1</f>
        <v>-0.00437574952024389</v>
      </c>
      <c r="S447" s="26" t="n">
        <f aca="false">IF(A447=Inputs!$C$12,"",F447)</f>
        <v>-0.0153846153846153</v>
      </c>
      <c r="T447" s="27" t="n">
        <f aca="false">IF(AND(A447&gt;Risk_Metrics!$C$28,P447&gt;=Risk_Metrics!$C$30),1,0)</f>
        <v>1</v>
      </c>
      <c r="U447" s="26" t="n">
        <f aca="false">IF(A447=Inputs!$C$12,"",K447)</f>
        <v>-0.0043757495202439</v>
      </c>
    </row>
    <row r="448" customFormat="false" ht="15" hidden="false" customHeight="false" outlineLevel="0" collapsed="false">
      <c r="A448" s="25" t="n">
        <f aca="false">Prices!A449</f>
        <v>44370</v>
      </c>
      <c r="B448" s="26" t="n">
        <f aca="false">Prices!B449/Prices!B448-1</f>
        <v>-0.0135789578947368</v>
      </c>
      <c r="C448" s="26" t="n">
        <f aca="false">Prices!C449/Prices!C448-1</f>
        <v>0.00176574455562095</v>
      </c>
      <c r="D448" s="26" t="n">
        <f aca="false">Prices!D449/Prices!D448-1</f>
        <v>-0.0171102287874612</v>
      </c>
      <c r="E448" s="26" t="n">
        <f aca="false">Prices!E449/Prices!E448-1</f>
        <v>0.0158730158730158</v>
      </c>
      <c r="F448" s="26" t="n">
        <f aca="false">Prices!F449/Prices!F448-1</f>
        <v>-0.015625</v>
      </c>
      <c r="G448" s="26" t="n">
        <f aca="false">Prices!G449/Prices!G448-1</f>
        <v>-0.00988142331547126</v>
      </c>
      <c r="H448" s="26" t="n">
        <f aca="false">Prices!H449/Prices!H448-1</f>
        <v>0.00687281786941574</v>
      </c>
      <c r="I448" s="26" t="n">
        <f aca="false">Prices!I449/Prices!I448-1</f>
        <v>-0.0119610845073411</v>
      </c>
      <c r="J448" s="26" t="n">
        <f aca="false">Prices!J449/Prices!J448-1</f>
        <v>0.014991005116858</v>
      </c>
      <c r="K448" s="26" t="n">
        <f aca="false">SUMPRODUCT(B448:J448,Optimization!$C$7:$K$7)</f>
        <v>-0.00318379012112221</v>
      </c>
      <c r="L448" s="26" t="n">
        <f aca="false">SUMPRODUCT(B448:J448,Optimization!$C$8:$K$8)</f>
        <v>-0.00828378663366359</v>
      </c>
      <c r="M448" s="26" t="n">
        <f aca="false">SUMPRODUCT(B448:J448,Optimization!$C$9:$K$9)</f>
        <v>-0.00559542158630173</v>
      </c>
      <c r="N448" s="26" t="n">
        <f aca="false">SUMPRODUCT(B448:J448,Optimization!$C$10:$K$10)</f>
        <v>-0.00897649959477997</v>
      </c>
      <c r="O448" s="27" t="n">
        <f aca="false">IF(AND(A448&gt;=Inputs!$C$6,A448&lt;=Inputs!$C$7),1,0)</f>
        <v>0</v>
      </c>
      <c r="P448" s="28" t="n">
        <f aca="false">P447*(1+K448)</f>
        <v>147.843748744355</v>
      </c>
      <c r="Q448" s="28" t="n">
        <f aca="false">MAX(Q447,P448)</f>
        <v>148.967801404185</v>
      </c>
      <c r="R448" s="29" t="n">
        <f aca="false">P448/Q448-1</f>
        <v>-0.00754560817327099</v>
      </c>
      <c r="S448" s="26" t="n">
        <f aca="false">IF(A448=Inputs!$C$12,"",F448)</f>
        <v>-0.015625</v>
      </c>
      <c r="T448" s="27" t="n">
        <f aca="false">IF(AND(A448&gt;Risk_Metrics!$C$28,P448&gt;=Risk_Metrics!$C$30),1,0)</f>
        <v>1</v>
      </c>
      <c r="U448" s="26" t="n">
        <f aca="false">IF(A448=Inputs!$C$12,"",K448)</f>
        <v>-0.00318379012112221</v>
      </c>
    </row>
    <row r="449" customFormat="false" ht="15" hidden="false" customHeight="false" outlineLevel="0" collapsed="false">
      <c r="A449" s="25" t="n">
        <f aca="false">Prices!A450</f>
        <v>44371</v>
      </c>
      <c r="B449" s="26" t="n">
        <f aca="false">Prices!B450/Prices!B449-1</f>
        <v>0.00629606238711</v>
      </c>
      <c r="C449" s="26" t="n">
        <f aca="false">Prices!C450/Prices!C449-1</f>
        <v>-0.0017626321974149</v>
      </c>
      <c r="D449" s="26" t="n">
        <f aca="false">Prices!D450/Prices!D449-1</f>
        <v>0.0201160928433268</v>
      </c>
      <c r="E449" s="26" t="n">
        <f aca="false">Prices!E450/Prices!E449-1</f>
        <v>0.0078125</v>
      </c>
      <c r="F449" s="26" t="n">
        <f aca="false">Prices!F450/Prices!F449-1</f>
        <v>0.0448178804855275</v>
      </c>
      <c r="G449" s="26" t="n">
        <f aca="false">Prices!G450/Prices!G449-1</f>
        <v>0.00518966088581485</v>
      </c>
      <c r="H449" s="26" t="n">
        <f aca="false">Prices!H450/Prices!H449-1</f>
        <v>0.0119454270288542</v>
      </c>
      <c r="I449" s="26" t="n">
        <f aca="false">Prices!I450/Prices!I449-1</f>
        <v>0.013232038288288</v>
      </c>
      <c r="J449" s="26" t="n">
        <f aca="false">Prices!J450/Prices!J449-1</f>
        <v>-0.0180419297780136</v>
      </c>
      <c r="K449" s="26" t="n">
        <f aca="false">SUMPRODUCT(B449:J449,Optimization!$C$7:$K$7)</f>
        <v>0.00995612221594365</v>
      </c>
      <c r="L449" s="26" t="n">
        <f aca="false">SUMPRODUCT(B449:J449,Optimization!$C$8:$K$8)</f>
        <v>0.00811162679908418</v>
      </c>
      <c r="M449" s="26" t="n">
        <f aca="false">SUMPRODUCT(B449:J449,Optimization!$C$9:$K$9)</f>
        <v>0.00467530511274277</v>
      </c>
      <c r="N449" s="26" t="n">
        <f aca="false">SUMPRODUCT(B449:J449,Optimization!$C$10:$K$10)</f>
        <v>0.00878702203963321</v>
      </c>
      <c r="O449" s="27" t="n">
        <f aca="false">IF(AND(A449&gt;=Inputs!$C$6,A449&lt;=Inputs!$C$7),1,0)</f>
        <v>0</v>
      </c>
      <c r="P449" s="28" t="n">
        <f aca="false">P448*(1+K449)</f>
        <v>149.315699175717</v>
      </c>
      <c r="Q449" s="28" t="n">
        <f aca="false">MAX(Q448,P449)</f>
        <v>149.315699175717</v>
      </c>
      <c r="R449" s="29" t="n">
        <f aca="false">P449/Q449-1</f>
        <v>0</v>
      </c>
      <c r="S449" s="26" t="n">
        <f aca="false">IF(A449=Inputs!$C$12,"",F449)</f>
        <v>0.0448178804855275</v>
      </c>
      <c r="T449" s="27" t="n">
        <f aca="false">IF(AND(A449&gt;Risk_Metrics!$C$28,P449&gt;=Risk_Metrics!$C$30),1,0)</f>
        <v>1</v>
      </c>
      <c r="U449" s="26" t="n">
        <f aca="false">IF(A449=Inputs!$C$12,"",K449)</f>
        <v>0.00995612221594365</v>
      </c>
    </row>
    <row r="450" customFormat="false" ht="15" hidden="false" customHeight="false" outlineLevel="0" collapsed="false">
      <c r="A450" s="25" t="n">
        <f aca="false">Prices!A451</f>
        <v>44372</v>
      </c>
      <c r="B450" s="26" t="n">
        <f aca="false">Prices!B451/Prices!B450-1</f>
        <v>-0.0160127460441332</v>
      </c>
      <c r="C450" s="26" t="n">
        <f aca="false">Prices!C451/Prices!C450-1</f>
        <v>-0.0176573866980576</v>
      </c>
      <c r="D450" s="26" t="n">
        <f aca="false">Prices!D451/Prices!D450-1</f>
        <v>-0.0193401585384846</v>
      </c>
      <c r="E450" s="26" t="n">
        <f aca="false">Prices!E451/Prices!E450-1</f>
        <v>-0.013953519379845</v>
      </c>
      <c r="F450" s="26" t="n">
        <f aca="false">Prices!F451/Prices!F450-1</f>
        <v>-0.0196603225942952</v>
      </c>
      <c r="G450" s="26" t="n">
        <f aca="false">Prices!G451/Prices!G450-1</f>
        <v>-0.0452739872915012</v>
      </c>
      <c r="H450" s="26" t="n">
        <f aca="false">Prices!H451/Prices!H450-1</f>
        <v>-0.0185497470489038</v>
      </c>
      <c r="I450" s="26" t="n">
        <f aca="false">Prices!I451/Prices!I450-1</f>
        <v>-0.0386219483955571</v>
      </c>
      <c r="J450" s="26" t="n">
        <f aca="false">Prices!J451/Prices!J450-1</f>
        <v>0.0123390346063139</v>
      </c>
      <c r="K450" s="26" t="n">
        <f aca="false">SUMPRODUCT(B450:J450,Optimization!$C$7:$K$7)</f>
        <v>-0.0196367534871626</v>
      </c>
      <c r="L450" s="26" t="n">
        <f aca="false">SUMPRODUCT(B450:J450,Optimization!$C$8:$K$8)</f>
        <v>-0.0152724355731565</v>
      </c>
      <c r="M450" s="26" t="n">
        <f aca="false">SUMPRODUCT(B450:J450,Optimization!$C$9:$K$9)</f>
        <v>-0.0138403180121993</v>
      </c>
      <c r="N450" s="26" t="n">
        <f aca="false">SUMPRODUCT(B450:J450,Optimization!$C$10:$K$10)</f>
        <v>-0.0145385075708945</v>
      </c>
      <c r="O450" s="27" t="n">
        <f aca="false">IF(AND(A450&gt;=Inputs!$C$6,A450&lt;=Inputs!$C$7),1,0)</f>
        <v>0</v>
      </c>
      <c r="P450" s="28" t="n">
        <f aca="false">P449*(1+K450)</f>
        <v>146.38362359924</v>
      </c>
      <c r="Q450" s="28" t="n">
        <f aca="false">MAX(Q449,P450)</f>
        <v>149.315699175717</v>
      </c>
      <c r="R450" s="29" t="n">
        <f aca="false">P450/Q450-1</f>
        <v>-0.0196367534871628</v>
      </c>
      <c r="S450" s="26" t="n">
        <f aca="false">IF(A450=Inputs!$C$12,"",F450)</f>
        <v>-0.0196603225942952</v>
      </c>
      <c r="T450" s="27" t="n">
        <f aca="false">IF(AND(A450&gt;Risk_Metrics!$C$28,P450&gt;=Risk_Metrics!$C$30),1,0)</f>
        <v>1</v>
      </c>
      <c r="U450" s="26" t="n">
        <f aca="false">IF(A450=Inputs!$C$12,"",K450)</f>
        <v>-0.0196367534871626</v>
      </c>
    </row>
    <row r="451" customFormat="false" ht="15" hidden="false" customHeight="false" outlineLevel="0" collapsed="false">
      <c r="A451" s="25" t="n">
        <f aca="false">Prices!A452</f>
        <v>44375</v>
      </c>
      <c r="B451" s="26" t="n">
        <f aca="false">Prices!B452/Prices!B451-1</f>
        <v>0.0232783271550994</v>
      </c>
      <c r="C451" s="26" t="n">
        <f aca="false">Prices!C452/Prices!C451-1</f>
        <v>0.0179747742375809</v>
      </c>
      <c r="D451" s="26" t="n">
        <f aca="false">Prices!D452/Prices!D451-1</f>
        <v>0.0193348793760681</v>
      </c>
      <c r="E451" s="26" t="n">
        <f aca="false">Prices!E452/Prices!E451-1</f>
        <v>0.010220157554093</v>
      </c>
      <c r="F451" s="26" t="n">
        <f aca="false">Prices!F452/Prices!F451-1</f>
        <v>0.018687282648711</v>
      </c>
      <c r="G451" s="26" t="n">
        <f aca="false">Prices!G452/Prices!G451-1</f>
        <v>-0.0133112307274862</v>
      </c>
      <c r="H451" s="26" t="n">
        <f aca="false">Prices!H452/Prices!H451-1</f>
        <v>-0.00171824742268045</v>
      </c>
      <c r="I451" s="26" t="n">
        <f aca="false">Prices!I452/Prices!I451-1</f>
        <v>0.0127168504460606</v>
      </c>
      <c r="J451" s="26" t="n">
        <f aca="false">Prices!J452/Prices!J451-1</f>
        <v>-0.0160142701776821</v>
      </c>
      <c r="K451" s="26" t="n">
        <f aca="false">SUMPRODUCT(B451:J451,Optimization!$C$7:$K$7)</f>
        <v>0.00790761367664048</v>
      </c>
      <c r="L451" s="26" t="n">
        <f aca="false">SUMPRODUCT(B451:J451,Optimization!$C$8:$K$8)</f>
        <v>0.0132801741461013</v>
      </c>
      <c r="M451" s="26" t="n">
        <f aca="false">SUMPRODUCT(B451:J451,Optimization!$C$9:$K$9)</f>
        <v>0.0108253931124568</v>
      </c>
      <c r="N451" s="26" t="n">
        <f aca="false">SUMPRODUCT(B451:J451,Optimization!$C$10:$K$10)</f>
        <v>0.0144143309327192</v>
      </c>
      <c r="O451" s="27" t="n">
        <f aca="false">IF(AND(A451&gt;=Inputs!$C$6,A451&lt;=Inputs!$C$7),1,0)</f>
        <v>0</v>
      </c>
      <c r="P451" s="28" t="n">
        <f aca="false">P450*(1+K451)</f>
        <v>147.54116874325</v>
      </c>
      <c r="Q451" s="28" t="n">
        <f aca="false">MAX(Q450,P451)</f>
        <v>149.315699175717</v>
      </c>
      <c r="R451" s="29" t="n">
        <f aca="false">P451/Q451-1</f>
        <v>-0.011884419670962</v>
      </c>
      <c r="S451" s="26" t="n">
        <f aca="false">IF(A451=Inputs!$C$12,"",F451)</f>
        <v>0.018687282648711</v>
      </c>
      <c r="T451" s="27" t="n">
        <f aca="false">IF(AND(A451&gt;Risk_Metrics!$C$28,P451&gt;=Risk_Metrics!$C$30),1,0)</f>
        <v>1</v>
      </c>
      <c r="U451" s="26" t="n">
        <f aca="false">IF(A451=Inputs!$C$12,"",K451)</f>
        <v>0.00790761367664048</v>
      </c>
    </row>
    <row r="452" customFormat="false" ht="15" hidden="false" customHeight="false" outlineLevel="0" collapsed="false">
      <c r="A452" s="25" t="n">
        <f aca="false">Prices!A453</f>
        <v>44376</v>
      </c>
      <c r="B452" s="26" t="n">
        <f aca="false">Prices!B453/Prices!B452-1</f>
        <v>0.00136919435605676</v>
      </c>
      <c r="C452" s="26" t="n">
        <f aca="false">Prices!C453/Prices!C452-1</f>
        <v>0.00294296645085357</v>
      </c>
      <c r="D452" s="26" t="n">
        <f aca="false">Prices!D453/Prices!D452-1</f>
        <v>0.00113801209643349</v>
      </c>
      <c r="E452" s="26" t="n">
        <f aca="false">Prices!E453/Prices!E452-1</f>
        <v>0.00435796108949416</v>
      </c>
      <c r="F452" s="26" t="n">
        <f aca="false">Prices!F453/Prices!F452-1</f>
        <v>-0.00581659955257274</v>
      </c>
      <c r="G452" s="26" t="n">
        <f aca="false">Prices!G453/Prices!G452-1</f>
        <v>-0.027402994409907</v>
      </c>
      <c r="H452" s="26" t="n">
        <f aca="false">Prices!H453/Prices!H452-1</f>
        <v>0.00447507760671528</v>
      </c>
      <c r="I452" s="26" t="n">
        <f aca="false">Prices!I453/Prices!I452-1</f>
        <v>0.0108446629325154</v>
      </c>
      <c r="J452" s="26" t="n">
        <f aca="false">Prices!J453/Prices!J452-1</f>
        <v>0.0172694758999905</v>
      </c>
      <c r="K452" s="26" t="n">
        <f aca="false">SUMPRODUCT(B452:J452,Optimization!$C$7:$K$7)</f>
        <v>0.00101975071884216</v>
      </c>
      <c r="L452" s="26" t="n">
        <f aca="false">SUMPRODUCT(B452:J452,Optimization!$C$8:$K$8)</f>
        <v>0.00503572275853284</v>
      </c>
      <c r="M452" s="26" t="n">
        <f aca="false">SUMPRODUCT(B452:J452,Optimization!$C$9:$K$9)</f>
        <v>0.00647492033978165</v>
      </c>
      <c r="N452" s="26" t="n">
        <f aca="false">SUMPRODUCT(B452:J452,Optimization!$C$10:$K$10)</f>
        <v>0.00414424795953104</v>
      </c>
      <c r="O452" s="27" t="n">
        <f aca="false">IF(AND(A452&gt;=Inputs!$C$6,A452&lt;=Inputs!$C$7),1,0)</f>
        <v>0</v>
      </c>
      <c r="P452" s="28" t="n">
        <f aca="false">P451*(1+K452)</f>
        <v>147.691623956135</v>
      </c>
      <c r="Q452" s="28" t="n">
        <f aca="false">MAX(Q451,P452)</f>
        <v>149.315699175717</v>
      </c>
      <c r="R452" s="29" t="n">
        <f aca="false">P452/Q452-1</f>
        <v>-0.0108767880976224</v>
      </c>
      <c r="S452" s="26" t="n">
        <f aca="false">IF(A452=Inputs!$C$12,"",F452)</f>
        <v>-0.00581659955257274</v>
      </c>
      <c r="T452" s="27" t="n">
        <f aca="false">IF(AND(A452&gt;Risk_Metrics!$C$28,P452&gt;=Risk_Metrics!$C$30),1,0)</f>
        <v>1</v>
      </c>
      <c r="U452" s="26" t="n">
        <f aca="false">IF(A452=Inputs!$C$12,"",K452)</f>
        <v>0.00101975071884216</v>
      </c>
    </row>
    <row r="453" customFormat="false" ht="15" hidden="false" customHeight="false" outlineLevel="0" collapsed="false">
      <c r="A453" s="25" t="n">
        <f aca="false">Prices!A454</f>
        <v>44377</v>
      </c>
      <c r="B453" s="26" t="n">
        <f aca="false">Prices!B454/Prices!B453-1</f>
        <v>-0.00610014711610962</v>
      </c>
      <c r="C453" s="26" t="n">
        <f aca="false">Prices!C454/Prices!C453-1</f>
        <v>-0.0129108560498323</v>
      </c>
      <c r="D453" s="26" t="n">
        <f aca="false">Prices!D454/Prices!D453-1</f>
        <v>-0.00189461924572254</v>
      </c>
      <c r="E453" s="26" t="n">
        <f aca="false">Prices!E454/Prices!E453-1</f>
        <v>-0.00821321878526615</v>
      </c>
      <c r="F453" s="26" t="n">
        <f aca="false">Prices!F454/Prices!F453-1</f>
        <v>-0.0288028365797858</v>
      </c>
      <c r="G453" s="26" t="n">
        <f aca="false">Prices!G454/Prices!G453-1</f>
        <v>0.0186389250108365</v>
      </c>
      <c r="H453" s="26" t="n">
        <f aca="false">Prices!H454/Prices!H453-1</f>
        <v>0.00856751199451677</v>
      </c>
      <c r="I453" s="26" t="n">
        <f aca="false">Prices!I454/Prices!I453-1</f>
        <v>-0.0214567488117872</v>
      </c>
      <c r="J453" s="26" t="n">
        <f aca="false">Prices!J454/Prices!J453-1</f>
        <v>0.00657717524527279</v>
      </c>
      <c r="K453" s="26" t="n">
        <f aca="false">SUMPRODUCT(B453:J453,Optimization!$C$7:$K$7)</f>
        <v>-0.00506609048198639</v>
      </c>
      <c r="L453" s="26" t="n">
        <f aca="false">SUMPRODUCT(B453:J453,Optimization!$C$8:$K$8)</f>
        <v>-0.00452529509523163</v>
      </c>
      <c r="M453" s="26" t="n">
        <f aca="false">SUMPRODUCT(B453:J453,Optimization!$C$9:$K$9)</f>
        <v>-0.00506742086820771</v>
      </c>
      <c r="N453" s="26" t="n">
        <f aca="false">SUMPRODUCT(B453:J453,Optimization!$C$10:$K$10)</f>
        <v>-0.00360624277783571</v>
      </c>
      <c r="O453" s="27" t="n">
        <f aca="false">IF(AND(A453&gt;=Inputs!$C$6,A453&lt;=Inputs!$C$7),1,0)</f>
        <v>0</v>
      </c>
      <c r="P453" s="28" t="n">
        <f aca="false">P452*(1+K453)</f>
        <v>146.943404825741</v>
      </c>
      <c r="Q453" s="28" t="n">
        <f aca="false">MAX(Q452,P453)</f>
        <v>149.315699175717</v>
      </c>
      <c r="R453" s="29" t="n">
        <f aca="false">P453/Q453-1</f>
        <v>-0.0158877757869529</v>
      </c>
      <c r="S453" s="26" t="n">
        <f aca="false">IF(A453=Inputs!$C$12,"",F453)</f>
        <v>-0.0288028365797858</v>
      </c>
      <c r="T453" s="27" t="n">
        <f aca="false">IF(AND(A453&gt;Risk_Metrics!$C$28,P453&gt;=Risk_Metrics!$C$30),1,0)</f>
        <v>1</v>
      </c>
      <c r="U453" s="26" t="n">
        <f aca="false">IF(A453=Inputs!$C$12,"",K453)</f>
        <v>-0.00506609048198639</v>
      </c>
    </row>
    <row r="454" customFormat="false" ht="15" hidden="false" customHeight="false" outlineLevel="0" collapsed="false">
      <c r="A454" s="25" t="n">
        <f aca="false">Prices!A455</f>
        <v>44378</v>
      </c>
      <c r="B454" s="26" t="n">
        <f aca="false">Prices!B455/Prices!B454-1</f>
        <v>-0.0104761693121693</v>
      </c>
      <c r="C454" s="26" t="n">
        <f aca="false">Prices!C455/Prices!C454-1</f>
        <v>-0.0297265160523187</v>
      </c>
      <c r="D454" s="26" t="n">
        <f aca="false">Prices!D455/Prices!D454-1</f>
        <v>0.0056947608200455</v>
      </c>
      <c r="E454" s="26" t="n">
        <f aca="false">Prices!E455/Prices!E454-1</f>
        <v>-0.0234375</v>
      </c>
      <c r="F454" s="26" t="n">
        <f aca="false">Prices!F455/Prices!F454-1</f>
        <v>-0.0227062094531973</v>
      </c>
      <c r="G454" s="26" t="n">
        <f aca="false">Prices!G455/Prices!G454-1</f>
        <v>-0.0310638297872341</v>
      </c>
      <c r="H454" s="26" t="n">
        <f aca="false">Prices!H455/Prices!H454-1</f>
        <v>-0.0125722392116887</v>
      </c>
      <c r="I454" s="26" t="n">
        <f aca="false">Prices!I455/Prices!I454-1</f>
        <v>-0.0124062319676861</v>
      </c>
      <c r="J454" s="26" t="n">
        <f aca="false">Prices!J455/Prices!J454-1</f>
        <v>-0.0173951523178808</v>
      </c>
      <c r="K454" s="26" t="n">
        <f aca="false">SUMPRODUCT(B454:J454,Optimization!$C$7:$K$7)</f>
        <v>-0.0171210096980144</v>
      </c>
      <c r="L454" s="26" t="n">
        <f aca="false">SUMPRODUCT(B454:J454,Optimization!$C$8:$K$8)</f>
        <v>-0.00706236817094063</v>
      </c>
      <c r="M454" s="26" t="n">
        <f aca="false">SUMPRODUCT(B454:J454,Optimization!$C$9:$K$9)</f>
        <v>-0.0103295830185177</v>
      </c>
      <c r="N454" s="26" t="n">
        <f aca="false">SUMPRODUCT(B454:J454,Optimization!$C$10:$K$10)</f>
        <v>-0.00609885878713095</v>
      </c>
      <c r="O454" s="27" t="n">
        <f aca="false">IF(AND(A454&gt;=Inputs!$C$6,A454&lt;=Inputs!$C$7),1,0)</f>
        <v>0</v>
      </c>
      <c r="P454" s="28" t="n">
        <f aca="false">P453*(1+K454)</f>
        <v>144.427585366661</v>
      </c>
      <c r="Q454" s="28" t="n">
        <f aca="false">MAX(Q453,P454)</f>
        <v>149.315699175717</v>
      </c>
      <c r="R454" s="29" t="n">
        <f aca="false">P454/Q454-1</f>
        <v>-0.0327367707216391</v>
      </c>
      <c r="S454" s="26" t="n">
        <f aca="false">IF(A454=Inputs!$C$12,"",F454)</f>
        <v>-0.0227062094531973</v>
      </c>
      <c r="T454" s="27" t="n">
        <f aca="false">IF(AND(A454&gt;Risk_Metrics!$C$28,P454&gt;=Risk_Metrics!$C$30),1,0)</f>
        <v>1</v>
      </c>
      <c r="U454" s="26" t="n">
        <f aca="false">IF(A454=Inputs!$C$12,"",K454)</f>
        <v>-0.0171210096980144</v>
      </c>
    </row>
    <row r="455" customFormat="false" ht="15" hidden="false" customHeight="false" outlineLevel="0" collapsed="false">
      <c r="A455" s="25" t="n">
        <f aca="false">Prices!A456</f>
        <v>44379</v>
      </c>
      <c r="B455" s="26" t="n">
        <f aca="false">Prices!B456/Prices!B455-1</f>
        <v>0.0204255797149915</v>
      </c>
      <c r="C455" s="26" t="n">
        <f aca="false">Prices!C456/Prices!C455-1</f>
        <v>0.00612745098039214</v>
      </c>
      <c r="D455" s="26" t="n">
        <f aca="false">Prices!D456/Prices!D455-1</f>
        <v>0.00830498301245752</v>
      </c>
      <c r="E455" s="26" t="n">
        <f aca="false">Prices!E456/Prices!E455-1</f>
        <v>0.0313599839999998</v>
      </c>
      <c r="F455" s="26" t="n">
        <f aca="false">Prices!F456/Prices!F455-1</f>
        <v>0.0132764817449027</v>
      </c>
      <c r="G455" s="26" t="n">
        <f aca="false">Prices!G456/Prices!G455-1</f>
        <v>0.0166886253842775</v>
      </c>
      <c r="H455" s="26" t="n">
        <f aca="false">Prices!H456/Prices!H455-1</f>
        <v>0.00412942202785338</v>
      </c>
      <c r="I455" s="26" t="n">
        <f aca="false">Prices!I456/Prices!I455-1</f>
        <v>-0.0035056675430909</v>
      </c>
      <c r="J455" s="26" t="n">
        <f aca="false">Prices!J456/Prices!J455-1</f>
        <v>0.0206686108974532</v>
      </c>
      <c r="K455" s="26" t="n">
        <f aca="false">SUMPRODUCT(B455:J455,Optimization!$C$7:$K$7)</f>
        <v>0.0130528300243597</v>
      </c>
      <c r="L455" s="26" t="n">
        <f aca="false">SUMPRODUCT(B455:J455,Optimization!$C$8:$K$8)</f>
        <v>0.0107973692244536</v>
      </c>
      <c r="M455" s="26" t="n">
        <f aca="false">SUMPRODUCT(B455:J455,Optimization!$C$9:$K$9)</f>
        <v>0.0114502900371272</v>
      </c>
      <c r="N455" s="26" t="n">
        <f aca="false">SUMPRODUCT(B455:J455,Optimization!$C$10:$K$10)</f>
        <v>0.0115606836751054</v>
      </c>
      <c r="O455" s="27" t="n">
        <f aca="false">IF(AND(A455&gt;=Inputs!$C$6,A455&lt;=Inputs!$C$7),1,0)</f>
        <v>0</v>
      </c>
      <c r="P455" s="28" t="n">
        <f aca="false">P454*(1+K455)</f>
        <v>146.31277408928</v>
      </c>
      <c r="Q455" s="28" t="n">
        <f aca="false">MAX(Q454,P455)</f>
        <v>149.315699175717</v>
      </c>
      <c r="R455" s="29" t="n">
        <f aca="false">P455/Q455-1</f>
        <v>-0.0201112482010554</v>
      </c>
      <c r="S455" s="26" t="n">
        <f aca="false">IF(A455=Inputs!$C$12,"",F455)</f>
        <v>0.0132764817449027</v>
      </c>
      <c r="T455" s="27" t="n">
        <f aca="false">IF(AND(A455&gt;Risk_Metrics!$C$28,P455&gt;=Risk_Metrics!$C$30),1,0)</f>
        <v>1</v>
      </c>
      <c r="U455" s="26" t="n">
        <f aca="false">IF(A455=Inputs!$C$12,"",K455)</f>
        <v>0.0130528300243597</v>
      </c>
    </row>
    <row r="456" customFormat="false" ht="15" hidden="false" customHeight="false" outlineLevel="0" collapsed="false">
      <c r="A456" s="25" t="n">
        <f aca="false">Prices!A457</f>
        <v>44382</v>
      </c>
      <c r="B456" s="26" t="n">
        <f aca="false">Prices!B457/Prices!B456-1</f>
        <v>0.0066024419744799</v>
      </c>
      <c r="C456" s="26" t="n">
        <f aca="false">Prices!C457/Prices!C456-1</f>
        <v>-0.0188793544457979</v>
      </c>
      <c r="D456" s="26" t="n">
        <f aca="false">Prices!D457/Prices!D456-1</f>
        <v>0.00823665324734746</v>
      </c>
      <c r="E456" s="26" t="n">
        <f aca="false">Prices!E457/Prices!E456-1</f>
        <v>-0.00542969291699802</v>
      </c>
      <c r="F456" s="26" t="n">
        <f aca="false">Prices!F457/Prices!F456-1</f>
        <v>-0.0121665881063833</v>
      </c>
      <c r="G456" s="26" t="n">
        <f aca="false">Prices!G457/Prices!G456-1</f>
        <v>0.0107991360691144</v>
      </c>
      <c r="H456" s="26" t="n">
        <f aca="false">Prices!H457/Prices!H456-1</f>
        <v>-0.0113091158327621</v>
      </c>
      <c r="I456" s="26" t="n">
        <f aca="false">Prices!I457/Prices!I456-1</f>
        <v>-0.0149517146012396</v>
      </c>
      <c r="J456" s="26" t="n">
        <f aca="false">Prices!J457/Prices!J456-1</f>
        <v>-0.00360982560996947</v>
      </c>
      <c r="K456" s="26" t="n">
        <f aca="false">SUMPRODUCT(B456:J456,Optimization!$C$7:$K$7)</f>
        <v>-0.00452311780246761</v>
      </c>
      <c r="L456" s="26" t="n">
        <f aca="false">SUMPRODUCT(B456:J456,Optimization!$C$8:$K$8)</f>
        <v>0.00019645066461271</v>
      </c>
      <c r="M456" s="26" t="n">
        <f aca="false">SUMPRODUCT(B456:J456,Optimization!$C$9:$K$9)</f>
        <v>-0.00198694345933957</v>
      </c>
      <c r="N456" s="26" t="n">
        <f aca="false">SUMPRODUCT(B456:J456,Optimization!$C$10:$K$10)</f>
        <v>0.00164605503829975</v>
      </c>
      <c r="O456" s="27" t="n">
        <f aca="false">IF(AND(A456&gt;=Inputs!$C$6,A456&lt;=Inputs!$C$7),1,0)</f>
        <v>0</v>
      </c>
      <c r="P456" s="28" t="n">
        <f aca="false">P455*(1+K456)</f>
        <v>145.650984176069</v>
      </c>
      <c r="Q456" s="28" t="n">
        <f aca="false">MAX(Q455,P456)</f>
        <v>149.315699175717</v>
      </c>
      <c r="R456" s="29" t="n">
        <f aca="false">P456/Q456-1</f>
        <v>-0.0245434004587548</v>
      </c>
      <c r="S456" s="26" t="n">
        <f aca="false">IF(A456=Inputs!$C$12,"",F456)</f>
        <v>-0.0121665881063833</v>
      </c>
      <c r="T456" s="27" t="n">
        <f aca="false">IF(AND(A456&gt;Risk_Metrics!$C$28,P456&gt;=Risk_Metrics!$C$30),1,0)</f>
        <v>1</v>
      </c>
      <c r="U456" s="26" t="n">
        <f aca="false">IF(A456=Inputs!$C$12,"",K456)</f>
        <v>-0.00452311780246761</v>
      </c>
    </row>
    <row r="457" customFormat="false" ht="15" hidden="false" customHeight="false" outlineLevel="0" collapsed="false">
      <c r="A457" s="25" t="n">
        <f aca="false">Prices!A458</f>
        <v>44383</v>
      </c>
      <c r="B457" s="26" t="n">
        <f aca="false">Prices!B458/Prices!B457-1</f>
        <v>-0.00249875057265758</v>
      </c>
      <c r="C457" s="26" t="n">
        <f aca="false">Prices!C458/Prices!C457-1</f>
        <v>-0.0117939781630058</v>
      </c>
      <c r="D457" s="26" t="n">
        <f aca="false">Prices!D458/Prices!D457-1</f>
        <v>-0.00891195692536206</v>
      </c>
      <c r="E457" s="26" t="n">
        <f aca="false">Prices!E458/Prices!E457-1</f>
        <v>-0.018249913925286</v>
      </c>
      <c r="F457" s="26" t="n">
        <f aca="false">Prices!F458/Prices!F457-1</f>
        <v>-0.597619251652333</v>
      </c>
      <c r="G457" s="26" t="n">
        <f aca="false">Prices!G458/Prices!G457-1</f>
        <v>-0.0213675213675214</v>
      </c>
      <c r="H457" s="26" t="n">
        <f aca="false">Prices!H458/Prices!H457-1</f>
        <v>-0.0409012131715771</v>
      </c>
      <c r="I457" s="26" t="n">
        <f aca="false">Prices!I458/Prices!I457-1</f>
        <v>-0.0136904472434789</v>
      </c>
      <c r="J457" s="26" t="n">
        <f aca="false">Prices!J458/Prices!J457-1</f>
        <v>0.00530174967397268</v>
      </c>
      <c r="K457" s="26" t="n">
        <f aca="false">SUMPRODUCT(B457:J457,Optimization!$C$7:$K$7)</f>
        <v>-0.0788590314830277</v>
      </c>
      <c r="L457" s="26" t="n">
        <f aca="false">SUMPRODUCT(B457:J457,Optimization!$C$8:$K$8)</f>
        <v>-0.0064051366950607</v>
      </c>
      <c r="M457" s="26" t="n">
        <f aca="false">SUMPRODUCT(B457:J457,Optimization!$C$9:$K$9)</f>
        <v>-0.00649538916789793</v>
      </c>
      <c r="N457" s="26" t="n">
        <f aca="false">SUMPRODUCT(B457:J457,Optimization!$C$10:$K$10)</f>
        <v>-0.0062471177385798</v>
      </c>
      <c r="O457" s="27" t="n">
        <f aca="false">IF(AND(A457&gt;=Inputs!$C$6,A457&lt;=Inputs!$C$7),1,0)</f>
        <v>0</v>
      </c>
      <c r="P457" s="28" t="n">
        <f aca="false">P456*(1+K457)</f>
        <v>134.165088629394</v>
      </c>
      <c r="Q457" s="28" t="n">
        <f aca="false">MAX(Q456,P457)</f>
        <v>149.315699175717</v>
      </c>
      <c r="R457" s="29" t="n">
        <f aca="false">P457/Q457-1</f>
        <v>-0.101466963152305</v>
      </c>
      <c r="S457" s="26" t="str">
        <f aca="false">IF(A457=Inputs!$C$12,"",F457)</f>
        <v/>
      </c>
      <c r="T457" s="27" t="n">
        <f aca="false">IF(AND(A457&gt;Risk_Metrics!$C$28,P457&gt;=Risk_Metrics!$C$30),1,0)</f>
        <v>1</v>
      </c>
      <c r="U457" s="26" t="str">
        <f aca="false">IF(A457=Inputs!$C$12,"",K457)</f>
        <v/>
      </c>
    </row>
    <row r="458" customFormat="false" ht="15" hidden="false" customHeight="false" outlineLevel="0" collapsed="false">
      <c r="A458" s="25" t="n">
        <f aca="false">Prices!A459</f>
        <v>44384</v>
      </c>
      <c r="B458" s="26" t="n">
        <f aca="false">Prices!B459/Prices!B458-1</f>
        <v>0.00688866521007547</v>
      </c>
      <c r="C458" s="26" t="n">
        <f aca="false">Prices!C459/Prices!C458-1</f>
        <v>0.0219849246231156</v>
      </c>
      <c r="D458" s="26" t="n">
        <f aca="false">Prices!D459/Prices!D458-1</f>
        <v>0.0202322585150896</v>
      </c>
      <c r="E458" s="26" t="n">
        <f aca="false">Prices!E459/Prices!E458-1</f>
        <v>0.0541785677498978</v>
      </c>
      <c r="F458" s="26" t="n">
        <f aca="false">Prices!F459/Prices!F458-1</f>
        <v>0.0102438612060052</v>
      </c>
      <c r="G458" s="26" t="n">
        <f aca="false">Prices!G459/Prices!G458-1</f>
        <v>0.00567689956331874</v>
      </c>
      <c r="H458" s="26" t="n">
        <f aca="false">Prices!H459/Prices!H458-1</f>
        <v>0.0137332490061437</v>
      </c>
      <c r="I458" s="26" t="n">
        <f aca="false">Prices!I459/Prices!I458-1</f>
        <v>0.0165962587989215</v>
      </c>
      <c r="J458" s="26" t="n">
        <f aca="false">Prices!J459/Prices!J458-1</f>
        <v>0.00290059777359408</v>
      </c>
      <c r="K458" s="26" t="n">
        <f aca="false">SUMPRODUCT(B458:J458,Optimization!$C$7:$K$7)</f>
        <v>0.0169372536051291</v>
      </c>
      <c r="L458" s="26" t="n">
        <f aca="false">SUMPRODUCT(B458:J458,Optimization!$C$8:$K$8)</f>
        <v>0.0151428620831196</v>
      </c>
      <c r="M458" s="26" t="n">
        <f aca="false">SUMPRODUCT(B458:J458,Optimization!$C$9:$K$9)</f>
        <v>0.0135302592993885</v>
      </c>
      <c r="N458" s="26" t="n">
        <f aca="false">SUMPRODUCT(B458:J458,Optimization!$C$10:$K$10)</f>
        <v>0.0154233801212988</v>
      </c>
      <c r="O458" s="27" t="n">
        <f aca="false">IF(AND(A458&gt;=Inputs!$C$6,A458&lt;=Inputs!$C$7),1,0)</f>
        <v>0</v>
      </c>
      <c r="P458" s="28" t="n">
        <f aca="false">P457*(1+K458)</f>
        <v>136.437476760465</v>
      </c>
      <c r="Q458" s="28" t="n">
        <f aca="false">MAX(Q457,P458)</f>
        <v>149.315699175717</v>
      </c>
      <c r="R458" s="29" t="n">
        <f aca="false">P458/Q458-1</f>
        <v>-0.0862482812346287</v>
      </c>
      <c r="S458" s="26" t="n">
        <f aca="false">IF(A458=Inputs!$C$12,"",F458)</f>
        <v>0.0102438612060052</v>
      </c>
      <c r="T458" s="27" t="n">
        <f aca="false">IF(AND(A458&gt;Risk_Metrics!$C$28,P458&gt;=Risk_Metrics!$C$30),1,0)</f>
        <v>1</v>
      </c>
      <c r="U458" s="26" t="n">
        <f aca="false">IF(A458=Inputs!$C$12,"",K458)</f>
        <v>0.0169372536051291</v>
      </c>
    </row>
    <row r="459" customFormat="false" ht="15" hidden="false" customHeight="false" outlineLevel="0" collapsed="false">
      <c r="A459" s="25" t="n">
        <f aca="false">Prices!A460</f>
        <v>44385</v>
      </c>
      <c r="B459" s="26" t="n">
        <f aca="false">Prices!B460/Prices!B459-1</f>
        <v>-0.00445734420589461</v>
      </c>
      <c r="C459" s="26" t="n">
        <f aca="false">Prices!C460/Prices!C459-1</f>
        <v>-0.00737553779963129</v>
      </c>
      <c r="D459" s="26" t="n">
        <f aca="false">Prices!D460/Prices!D459-1</f>
        <v>-0.00844656628718332</v>
      </c>
      <c r="E459" s="26" t="n">
        <f aca="false">Prices!E460/Prices!E459-1</f>
        <v>-0.0126600757395652</v>
      </c>
      <c r="F459" s="26" t="n">
        <f aca="false">Prices!F460/Prices!F459-1</f>
        <v>-0.00676007006886614</v>
      </c>
      <c r="G459" s="26" t="n">
        <f aca="false">Prices!G460/Prices!G459-1</f>
        <v>0.00130256181925481</v>
      </c>
      <c r="H459" s="26" t="n">
        <f aca="false">Prices!H460/Prices!H459-1</f>
        <v>-0.0199643144372305</v>
      </c>
      <c r="I459" s="26" t="n">
        <f aca="false">Prices!I460/Prices!I459-1</f>
        <v>-0.0391807669688563</v>
      </c>
      <c r="J459" s="26" t="n">
        <f aca="false">Prices!J460/Prices!J459-1</f>
        <v>-0.00385621391509572</v>
      </c>
      <c r="K459" s="26" t="n">
        <f aca="false">SUMPRODUCT(B459:J459,Optimization!$C$7:$K$7)</f>
        <v>-0.0112664808447854</v>
      </c>
      <c r="L459" s="26" t="n">
        <f aca="false">SUMPRODUCT(B459:J459,Optimization!$C$8:$K$8)</f>
        <v>-0.0099645105902102</v>
      </c>
      <c r="M459" s="26" t="n">
        <f aca="false">SUMPRODUCT(B459:J459,Optimization!$C$9:$K$9)</f>
        <v>-0.0107105304839578</v>
      </c>
      <c r="N459" s="26" t="n">
        <f aca="false">SUMPRODUCT(B459:J459,Optimization!$C$10:$K$10)</f>
        <v>-0.00800159130388703</v>
      </c>
      <c r="O459" s="27" t="n">
        <f aca="false">IF(AND(A459&gt;=Inputs!$C$6,A459&lt;=Inputs!$C$7),1,0)</f>
        <v>0</v>
      </c>
      <c r="P459" s="28" t="n">
        <f aca="false">P458*(1+K459)</f>
        <v>134.900306542032</v>
      </c>
      <c r="Q459" s="28" t="n">
        <f aca="false">MAX(Q458,P459)</f>
        <v>149.315699175717</v>
      </c>
      <c r="R459" s="29" t="n">
        <f aca="false">P459/Q459-1</f>
        <v>-0.0965430474709884</v>
      </c>
      <c r="S459" s="26" t="n">
        <f aca="false">IF(A459=Inputs!$C$12,"",F459)</f>
        <v>-0.00676007006886614</v>
      </c>
      <c r="T459" s="27" t="n">
        <f aca="false">IF(AND(A459&gt;Risk_Metrics!$C$28,P459&gt;=Risk_Metrics!$C$30),1,0)</f>
        <v>1</v>
      </c>
      <c r="U459" s="26" t="n">
        <f aca="false">IF(A459=Inputs!$C$12,"",K459)</f>
        <v>-0.0112664808447854</v>
      </c>
    </row>
    <row r="460" customFormat="false" ht="15" hidden="false" customHeight="false" outlineLevel="0" collapsed="false">
      <c r="A460" s="25" t="n">
        <f aca="false">Prices!A461</f>
        <v>44389</v>
      </c>
      <c r="B460" s="26" t="n">
        <f aca="false">Prices!B461/Prices!B460-1</f>
        <v>0.00603917111579366</v>
      </c>
      <c r="C460" s="26" t="n">
        <f aca="false">Prices!C461/Prices!C460-1</f>
        <v>0.0346748606811147</v>
      </c>
      <c r="D460" s="26" t="n">
        <f aca="false">Prices!D461/Prices!D460-1</f>
        <v>0.00555555555555554</v>
      </c>
      <c r="E460" s="26" t="n">
        <f aca="false">Prices!E461/Prices!E460-1</f>
        <v>0.00915889149263038</v>
      </c>
      <c r="F460" s="26" t="n">
        <f aca="false">Prices!F461/Prices!F460-1</f>
        <v>0.0170150817844152</v>
      </c>
      <c r="G460" s="26" t="n">
        <f aca="false">Prices!G461/Prices!G460-1</f>
        <v>0.0320902008712143</v>
      </c>
      <c r="H460" s="26" t="n">
        <f aca="false">Prices!H461/Prices!H460-1</f>
        <v>0.00873044743543106</v>
      </c>
      <c r="I460" s="26" t="n">
        <f aca="false">Prices!I461/Prices!I460-1</f>
        <v>0.0256410882187548</v>
      </c>
      <c r="J460" s="26" t="n">
        <f aca="false">Prices!J461/Prices!J460-1</f>
        <v>0.0124053840434495</v>
      </c>
      <c r="K460" s="26" t="n">
        <f aca="false">SUMPRODUCT(B460:J460,Optimization!$C$7:$K$7)</f>
        <v>0.0168122979109288</v>
      </c>
      <c r="L460" s="26" t="n">
        <f aca="false">SUMPRODUCT(B460:J460,Optimization!$C$8:$K$8)</f>
        <v>0.0125433077947929</v>
      </c>
      <c r="M460" s="26" t="n">
        <f aca="false">SUMPRODUCT(B460:J460,Optimization!$C$9:$K$9)</f>
        <v>0.0142725751990775</v>
      </c>
      <c r="N460" s="26" t="n">
        <f aca="false">SUMPRODUCT(B460:J460,Optimization!$C$10:$K$10)</f>
        <v>0.0113729088298228</v>
      </c>
      <c r="O460" s="27" t="n">
        <f aca="false">IF(AND(A460&gt;=Inputs!$C$6,A460&lt;=Inputs!$C$7),1,0)</f>
        <v>0</v>
      </c>
      <c r="P460" s="28" t="n">
        <f aca="false">P459*(1+K460)</f>
        <v>137.168290683892</v>
      </c>
      <c r="Q460" s="28" t="n">
        <f aca="false">MAX(Q459,P460)</f>
        <v>149.315699175717</v>
      </c>
      <c r="R460" s="29" t="n">
        <f aca="false">P460/Q460-1</f>
        <v>-0.0813538600353707</v>
      </c>
      <c r="S460" s="26" t="n">
        <f aca="false">IF(A460=Inputs!$C$12,"",F460)</f>
        <v>0.0170150817844152</v>
      </c>
      <c r="T460" s="27" t="n">
        <f aca="false">IF(AND(A460&gt;Risk_Metrics!$C$28,P460&gt;=Risk_Metrics!$C$30),1,0)</f>
        <v>1</v>
      </c>
      <c r="U460" s="26" t="n">
        <f aca="false">IF(A460=Inputs!$C$12,"",K460)</f>
        <v>0.0168122979109288</v>
      </c>
    </row>
    <row r="461" customFormat="false" ht="15" hidden="false" customHeight="false" outlineLevel="0" collapsed="false">
      <c r="A461" s="25" t="n">
        <f aca="false">Prices!A462</f>
        <v>44390</v>
      </c>
      <c r="B461" s="26" t="n">
        <f aca="false">Prices!B462/Prices!B461-1</f>
        <v>0.00527834800419136</v>
      </c>
      <c r="C461" s="26" t="n">
        <f aca="false">Prices!C462/Prices!C461-1</f>
        <v>0.0143627776399029</v>
      </c>
      <c r="D461" s="26" t="n">
        <f aca="false">Prices!D462/Prices!D461-1</f>
        <v>-0.00220994475138114</v>
      </c>
      <c r="E461" s="26" t="n">
        <f aca="false">Prices!E462/Prices!E461-1</f>
        <v>0.000907532885985107</v>
      </c>
      <c r="F461" s="26" t="n">
        <f aca="false">Prices!F462/Prices!F461-1</f>
        <v>0.0205545825322329</v>
      </c>
      <c r="G461" s="26" t="n">
        <f aca="false">Prices!G462/Prices!G461-1</f>
        <v>0.0285714717887173</v>
      </c>
      <c r="H461" s="26" t="n">
        <f aca="false">Prices!H462/Prices!H461-1</f>
        <v>0.00613054453660289</v>
      </c>
      <c r="I461" s="26" t="n">
        <f aca="false">Prices!I462/Prices!I461-1</f>
        <v>0.0162650898715333</v>
      </c>
      <c r="J461" s="26" t="n">
        <f aca="false">Prices!J462/Prices!J461-1</f>
        <v>0.005909446423916</v>
      </c>
      <c r="K461" s="26" t="n">
        <f aca="false">SUMPRODUCT(B461:J461,Optimization!$C$7:$K$7)</f>
        <v>0.0106410943257445</v>
      </c>
      <c r="L461" s="26" t="n">
        <f aca="false">SUMPRODUCT(B461:J461,Optimization!$C$8:$K$8)</f>
        <v>0.00429346173032105</v>
      </c>
      <c r="M461" s="26" t="n">
        <f aca="false">SUMPRODUCT(B461:J461,Optimization!$C$9:$K$9)</f>
        <v>0.00604364549313716</v>
      </c>
      <c r="N461" s="26" t="n">
        <f aca="false">SUMPRODUCT(B461:J461,Optimization!$C$10:$K$10)</f>
        <v>0.00325330716571687</v>
      </c>
      <c r="O461" s="27" t="n">
        <f aca="false">IF(AND(A461&gt;=Inputs!$C$6,A461&lt;=Inputs!$C$7),1,0)</f>
        <v>0</v>
      </c>
      <c r="P461" s="28" t="n">
        <f aca="false">P460*(1+K461)</f>
        <v>138.627911403561</v>
      </c>
      <c r="Q461" s="28" t="n">
        <f aca="false">MAX(Q460,P461)</f>
        <v>149.315699175717</v>
      </c>
      <c r="R461" s="29" t="n">
        <f aca="false">P461/Q461-1</f>
        <v>-0.071578459808026</v>
      </c>
      <c r="S461" s="26" t="n">
        <f aca="false">IF(A461=Inputs!$C$12,"",F461)</f>
        <v>0.0205545825322329</v>
      </c>
      <c r="T461" s="27" t="n">
        <f aca="false">IF(AND(A461&gt;Risk_Metrics!$C$28,P461&gt;=Risk_Metrics!$C$30),1,0)</f>
        <v>1</v>
      </c>
      <c r="U461" s="26" t="n">
        <f aca="false">IF(A461=Inputs!$C$12,"",K461)</f>
        <v>0.0106410943257445</v>
      </c>
    </row>
    <row r="462" customFormat="false" ht="15" hidden="false" customHeight="false" outlineLevel="0" collapsed="false">
      <c r="A462" s="25" t="n">
        <f aca="false">Prices!A463</f>
        <v>44391</v>
      </c>
      <c r="B462" s="26" t="n">
        <f aca="false">Prices!B463/Prices!B462-1</f>
        <v>0.0239884903939613</v>
      </c>
      <c r="C462" s="26" t="n">
        <f aca="false">Prices!C463/Prices!C462-1</f>
        <v>0.0100294979333628</v>
      </c>
      <c r="D462" s="26" t="n">
        <f aca="false">Prices!D463/Prices!D462-1</f>
        <v>-0.0143964193429309</v>
      </c>
      <c r="E462" s="26" t="n">
        <f aca="false">Prices!E463/Prices!E462-1</f>
        <v>0.0364214005265646</v>
      </c>
      <c r="F462" s="26" t="n">
        <f aca="false">Prices!F463/Prices!F462-1</f>
        <v>-0.0112412209224052</v>
      </c>
      <c r="G462" s="26" t="n">
        <f aca="false">Prices!G463/Prices!G462-1</f>
        <v>0.0187908905228757</v>
      </c>
      <c r="H462" s="26" t="n">
        <f aca="false">Prices!H463/Prices!H462-1</f>
        <v>-0.00824372759856618</v>
      </c>
      <c r="I462" s="26" t="n">
        <f aca="false">Prices!I463/Prices!I462-1</f>
        <v>0.00414934770898956</v>
      </c>
      <c r="J462" s="26" t="n">
        <f aca="false">Prices!J463/Prices!J462-1</f>
        <v>-0.00544273866090717</v>
      </c>
      <c r="K462" s="26" t="n">
        <f aca="false">SUMPRODUCT(B462:J462,Optimization!$C$7:$K$7)</f>
        <v>0.00600616895121607</v>
      </c>
      <c r="L462" s="26" t="n">
        <f aca="false">SUMPRODUCT(B462:J462,Optimization!$C$8:$K$8)</f>
        <v>-0.00187746682455863</v>
      </c>
      <c r="M462" s="26" t="n">
        <f aca="false">SUMPRODUCT(B462:J462,Optimization!$C$9:$K$9)</f>
        <v>0.000876386594648409</v>
      </c>
      <c r="N462" s="26" t="n">
        <f aca="false">SUMPRODUCT(B462:J462,Optimization!$C$10:$K$10)</f>
        <v>-0.00223278065158061</v>
      </c>
      <c r="O462" s="27" t="n">
        <f aca="false">IF(AND(A462&gt;=Inputs!$C$6,A462&lt;=Inputs!$C$7),1,0)</f>
        <v>0</v>
      </c>
      <c r="P462" s="28" t="n">
        <f aca="false">P461*(1+K462)</f>
        <v>139.460534060805</v>
      </c>
      <c r="Q462" s="28" t="n">
        <f aca="false">MAX(Q461,P462)</f>
        <v>149.315699175717</v>
      </c>
      <c r="R462" s="29" t="n">
        <f aca="false">P462/Q462-1</f>
        <v>-0.0660022031796848</v>
      </c>
      <c r="S462" s="26" t="n">
        <f aca="false">IF(A462=Inputs!$C$12,"",F462)</f>
        <v>-0.0112412209224052</v>
      </c>
      <c r="T462" s="27" t="n">
        <f aca="false">IF(AND(A462&gt;Risk_Metrics!$C$28,P462&gt;=Risk_Metrics!$C$30),1,0)</f>
        <v>1</v>
      </c>
      <c r="U462" s="26" t="n">
        <f aca="false">IF(A462=Inputs!$C$12,"",K462)</f>
        <v>0.00600616895121607</v>
      </c>
    </row>
    <row r="463" customFormat="false" ht="15" hidden="false" customHeight="false" outlineLevel="0" collapsed="false">
      <c r="A463" s="25" t="n">
        <f aca="false">Prices!A464</f>
        <v>44392</v>
      </c>
      <c r="B463" s="26" t="n">
        <f aca="false">Prices!B464/Prices!B463-1</f>
        <v>0.0135732858794819</v>
      </c>
      <c r="C463" s="26" t="n">
        <f aca="false">Prices!C464/Prices!C463-1</f>
        <v>-0.00700940379617965</v>
      </c>
      <c r="D463" s="26" t="n">
        <f aca="false">Prices!D464/Prices!D463-1</f>
        <v>-0.015355804668322</v>
      </c>
      <c r="E463" s="26" t="n">
        <f aca="false">Prices!E464/Prices!E463-1</f>
        <v>0.00189555258397345</v>
      </c>
      <c r="F463" s="26" t="n">
        <f aca="false">Prices!F464/Prices!F463-1</f>
        <v>-0.02463297760813</v>
      </c>
      <c r="G463" s="26" t="n">
        <f aca="false">Prices!G464/Prices!G463-1</f>
        <v>-0.0196471523798254</v>
      </c>
      <c r="H463" s="26" t="n">
        <f aca="false">Prices!H464/Prices!H463-1</f>
        <v>-0.0213227322009397</v>
      </c>
      <c r="I463" s="26" t="n">
        <f aca="false">Prices!I464/Prices!I463-1</f>
        <v>-0.028040170364812</v>
      </c>
      <c r="J463" s="26" t="n">
        <f aca="false">Prices!J464/Prices!J463-1</f>
        <v>0.0031271715654837</v>
      </c>
      <c r="K463" s="26" t="n">
        <f aca="false">SUMPRODUCT(B463:J463,Optimization!$C$7:$K$7)</f>
        <v>-0.01082358122103</v>
      </c>
      <c r="L463" s="26" t="n">
        <f aca="false">SUMPRODUCT(B463:J463,Optimization!$C$8:$K$8)</f>
        <v>-0.00793079914051928</v>
      </c>
      <c r="M463" s="26" t="n">
        <f aca="false">SUMPRODUCT(B463:J463,Optimization!$C$9:$K$9)</f>
        <v>-0.00630130236461891</v>
      </c>
      <c r="N463" s="26" t="n">
        <f aca="false">SUMPRODUCT(B463:J463,Optimization!$C$10:$K$10)</f>
        <v>-0.00679216683655803</v>
      </c>
      <c r="O463" s="27" t="n">
        <f aca="false">IF(AND(A463&gt;=Inputs!$C$6,A463&lt;=Inputs!$C$7),1,0)</f>
        <v>0</v>
      </c>
      <c r="P463" s="28" t="n">
        <f aca="false">P462*(1+K463)</f>
        <v>137.95107164327</v>
      </c>
      <c r="Q463" s="28" t="n">
        <f aca="false">MAX(Q462,P463)</f>
        <v>149.315699175717</v>
      </c>
      <c r="R463" s="29" t="n">
        <f aca="false">P463/Q463-1</f>
        <v>-0.0761114041938324</v>
      </c>
      <c r="S463" s="26" t="n">
        <f aca="false">IF(A463=Inputs!$C$12,"",F463)</f>
        <v>-0.02463297760813</v>
      </c>
      <c r="T463" s="27" t="n">
        <f aca="false">IF(AND(A463&gt;Risk_Metrics!$C$28,P463&gt;=Risk_Metrics!$C$30),1,0)</f>
        <v>1</v>
      </c>
      <c r="U463" s="26" t="n">
        <f aca="false">IF(A463=Inputs!$C$12,"",K463)</f>
        <v>-0.01082358122103</v>
      </c>
    </row>
    <row r="464" customFormat="false" ht="15" hidden="false" customHeight="false" outlineLevel="0" collapsed="false">
      <c r="A464" s="25" t="n">
        <f aca="false">Prices!A465</f>
        <v>44393</v>
      </c>
      <c r="B464" s="26" t="n">
        <f aca="false">Prices!B465/Prices!B464-1</f>
        <v>-0.0123003474318093</v>
      </c>
      <c r="C464" s="26" t="n">
        <f aca="false">Prices!C465/Prices!C464-1</f>
        <v>-0.0241176470588236</v>
      </c>
      <c r="D464" s="26" t="n">
        <f aca="false">Prices!D465/Prices!D464-1</f>
        <v>-0.0110308478116833</v>
      </c>
      <c r="E464" s="26" t="n">
        <f aca="false">Prices!E465/Prices!E464-1</f>
        <v>-0.0146994908266553</v>
      </c>
      <c r="F464" s="26" t="n">
        <f aca="false">Prices!F465/Prices!F464-1</f>
        <v>0.0150558825835729</v>
      </c>
      <c r="G464" s="26" t="n">
        <f aca="false">Prices!G465/Prices!G464-1</f>
        <v>-0.0114519831716979</v>
      </c>
      <c r="H464" s="26" t="n">
        <f aca="false">Prices!H465/Prices!H464-1</f>
        <v>-0.0147710487444608</v>
      </c>
      <c r="I464" s="26" t="n">
        <f aca="false">Prices!I465/Prices!I464-1</f>
        <v>-0.0215608563619798</v>
      </c>
      <c r="J464" s="26" t="n">
        <f aca="false">Prices!J465/Prices!J464-1</f>
        <v>-0.0180117851226588</v>
      </c>
      <c r="K464" s="26" t="n">
        <f aca="false">SUMPRODUCT(B464:J464,Optimization!$C$7:$K$7)</f>
        <v>-0.0125431248829107</v>
      </c>
      <c r="L464" s="26" t="n">
        <f aca="false">SUMPRODUCT(B464:J464,Optimization!$C$8:$K$8)</f>
        <v>-0.0151300280376742</v>
      </c>
      <c r="M464" s="26" t="n">
        <f aca="false">SUMPRODUCT(B464:J464,Optimization!$C$9:$K$9)</f>
        <v>-0.016195179806885</v>
      </c>
      <c r="N464" s="26" t="n">
        <f aca="false">SUMPRODUCT(B464:J464,Optimization!$C$10:$K$10)</f>
        <v>-0.0144595840065651</v>
      </c>
      <c r="O464" s="27" t="n">
        <f aca="false">IF(AND(A464&gt;=Inputs!$C$6,A464&lt;=Inputs!$C$7),1,0)</f>
        <v>0</v>
      </c>
      <c r="P464" s="28" t="n">
        <f aca="false">P463*(1+K464)</f>
        <v>136.220734123917</v>
      </c>
      <c r="Q464" s="28" t="n">
        <f aca="false">MAX(Q463,P464)</f>
        <v>149.315699175717</v>
      </c>
      <c r="R464" s="29" t="n">
        <f aca="false">P464/Q464-1</f>
        <v>-0.0876998542289261</v>
      </c>
      <c r="S464" s="26" t="n">
        <f aca="false">IF(A464=Inputs!$C$12,"",F464)</f>
        <v>0.0150558825835729</v>
      </c>
      <c r="T464" s="27" t="n">
        <f aca="false">IF(AND(A464&gt;Risk_Metrics!$C$28,P464&gt;=Risk_Metrics!$C$30),1,0)</f>
        <v>1</v>
      </c>
      <c r="U464" s="26" t="n">
        <f aca="false">IF(A464=Inputs!$C$12,"",K464)</f>
        <v>-0.0125431248829107</v>
      </c>
    </row>
    <row r="465" customFormat="false" ht="15" hidden="false" customHeight="false" outlineLevel="0" collapsed="false">
      <c r="A465" s="25" t="n">
        <f aca="false">Prices!A466</f>
        <v>44396</v>
      </c>
      <c r="B465" s="26" t="n">
        <f aca="false">Prices!B466/Prices!B465-1</f>
        <v>-0.0141608516621472</v>
      </c>
      <c r="C465" s="26" t="n">
        <f aca="false">Prices!C466/Prices!C465-1</f>
        <v>-0.0108499095840868</v>
      </c>
      <c r="D465" s="26" t="n">
        <f aca="false">Prices!D466/Prices!D465-1</f>
        <v>-0.0123076923076924</v>
      </c>
      <c r="E465" s="26" t="n">
        <f aca="false">Prices!E466/Prices!E465-1</f>
        <v>-0.00664692791640742</v>
      </c>
      <c r="F465" s="26" t="n">
        <f aca="false">Prices!F466/Prices!F465-1</f>
        <v>-0.0877597099029687</v>
      </c>
      <c r="G465" s="26" t="n">
        <f aca="false">Prices!G466/Prices!G465-1</f>
        <v>-0.011170872983037</v>
      </c>
      <c r="H465" s="26" t="n">
        <f aca="false">Prices!H466/Prices!H465-1</f>
        <v>-0.0164917541229386</v>
      </c>
      <c r="I465" s="26" t="n">
        <f aca="false">Prices!I466/Prices!I465-1</f>
        <v>-0.00869025423059433</v>
      </c>
      <c r="J465" s="26" t="n">
        <f aca="false">Prices!J466/Prices!J465-1</f>
        <v>-0.010934726438541</v>
      </c>
      <c r="K465" s="26" t="n">
        <f aca="false">SUMPRODUCT(B465:J465,Optimization!$C$7:$K$7)</f>
        <v>-0.0198902999053793</v>
      </c>
      <c r="L465" s="26" t="n">
        <f aca="false">SUMPRODUCT(B465:J465,Optimization!$C$8:$K$8)</f>
        <v>-0.0118237233411651</v>
      </c>
      <c r="M465" s="26" t="n">
        <f aca="false">SUMPRODUCT(B465:J465,Optimization!$C$9:$K$9)</f>
        <v>-0.0117456312658613</v>
      </c>
      <c r="N465" s="26" t="n">
        <f aca="false">SUMPRODUCT(B465:J465,Optimization!$C$10:$K$10)</f>
        <v>-0.01210630840897</v>
      </c>
      <c r="O465" s="27" t="n">
        <f aca="false">IF(AND(A465&gt;=Inputs!$C$6,A465&lt;=Inputs!$C$7),1,0)</f>
        <v>0</v>
      </c>
      <c r="P465" s="28" t="n">
        <f aca="false">P464*(1+K465)</f>
        <v>133.511262868861</v>
      </c>
      <c r="Q465" s="28" t="n">
        <f aca="false">MAX(Q464,P465)</f>
        <v>149.315699175717</v>
      </c>
      <c r="R465" s="29" t="n">
        <f aca="false">P465/Q465-1</f>
        <v>-0.105845777732034</v>
      </c>
      <c r="S465" s="26" t="n">
        <f aca="false">IF(A465=Inputs!$C$12,"",F465)</f>
        <v>-0.0877597099029687</v>
      </c>
      <c r="T465" s="27" t="n">
        <f aca="false">IF(AND(A465&gt;Risk_Metrics!$C$28,P465&gt;=Risk_Metrics!$C$30),1,0)</f>
        <v>1</v>
      </c>
      <c r="U465" s="26" t="n">
        <f aca="false">IF(A465=Inputs!$C$12,"",K465)</f>
        <v>-0.0198902999053793</v>
      </c>
    </row>
    <row r="466" customFormat="false" ht="15" hidden="false" customHeight="false" outlineLevel="0" collapsed="false">
      <c r="A466" s="25" t="n">
        <f aca="false">Prices!A467</f>
        <v>44397</v>
      </c>
      <c r="B466" s="26" t="n">
        <f aca="false">Prices!B467/Prices!B466-1</f>
        <v>-0.00947433742973369</v>
      </c>
      <c r="C466" s="26" t="n">
        <f aca="false">Prices!C467/Prices!C466-1</f>
        <v>0.000609384521633283</v>
      </c>
      <c r="D466" s="26" t="n">
        <f aca="false">Prices!D467/Prices!D466-1</f>
        <v>0.0124610591900312</v>
      </c>
      <c r="E466" s="26" t="n">
        <f aca="false">Prices!E467/Prices!E466-1</f>
        <v>0.00371747211895901</v>
      </c>
      <c r="F466" s="26" t="n">
        <f aca="false">Prices!F467/Prices!F466-1</f>
        <v>0.0544303797468355</v>
      </c>
      <c r="G466" s="26" t="n">
        <f aca="false">Prices!G467/Prices!G466-1</f>
        <v>0.0188284518828452</v>
      </c>
      <c r="H466" s="26" t="n">
        <f aca="false">Prices!H467/Prices!H466-1</f>
        <v>0.0133384146341464</v>
      </c>
      <c r="I466" s="26" t="n">
        <f aca="false">Prices!I467/Prices!I466-1</f>
        <v>0.0103318406283082</v>
      </c>
      <c r="J466" s="26" t="n">
        <f aca="false">Prices!J467/Prices!J466-1</f>
        <v>0.0083808306568891</v>
      </c>
      <c r="K466" s="26" t="n">
        <f aca="false">SUMPRODUCT(B466:J466,Optimization!$C$7:$K$7)</f>
        <v>0.0125137217722127</v>
      </c>
      <c r="L466" s="26" t="n">
        <f aca="false">SUMPRODUCT(B466:J466,Optimization!$C$8:$K$8)</f>
        <v>0.00659081431948009</v>
      </c>
      <c r="M466" s="26" t="n">
        <f aca="false">SUMPRODUCT(B466:J466,Optimization!$C$9:$K$9)</f>
        <v>0.00551365304708628</v>
      </c>
      <c r="N466" s="26" t="n">
        <f aca="false">SUMPRODUCT(B466:J466,Optimization!$C$10:$K$10)</f>
        <v>0.0062524163176303</v>
      </c>
      <c r="O466" s="27" t="n">
        <f aca="false">IF(AND(A466&gt;=Inputs!$C$6,A466&lt;=Inputs!$C$7),1,0)</f>
        <v>0</v>
      </c>
      <c r="P466" s="28" t="n">
        <f aca="false">P465*(1+K466)</f>
        <v>135.181985665859</v>
      </c>
      <c r="Q466" s="28" t="n">
        <f aca="false">MAX(Q465,P466)</f>
        <v>149.315699175717</v>
      </c>
      <c r="R466" s="29" t="n">
        <f aca="false">P466/Q466-1</f>
        <v>-0.0946565805731235</v>
      </c>
      <c r="S466" s="26" t="n">
        <f aca="false">IF(A466=Inputs!$C$12,"",F466)</f>
        <v>0.0544303797468355</v>
      </c>
      <c r="T466" s="27" t="n">
        <f aca="false">IF(AND(A466&gt;Risk_Metrics!$C$28,P466&gt;=Risk_Metrics!$C$30),1,0)</f>
        <v>1</v>
      </c>
      <c r="U466" s="26" t="n">
        <f aca="false">IF(A466=Inputs!$C$12,"",K466)</f>
        <v>0.0125137217722127</v>
      </c>
    </row>
    <row r="467" customFormat="false" ht="15" hidden="false" customHeight="false" outlineLevel="0" collapsed="false">
      <c r="A467" s="25" t="n">
        <f aca="false">Prices!A468</f>
        <v>44398</v>
      </c>
      <c r="B467" s="26" t="n">
        <f aca="false">Prices!B468/Prices!B467-1</f>
        <v>-0.00431970571882023</v>
      </c>
      <c r="C467" s="26" t="n">
        <f aca="false">Prices!C468/Prices!C467-1</f>
        <v>-0.00426309378806333</v>
      </c>
      <c r="D467" s="26" t="n">
        <f aca="false">Prices!D468/Prices!D467-1</f>
        <v>-0.0157692307692308</v>
      </c>
      <c r="E467" s="26" t="n">
        <f aca="false">Prices!E468/Prices!E467-1</f>
        <v>-0.010222251851852</v>
      </c>
      <c r="F467" s="26" t="n">
        <f aca="false">Prices!F468/Prices!F467-1</f>
        <v>-0.0516206482593037</v>
      </c>
      <c r="G467" s="26" t="n">
        <f aca="false">Prices!G468/Prices!G467-1</f>
        <v>-0.00369609856262831</v>
      </c>
      <c r="H467" s="26" t="n">
        <f aca="false">Prices!H468/Prices!H467-1</f>
        <v>0.0139149680330952</v>
      </c>
      <c r="I467" s="26" t="n">
        <f aca="false">Prices!I468/Prices!I467-1</f>
        <v>-0.00743727920669368</v>
      </c>
      <c r="J467" s="26" t="n">
        <f aca="false">Prices!J468/Prices!J467-1</f>
        <v>0.0114942884437541</v>
      </c>
      <c r="K467" s="26" t="n">
        <f aca="false">SUMPRODUCT(B467:J467,Optimization!$C$7:$K$7)</f>
        <v>-0.00799100574219363</v>
      </c>
      <c r="L467" s="26" t="n">
        <f aca="false">SUMPRODUCT(B467:J467,Optimization!$C$8:$K$8)</f>
        <v>-0.00714444745102346</v>
      </c>
      <c r="M467" s="26" t="n">
        <f aca="false">SUMPRODUCT(B467:J467,Optimization!$C$9:$K$9)</f>
        <v>-0.00461439250552605</v>
      </c>
      <c r="N467" s="26" t="n">
        <f aca="false">SUMPRODUCT(B467:J467,Optimization!$C$10:$K$10)</f>
        <v>-0.00784259095013818</v>
      </c>
      <c r="O467" s="27" t="n">
        <f aca="false">IF(AND(A467&gt;=Inputs!$C$6,A467&lt;=Inputs!$C$7),1,0)</f>
        <v>0</v>
      </c>
      <c r="P467" s="28" t="n">
        <f aca="false">P466*(1+K467)</f>
        <v>134.101745642162</v>
      </c>
      <c r="Q467" s="28" t="n">
        <f aca="false">MAX(Q466,P467)</f>
        <v>149.315699175717</v>
      </c>
      <c r="R467" s="29" t="n">
        <f aca="false">P467/Q467-1</f>
        <v>-0.101891185036421</v>
      </c>
      <c r="S467" s="26" t="n">
        <f aca="false">IF(A467=Inputs!$C$12,"",F467)</f>
        <v>-0.0516206482593037</v>
      </c>
      <c r="T467" s="27" t="n">
        <f aca="false">IF(AND(A467&gt;Risk_Metrics!$C$28,P467&gt;=Risk_Metrics!$C$30),1,0)</f>
        <v>1</v>
      </c>
      <c r="U467" s="26" t="n">
        <f aca="false">IF(A467=Inputs!$C$12,"",K467)</f>
        <v>-0.00799100574219363</v>
      </c>
    </row>
    <row r="468" customFormat="false" ht="15" hidden="false" customHeight="false" outlineLevel="0" collapsed="false">
      <c r="A468" s="25" t="n">
        <f aca="false">Prices!A469</f>
        <v>44399</v>
      </c>
      <c r="B468" s="26" t="n">
        <f aca="false">Prices!B469/Prices!B468-1</f>
        <v>0.0135317118795932</v>
      </c>
      <c r="C468" s="26" t="n">
        <f aca="false">Prices!C469/Prices!C468-1</f>
        <v>0.00917431192660545</v>
      </c>
      <c r="D468" s="26" t="n">
        <f aca="false">Prices!D469/Prices!D468-1</f>
        <v>0.00703399765533419</v>
      </c>
      <c r="E468" s="26" t="n">
        <f aca="false">Prices!E469/Prices!E468-1</f>
        <v>0.0223021260979535</v>
      </c>
      <c r="F468" s="26" t="n">
        <f aca="false">Prices!F469/Prices!F468-1</f>
        <v>-0.0075949367088608</v>
      </c>
      <c r="G468" s="26" t="n">
        <f aca="false">Prices!G469/Prices!G468-1</f>
        <v>0.000412201154163183</v>
      </c>
      <c r="H468" s="26" t="n">
        <f aca="false">Prices!H469/Prices!H468-1</f>
        <v>-0.00222548227839325</v>
      </c>
      <c r="I468" s="26" t="n">
        <f aca="false">Prices!I469/Prices!I468-1</f>
        <v>-0.00967842677734687</v>
      </c>
      <c r="J468" s="26" t="n">
        <f aca="false">Prices!J469/Prices!J468-1</f>
        <v>0.00262233387023891</v>
      </c>
      <c r="K468" s="26" t="n">
        <f aca="false">SUMPRODUCT(B468:J468,Optimization!$C$7:$K$7)</f>
        <v>0.00395309297992083</v>
      </c>
      <c r="L468" s="26" t="n">
        <f aca="false">SUMPRODUCT(B468:J468,Optimization!$C$8:$K$8)</f>
        <v>0.00594915467287358</v>
      </c>
      <c r="M468" s="26" t="n">
        <f aca="false">SUMPRODUCT(B468:J468,Optimization!$C$9:$K$9)</f>
        <v>0.00521625035474556</v>
      </c>
      <c r="N468" s="26" t="n">
        <f aca="false">SUMPRODUCT(B468:J468,Optimization!$C$10:$K$10)</f>
        <v>0.00724402214351342</v>
      </c>
      <c r="O468" s="27" t="n">
        <f aca="false">IF(AND(A468&gt;=Inputs!$C$6,A468&lt;=Inputs!$C$7),1,0)</f>
        <v>0</v>
      </c>
      <c r="P468" s="28" t="n">
        <f aca="false">P467*(1+K468)</f>
        <v>134.631862311455</v>
      </c>
      <c r="Q468" s="28" t="n">
        <f aca="false">MAX(Q467,P468)</f>
        <v>149.315699175717</v>
      </c>
      <c r="R468" s="29" t="n">
        <f aca="false">P468/Q468-1</f>
        <v>-0.0983408773847835</v>
      </c>
      <c r="S468" s="26" t="n">
        <f aca="false">IF(A468=Inputs!$C$12,"",F468)</f>
        <v>-0.0075949367088608</v>
      </c>
      <c r="T468" s="27" t="n">
        <f aca="false">IF(AND(A468&gt;Risk_Metrics!$C$28,P468&gt;=Risk_Metrics!$C$30),1,0)</f>
        <v>1</v>
      </c>
      <c r="U468" s="26" t="n">
        <f aca="false">IF(A468=Inputs!$C$12,"",K468)</f>
        <v>0.00395309297992083</v>
      </c>
    </row>
    <row r="469" customFormat="false" ht="15" hidden="false" customHeight="false" outlineLevel="0" collapsed="false">
      <c r="A469" s="25" t="n">
        <f aca="false">Prices!A470</f>
        <v>44400</v>
      </c>
      <c r="B469" s="26" t="n">
        <f aca="false">Prices!B470/Prices!B469-1</f>
        <v>-0.00397472470521632</v>
      </c>
      <c r="C469" s="26" t="n">
        <f aca="false">Prices!C470/Prices!C469-1</f>
        <v>-0.00909090909090904</v>
      </c>
      <c r="D469" s="26" t="n">
        <f aca="false">Prices!D470/Prices!D469-1</f>
        <v>-0.00465657741559955</v>
      </c>
      <c r="E469" s="26" t="n">
        <f aca="false">Prices!E470/Prices!E469-1</f>
        <v>0.000292781831942035</v>
      </c>
      <c r="F469" s="26" t="n">
        <f aca="false">Prices!F470/Prices!F469-1</f>
        <v>-0.00255102040816324</v>
      </c>
      <c r="G469" s="26" t="n">
        <f aca="false">Prices!G470/Prices!G469-1</f>
        <v>-0.0230737948084054</v>
      </c>
      <c r="H469" s="26" t="n">
        <f aca="false">Prices!H470/Prices!H469-1</f>
        <v>-0.00594795539033455</v>
      </c>
      <c r="I469" s="26" t="n">
        <f aca="false">Prices!I470/Prices!I469-1</f>
        <v>-0.00189151960565959</v>
      </c>
      <c r="J469" s="26" t="n">
        <f aca="false">Prices!J470/Prices!J469-1</f>
        <v>-0.00505661739468044</v>
      </c>
      <c r="K469" s="26" t="n">
        <f aca="false">SUMPRODUCT(B469:J469,Optimization!$C$7:$K$7)</f>
        <v>-0.00621670410966957</v>
      </c>
      <c r="L469" s="26" t="n">
        <f aca="false">SUMPRODUCT(B469:J469,Optimization!$C$8:$K$8)</f>
        <v>-0.00491947200381288</v>
      </c>
      <c r="M469" s="26" t="n">
        <f aca="false">SUMPRODUCT(B469:J469,Optimization!$C$9:$K$9)</f>
        <v>-0.00489197923794799</v>
      </c>
      <c r="N469" s="26" t="n">
        <f aca="false">SUMPRODUCT(B469:J469,Optimization!$C$10:$K$10)</f>
        <v>-0.00510754881342332</v>
      </c>
      <c r="O469" s="27" t="n">
        <f aca="false">IF(AND(A469&gt;=Inputs!$C$6,A469&lt;=Inputs!$C$7),1,0)</f>
        <v>0</v>
      </c>
      <c r="P469" s="28" t="n">
        <f aca="false">P468*(1+K469)</f>
        <v>133.794895859731</v>
      </c>
      <c r="Q469" s="28" t="n">
        <f aca="false">MAX(Q468,P469)</f>
        <v>149.315699175717</v>
      </c>
      <c r="R469" s="29" t="n">
        <f aca="false">P469/Q469-1</f>
        <v>-0.103946225357867</v>
      </c>
      <c r="S469" s="26" t="n">
        <f aca="false">IF(A469=Inputs!$C$12,"",F469)</f>
        <v>-0.00255102040816324</v>
      </c>
      <c r="T469" s="27" t="n">
        <f aca="false">IF(AND(A469&gt;Risk_Metrics!$C$28,P469&gt;=Risk_Metrics!$C$30),1,0)</f>
        <v>1</v>
      </c>
      <c r="U469" s="26" t="n">
        <f aca="false">IF(A469=Inputs!$C$12,"",K469)</f>
        <v>-0.00621670410966957</v>
      </c>
    </row>
    <row r="470" customFormat="false" ht="15" hidden="false" customHeight="false" outlineLevel="0" collapsed="false">
      <c r="A470" s="25" t="n">
        <f aca="false">Prices!A471</f>
        <v>44403</v>
      </c>
      <c r="B470" s="26" t="n">
        <f aca="false">Prices!B471/Prices!B470-1</f>
        <v>-0.0149391789131531</v>
      </c>
      <c r="C470" s="26" t="n">
        <f aca="false">Prices!C471/Prices!C470-1</f>
        <v>0.00366972477064209</v>
      </c>
      <c r="D470" s="26" t="n">
        <f aca="false">Prices!D471/Prices!D470-1</f>
        <v>0.0109161793372321</v>
      </c>
      <c r="E470" s="26" t="n">
        <f aca="false">Prices!E471/Prices!E470-1</f>
        <v>-0.00439114461358303</v>
      </c>
      <c r="F470" s="26" t="n">
        <f aca="false">Prices!F471/Prices!F470-1</f>
        <v>-0.0255754475703325</v>
      </c>
      <c r="G470" s="26" t="n">
        <f aca="false">Prices!G471/Prices!G470-1</f>
        <v>-0.00337410389599757</v>
      </c>
      <c r="H470" s="26" t="n">
        <f aca="false">Prices!H471/Prices!H470-1</f>
        <v>0.0272998878085267</v>
      </c>
      <c r="I470" s="26" t="n">
        <f aca="false">Prices!I471/Prices!I470-1</f>
        <v>0.0015792482627921</v>
      </c>
      <c r="J470" s="26" t="n">
        <f aca="false">Prices!J471/Prices!J470-1</f>
        <v>0.0217314663056922</v>
      </c>
      <c r="K470" s="26" t="n">
        <f aca="false">SUMPRODUCT(B470:J470,Optimization!$C$7:$K$7)</f>
        <v>0.00187962572131322</v>
      </c>
      <c r="L470" s="26" t="n">
        <f aca="false">SUMPRODUCT(B470:J470,Optimization!$C$8:$K$8)</f>
        <v>0.00677861084410564</v>
      </c>
      <c r="M470" s="26" t="n">
        <f aca="false">SUMPRODUCT(B470:J470,Optimization!$C$9:$K$9)</f>
        <v>0.0062322333688272</v>
      </c>
      <c r="N470" s="26" t="n">
        <f aca="false">SUMPRODUCT(B470:J470,Optimization!$C$10:$K$10)</f>
        <v>0.00658161765865833</v>
      </c>
      <c r="O470" s="27" t="n">
        <f aca="false">IF(AND(A470&gt;=Inputs!$C$6,A470&lt;=Inputs!$C$7),1,0)</f>
        <v>0</v>
      </c>
      <c r="P470" s="28" t="n">
        <f aca="false">P469*(1+K470)</f>
        <v>134.046380187369</v>
      </c>
      <c r="Q470" s="28" t="n">
        <f aca="false">MAX(Q469,P470)</f>
        <v>149.315699175717</v>
      </c>
      <c r="R470" s="29" t="n">
        <f aca="false">P470/Q470-1</f>
        <v>-0.102261979635369</v>
      </c>
      <c r="S470" s="26" t="n">
        <f aca="false">IF(A470=Inputs!$C$12,"",F470)</f>
        <v>-0.0255754475703325</v>
      </c>
      <c r="T470" s="27" t="n">
        <f aca="false">IF(AND(A470&gt;Risk_Metrics!$C$28,P470&gt;=Risk_Metrics!$C$30),1,0)</f>
        <v>1</v>
      </c>
      <c r="U470" s="26" t="n">
        <f aca="false">IF(A470=Inputs!$C$12,"",K470)</f>
        <v>0.00187962572131322</v>
      </c>
    </row>
    <row r="471" customFormat="false" ht="15" hidden="false" customHeight="false" outlineLevel="0" collapsed="false">
      <c r="A471" s="25" t="n">
        <f aca="false">Prices!A472</f>
        <v>44404</v>
      </c>
      <c r="B471" s="26" t="n">
        <f aca="false">Prices!B472/Prices!B471-1</f>
        <v>-0.0250337184491655</v>
      </c>
      <c r="C471" s="26" t="n">
        <f aca="false">Prices!C472/Prices!C471-1</f>
        <v>-0.0188909201706275</v>
      </c>
      <c r="D471" s="26" t="n">
        <f aca="false">Prices!D472/Prices!D471-1</f>
        <v>-0.0196683378326262</v>
      </c>
      <c r="E471" s="26" t="n">
        <f aca="false">Prices!E472/Prices!E471-1</f>
        <v>-0.0177888717048901</v>
      </c>
      <c r="F471" s="26" t="n">
        <f aca="false">Prices!F472/Prices!F471-1</f>
        <v>-0.020997375328084</v>
      </c>
      <c r="G471" s="26" t="n">
        <f aca="false">Prices!G472/Prices!G471-1</f>
        <v>-0.0283537887580952</v>
      </c>
      <c r="H471" s="26" t="n">
        <f aca="false">Prices!H472/Prices!H471-1</f>
        <v>-0.0116490357353126</v>
      </c>
      <c r="I471" s="26" t="n">
        <f aca="false">Prices!I472/Prices!I471-1</f>
        <v>-0.0239671404593863</v>
      </c>
      <c r="J471" s="26" t="n">
        <f aca="false">Prices!J472/Prices!J471-1</f>
        <v>-0.0207547001844717</v>
      </c>
      <c r="K471" s="26" t="n">
        <f aca="false">SUMPRODUCT(B471:J471,Optimization!$C$7:$K$7)</f>
        <v>-0.0207893209580732</v>
      </c>
      <c r="L471" s="26" t="n">
        <f aca="false">SUMPRODUCT(B471:J471,Optimization!$C$8:$K$8)</f>
        <v>-0.0210139786684896</v>
      </c>
      <c r="M471" s="26" t="n">
        <f aca="false">SUMPRODUCT(B471:J471,Optimization!$C$9:$K$9)</f>
        <v>-0.0213845841451464</v>
      </c>
      <c r="N471" s="26" t="n">
        <f aca="false">SUMPRODUCT(B471:J471,Optimization!$C$10:$K$10)</f>
        <v>-0.0208269177975184</v>
      </c>
      <c r="O471" s="27" t="n">
        <f aca="false">IF(AND(A471&gt;=Inputs!$C$6,A471&lt;=Inputs!$C$7),1,0)</f>
        <v>0</v>
      </c>
      <c r="P471" s="28" t="n">
        <f aca="false">P470*(1+K471)</f>
        <v>131.259646966386</v>
      </c>
      <c r="Q471" s="28" t="n">
        <f aca="false">MAX(Q470,P471)</f>
        <v>149.315699175717</v>
      </c>
      <c r="R471" s="29" t="n">
        <f aca="false">P471/Q471-1</f>
        <v>-0.120925343476995</v>
      </c>
      <c r="S471" s="26" t="n">
        <f aca="false">IF(A471=Inputs!$C$12,"",F471)</f>
        <v>-0.020997375328084</v>
      </c>
      <c r="T471" s="27" t="n">
        <f aca="false">IF(AND(A471&gt;Risk_Metrics!$C$28,P471&gt;=Risk_Metrics!$C$30),1,0)</f>
        <v>1</v>
      </c>
      <c r="U471" s="26" t="n">
        <f aca="false">IF(A471=Inputs!$C$12,"",K471)</f>
        <v>-0.0207893209580732</v>
      </c>
    </row>
    <row r="472" customFormat="false" ht="15" hidden="false" customHeight="false" outlineLevel="0" collapsed="false">
      <c r="A472" s="25" t="n">
        <f aca="false">Prices!A473</f>
        <v>44405</v>
      </c>
      <c r="B472" s="26" t="n">
        <f aca="false">Prices!B473/Prices!B472-1</f>
        <v>-0.00554021941678862</v>
      </c>
      <c r="C472" s="26" t="n">
        <f aca="false">Prices!C473/Prices!C472-1</f>
        <v>-0.0161490683229815</v>
      </c>
      <c r="D472" s="26" t="n">
        <f aca="false">Prices!D473/Prices!D472-1</f>
        <v>-0.00354051927616061</v>
      </c>
      <c r="E472" s="26" t="n">
        <f aca="false">Prices!E473/Prices!E472-1</f>
        <v>-0.0100284241888465</v>
      </c>
      <c r="F472" s="26" t="n">
        <f aca="false">Prices!F473/Prices!F472-1</f>
        <v>0.00134048257372643</v>
      </c>
      <c r="G472" s="26" t="n">
        <f aca="false">Prices!G473/Prices!G472-1</f>
        <v>-0.00130657671195888</v>
      </c>
      <c r="H472" s="26" t="n">
        <f aca="false">Prices!H473/Prices!H472-1</f>
        <v>0.0206261141804789</v>
      </c>
      <c r="I472" s="26" t="n">
        <f aca="false">Prices!I473/Prices!I472-1</f>
        <v>0.00516962826592482</v>
      </c>
      <c r="J472" s="26" t="n">
        <f aca="false">Prices!J473/Prices!J472-1</f>
        <v>0.0273253021544928</v>
      </c>
      <c r="K472" s="26" t="n">
        <f aca="false">SUMPRODUCT(B472:J472,Optimization!$C$7:$K$7)</f>
        <v>0.00198852436198743</v>
      </c>
      <c r="L472" s="26" t="n">
        <f aca="false">SUMPRODUCT(B472:J472,Optimization!$C$8:$K$8)</f>
        <v>0.000466356766704253</v>
      </c>
      <c r="M472" s="26" t="n">
        <f aca="false">SUMPRODUCT(B472:J472,Optimization!$C$9:$K$9)</f>
        <v>0.00253717866556621</v>
      </c>
      <c r="N472" s="26" t="n">
        <f aca="false">SUMPRODUCT(B472:J472,Optimization!$C$10:$K$10)</f>
        <v>-0.000785117698523976</v>
      </c>
      <c r="O472" s="27" t="n">
        <f aca="false">IF(AND(A472&gt;=Inputs!$C$6,A472&lt;=Inputs!$C$7),1,0)</f>
        <v>0</v>
      </c>
      <c r="P472" s="28" t="n">
        <f aca="false">P471*(1+K472)</f>
        <v>131.520659972124</v>
      </c>
      <c r="Q472" s="28" t="n">
        <f aca="false">MAX(Q471,P472)</f>
        <v>149.315699175717</v>
      </c>
      <c r="R472" s="29" t="n">
        <f aca="false">P472/Q472-1</f>
        <v>-0.119177282106493</v>
      </c>
      <c r="S472" s="26" t="n">
        <f aca="false">IF(A472=Inputs!$C$12,"",F472)</f>
        <v>0.00134048257372643</v>
      </c>
      <c r="T472" s="27" t="n">
        <f aca="false">IF(AND(A472&gt;Risk_Metrics!$C$28,P472&gt;=Risk_Metrics!$C$30),1,0)</f>
        <v>1</v>
      </c>
      <c r="U472" s="26" t="n">
        <f aca="false">IF(A472=Inputs!$C$12,"",K472)</f>
        <v>0.00198852436198743</v>
      </c>
    </row>
    <row r="473" customFormat="false" ht="15" hidden="false" customHeight="false" outlineLevel="0" collapsed="false">
      <c r="A473" s="25" t="n">
        <f aca="false">Prices!A474</f>
        <v>44406</v>
      </c>
      <c r="B473" s="26" t="n">
        <f aca="false">Prices!B474/Prices!B473-1</f>
        <v>-0.00846360653368783</v>
      </c>
      <c r="C473" s="26" t="n">
        <f aca="false">Prices!C474/Prices!C473-1</f>
        <v>-0.00189393939393934</v>
      </c>
      <c r="D473" s="26" t="n">
        <f aca="false">Prices!D474/Prices!D473-1</f>
        <v>-0.0055270035530991</v>
      </c>
      <c r="E473" s="26" t="n">
        <f aca="false">Prices!E474/Prices!E473-1</f>
        <v>0.0143634262830876</v>
      </c>
      <c r="F473" s="26" t="n">
        <f aca="false">Prices!F474/Prices!F473-1</f>
        <v>-0.00937081659973216</v>
      </c>
      <c r="G473" s="26" t="n">
        <f aca="false">Prices!G474/Prices!G473-1</f>
        <v>0.053641517662451</v>
      </c>
      <c r="H473" s="26" t="n">
        <f aca="false">Prices!H474/Prices!H473-1</f>
        <v>0.00360880561561916</v>
      </c>
      <c r="I473" s="26" t="n">
        <f aca="false">Prices!I474/Prices!I473-1</f>
        <v>-0.0102860813151372</v>
      </c>
      <c r="J473" s="26" t="n">
        <f aca="false">Prices!J474/Prices!J473-1</f>
        <v>-0.0147485332971391</v>
      </c>
      <c r="K473" s="26" t="n">
        <f aca="false">SUMPRODUCT(B473:J473,Optimization!$C$7:$K$7)</f>
        <v>0.002369307652047</v>
      </c>
      <c r="L473" s="26" t="n">
        <f aca="false">SUMPRODUCT(B473:J473,Optimization!$C$8:$K$8)</f>
        <v>-0.00750954038730098</v>
      </c>
      <c r="M473" s="26" t="n">
        <f aca="false">SUMPRODUCT(B473:J473,Optimization!$C$9:$K$9)</f>
        <v>-0.00831356529890851</v>
      </c>
      <c r="N473" s="26" t="n">
        <f aca="false">SUMPRODUCT(B473:J473,Optimization!$C$10:$K$10)</f>
        <v>-0.00707323763929358</v>
      </c>
      <c r="O473" s="27" t="n">
        <f aca="false">IF(AND(A473&gt;=Inputs!$C$6,A473&lt;=Inputs!$C$7),1,0)</f>
        <v>0</v>
      </c>
      <c r="P473" s="28" t="n">
        <f aca="false">P472*(1+K473)</f>
        <v>131.832272878199</v>
      </c>
      <c r="Q473" s="28" t="n">
        <f aca="false">MAX(Q472,P473)</f>
        <v>149.315699175717</v>
      </c>
      <c r="R473" s="29" t="n">
        <f aca="false">P473/Q473-1</f>
        <v>-0.117090342100891</v>
      </c>
      <c r="S473" s="26" t="n">
        <f aca="false">IF(A473=Inputs!$C$12,"",F473)</f>
        <v>-0.00937081659973216</v>
      </c>
      <c r="T473" s="27" t="n">
        <f aca="false">IF(AND(A473&gt;Risk_Metrics!$C$28,P473&gt;=Risk_Metrics!$C$30),1,0)</f>
        <v>1</v>
      </c>
      <c r="U473" s="26" t="n">
        <f aca="false">IF(A473=Inputs!$C$12,"",K473)</f>
        <v>0.002369307652047</v>
      </c>
    </row>
    <row r="474" customFormat="false" ht="15" hidden="false" customHeight="false" outlineLevel="0" collapsed="false">
      <c r="A474" s="25" t="n">
        <f aca="false">Prices!A475</f>
        <v>44407</v>
      </c>
      <c r="B474" s="26" t="n">
        <f aca="false">Prices!B475/Prices!B474-1</f>
        <v>-0.0219341538000815</v>
      </c>
      <c r="C474" s="26" t="n">
        <f aca="false">Prices!C475/Prices!C474-1</f>
        <v>-0.0354206198608475</v>
      </c>
      <c r="D474" s="26" t="n">
        <f aca="false">Prices!D475/Prices!D474-1</f>
        <v>-0.0230250090105196</v>
      </c>
      <c r="E474" s="26" t="n">
        <f aca="false">Prices!E475/Prices!E474-1</f>
        <v>-0.0736323490017796</v>
      </c>
      <c r="F474" s="26" t="n">
        <f aca="false">Prices!F475/Prices!F474-1</f>
        <v>-0.0418918918918919</v>
      </c>
      <c r="G474" s="26" t="n">
        <f aca="false">Prices!G475/Prices!G474-1</f>
        <v>-0.0335264900662251</v>
      </c>
      <c r="H474" s="26" t="n">
        <f aca="false">Prices!H475/Prices!H474-1</f>
        <v>-0.0323624247523346</v>
      </c>
      <c r="I474" s="26" t="n">
        <f aca="false">Prices!I475/Prices!I474-1</f>
        <v>-0.0227346858481752</v>
      </c>
      <c r="J474" s="26" t="n">
        <f aca="false">Prices!J475/Prices!J474-1</f>
        <v>-0.0589253093363329</v>
      </c>
      <c r="K474" s="26" t="n">
        <f aca="false">SUMPRODUCT(B474:J474,Optimization!$C$7:$K$7)</f>
        <v>-0.038161437063132</v>
      </c>
      <c r="L474" s="26" t="n">
        <f aca="false">SUMPRODUCT(B474:J474,Optimization!$C$8:$K$8)</f>
        <v>-0.0303717132259924</v>
      </c>
      <c r="M474" s="26" t="n">
        <f aca="false">SUMPRODUCT(B474:J474,Optimization!$C$9:$K$9)</f>
        <v>-0.0328911035768606</v>
      </c>
      <c r="N474" s="26" t="n">
        <f aca="false">SUMPRODUCT(B474:J474,Optimization!$C$10:$K$10)</f>
        <v>-0.0298103444596146</v>
      </c>
      <c r="O474" s="27" t="n">
        <f aca="false">IF(AND(A474&gt;=Inputs!$C$6,A474&lt;=Inputs!$C$7),1,0)</f>
        <v>0</v>
      </c>
      <c r="P474" s="28" t="n">
        <f aca="false">P473*(1+K474)</f>
        <v>126.801363893868</v>
      </c>
      <c r="Q474" s="28" t="n">
        <f aca="false">MAX(Q473,P474)</f>
        <v>149.315699175717</v>
      </c>
      <c r="R474" s="29" t="n">
        <f aca="false">P474/Q474-1</f>
        <v>-0.15078344344324</v>
      </c>
      <c r="S474" s="26" t="n">
        <f aca="false">IF(A474=Inputs!$C$12,"",F474)</f>
        <v>-0.0418918918918919</v>
      </c>
      <c r="T474" s="27" t="n">
        <f aca="false">IF(AND(A474&gt;Risk_Metrics!$C$28,P474&gt;=Risk_Metrics!$C$30),1,0)</f>
        <v>0</v>
      </c>
      <c r="U474" s="26" t="n">
        <f aca="false">IF(A474=Inputs!$C$12,"",K474)</f>
        <v>-0.038161437063132</v>
      </c>
    </row>
    <row r="475" customFormat="false" ht="15" hidden="false" customHeight="false" outlineLevel="0" collapsed="false">
      <c r="A475" s="25" t="n">
        <f aca="false">Prices!A476</f>
        <v>44410</v>
      </c>
      <c r="B475" s="26" t="n">
        <f aca="false">Prices!B476/Prices!B475-1</f>
        <v>0.0172338163024905</v>
      </c>
      <c r="C475" s="26" t="n">
        <f aca="false">Prices!C476/Prices!C475-1</f>
        <v>0.0242622950819671</v>
      </c>
      <c r="D475" s="26" t="n">
        <f aca="false">Prices!D476/Prices!D475-1</f>
        <v>-0.00853315690641388</v>
      </c>
      <c r="E475" s="26" t="n">
        <f aca="false">Prices!E476/Prices!E475-1</f>
        <v>-0.0157683663469552</v>
      </c>
      <c r="F475" s="26" t="n">
        <f aca="false">Prices!F476/Prices!F475-1</f>
        <v>0.0253878702397743</v>
      </c>
      <c r="G475" s="26" t="n">
        <f aca="false">Prices!G476/Prices!G475-1</f>
        <v>0.0286937901498929</v>
      </c>
      <c r="H475" s="26" t="n">
        <f aca="false">Prices!H476/Prices!H475-1</f>
        <v>-0.018580453363062</v>
      </c>
      <c r="I475" s="26" t="n">
        <f aca="false">Prices!I476/Prices!I475-1</f>
        <v>0.0199402126952475</v>
      </c>
      <c r="J475" s="26" t="n">
        <f aca="false">Prices!J476/Prices!J475-1</f>
        <v>0.00156305624194464</v>
      </c>
      <c r="K475" s="26" t="n">
        <f aca="false">SUMPRODUCT(B475:J475,Optimization!$C$7:$K$7)</f>
        <v>0.00824434045498732</v>
      </c>
      <c r="L475" s="26" t="n">
        <f aca="false">SUMPRODUCT(B475:J475,Optimization!$C$8:$K$8)</f>
        <v>0.00426718843274889</v>
      </c>
      <c r="M475" s="26" t="n">
        <f aca="false">SUMPRODUCT(B475:J475,Optimization!$C$9:$K$9)</f>
        <v>0.00731792053350161</v>
      </c>
      <c r="N475" s="26" t="n">
        <f aca="false">SUMPRODUCT(B475:J475,Optimization!$C$10:$K$10)</f>
        <v>0.00305998871562309</v>
      </c>
      <c r="O475" s="27" t="n">
        <f aca="false">IF(AND(A475&gt;=Inputs!$C$6,A475&lt;=Inputs!$C$7),1,0)</f>
        <v>0</v>
      </c>
      <c r="P475" s="28" t="n">
        <f aca="false">P474*(1+K475)</f>
        <v>127.846757507965</v>
      </c>
      <c r="Q475" s="28" t="n">
        <f aca="false">MAX(Q474,P475)</f>
        <v>149.315699175717</v>
      </c>
      <c r="R475" s="29" t="n">
        <f aca="false">P475/Q475-1</f>
        <v>-0.143782213030974</v>
      </c>
      <c r="S475" s="26" t="n">
        <f aca="false">IF(A475=Inputs!$C$12,"",F475)</f>
        <v>0.0253878702397743</v>
      </c>
      <c r="T475" s="27" t="n">
        <f aca="false">IF(AND(A475&gt;Risk_Metrics!$C$28,P475&gt;=Risk_Metrics!$C$30),1,0)</f>
        <v>0</v>
      </c>
      <c r="U475" s="26" t="n">
        <f aca="false">IF(A475=Inputs!$C$12,"",K475)</f>
        <v>0.00824434045498732</v>
      </c>
    </row>
    <row r="476" customFormat="false" ht="15" hidden="false" customHeight="false" outlineLevel="0" collapsed="false">
      <c r="A476" s="25" t="n">
        <f aca="false">Prices!A477</f>
        <v>44411</v>
      </c>
      <c r="B476" s="26" t="n">
        <f aca="false">Prices!B477/Prices!B476-1</f>
        <v>-0.00054303865023797</v>
      </c>
      <c r="C476" s="26" t="n">
        <f aca="false">Prices!C477/Prices!C476-1</f>
        <v>0.0249679897567223</v>
      </c>
      <c r="D476" s="26" t="n">
        <f aca="false">Prices!D477/Prices!D476-1</f>
        <v>0.00368852459016389</v>
      </c>
      <c r="E476" s="26" t="n">
        <f aca="false">Prices!E477/Prices!E476-1</f>
        <v>-0.000980823965369471</v>
      </c>
      <c r="F476" s="26" t="n">
        <f aca="false">Prices!F477/Prices!F476-1</f>
        <v>-0.0330123796423658</v>
      </c>
      <c r="G476" s="26" t="n">
        <f aca="false">Prices!G477/Prices!G476-1</f>
        <v>-0.00915907577019148</v>
      </c>
      <c r="H476" s="26" t="n">
        <f aca="false">Prices!H477/Prices!H476-1</f>
        <v>0.0166603559257856</v>
      </c>
      <c r="I476" s="26" t="n">
        <f aca="false">Prices!I477/Prices!I476-1</f>
        <v>-0.0289997383838468</v>
      </c>
      <c r="J476" s="26" t="n">
        <f aca="false">Prices!J477/Prices!J476-1</f>
        <v>0.0340585605434682</v>
      </c>
      <c r="K476" s="26" t="n">
        <f aca="false">SUMPRODUCT(B476:J476,Optimization!$C$7:$K$7)</f>
        <v>0.000742263822680944</v>
      </c>
      <c r="L476" s="26" t="n">
        <f aca="false">SUMPRODUCT(B476:J476,Optimization!$C$8:$K$8)</f>
        <v>0.00757885734165111</v>
      </c>
      <c r="M476" s="26" t="n">
        <f aca="false">SUMPRODUCT(B476:J476,Optimization!$C$9:$K$9)</f>
        <v>0.00847657523314598</v>
      </c>
      <c r="N476" s="26" t="n">
        <f aca="false">SUMPRODUCT(B476:J476,Optimization!$C$10:$K$10)</f>
        <v>0.0091803961832841</v>
      </c>
      <c r="O476" s="27" t="n">
        <f aca="false">IF(AND(A476&gt;=Inputs!$C$6,A476&lt;=Inputs!$C$7),1,0)</f>
        <v>0</v>
      </c>
      <c r="P476" s="28" t="n">
        <f aca="false">P475*(1+K476)</f>
        <v>127.941653530911</v>
      </c>
      <c r="Q476" s="28" t="n">
        <f aca="false">MAX(Q475,P476)</f>
        <v>149.315699175717</v>
      </c>
      <c r="R476" s="29" t="n">
        <f aca="false">P476/Q476-1</f>
        <v>-0.143146673543371</v>
      </c>
      <c r="S476" s="26" t="n">
        <f aca="false">IF(A476=Inputs!$C$12,"",F476)</f>
        <v>-0.0330123796423658</v>
      </c>
      <c r="T476" s="27" t="n">
        <f aca="false">IF(AND(A476&gt;Risk_Metrics!$C$28,P476&gt;=Risk_Metrics!$C$30),1,0)</f>
        <v>0</v>
      </c>
      <c r="U476" s="26" t="n">
        <f aca="false">IF(A476=Inputs!$C$12,"",K476)</f>
        <v>0.000742263822680944</v>
      </c>
    </row>
    <row r="477" customFormat="false" ht="15" hidden="false" customHeight="false" outlineLevel="0" collapsed="false">
      <c r="A477" s="25" t="n">
        <f aca="false">Prices!A478</f>
        <v>44412</v>
      </c>
      <c r="B477" s="26" t="n">
        <f aca="false">Prices!B478/Prices!B477-1</f>
        <v>-0.00260782356414024</v>
      </c>
      <c r="C477" s="26" t="n">
        <f aca="false">Prices!C478/Prices!C477-1</f>
        <v>-0.00437226733291707</v>
      </c>
      <c r="D477" s="26" t="n">
        <f aca="false">Prices!D478/Prices!D477-1</f>
        <v>0.0208248264597797</v>
      </c>
      <c r="E477" s="26" t="n">
        <f aca="false">Prices!E478/Prices!E477-1</f>
        <v>-0.0319096869266947</v>
      </c>
      <c r="F477" s="26" t="n">
        <f aca="false">Prices!F478/Prices!F477-1</f>
        <v>-0.0270270270270271</v>
      </c>
      <c r="G477" s="26" t="n">
        <f aca="false">Prices!G478/Prices!G477-1</f>
        <v>-0.0121848324447408</v>
      </c>
      <c r="H477" s="26" t="n">
        <f aca="false">Prices!H478/Prices!H477-1</f>
        <v>-0.0212290130353818</v>
      </c>
      <c r="I477" s="26" t="n">
        <f aca="false">Prices!I478/Prices!I477-1</f>
        <v>-0.0258388599274786</v>
      </c>
      <c r="J477" s="26" t="n">
        <f aca="false">Prices!J478/Prices!J477-1</f>
        <v>-0.00106535867423085</v>
      </c>
      <c r="K477" s="26" t="n">
        <f aca="false">SUMPRODUCT(B477:J477,Optimization!$C$7:$K$7)</f>
        <v>-0.0117122269414257</v>
      </c>
      <c r="L477" s="26" t="n">
        <f aca="false">SUMPRODUCT(B477:J477,Optimization!$C$8:$K$8)</f>
        <v>0.00563093897035898</v>
      </c>
      <c r="M477" s="26" t="n">
        <f aca="false">SUMPRODUCT(B477:J477,Optimization!$C$9:$K$9)</f>
        <v>0.00129176941044618</v>
      </c>
      <c r="N477" s="26" t="n">
        <f aca="false">SUMPRODUCT(B477:J477,Optimization!$C$10:$K$10)</f>
        <v>0.0083155147801154</v>
      </c>
      <c r="O477" s="27" t="n">
        <f aca="false">IF(AND(A477&gt;=Inputs!$C$6,A477&lt;=Inputs!$C$7),1,0)</f>
        <v>0</v>
      </c>
      <c r="P477" s="28" t="n">
        <f aca="false">P476*(1+K477)</f>
        <v>126.443171849495</v>
      </c>
      <c r="Q477" s="28" t="n">
        <f aca="false">MAX(Q476,P477)</f>
        <v>149.315699175717</v>
      </c>
      <c r="R477" s="29" t="n">
        <f aca="false">P477/Q477-1</f>
        <v>-0.153182334158346</v>
      </c>
      <c r="S477" s="26" t="n">
        <f aca="false">IF(A477=Inputs!$C$12,"",F477)</f>
        <v>-0.0270270270270271</v>
      </c>
      <c r="T477" s="27" t="n">
        <f aca="false">IF(AND(A477&gt;Risk_Metrics!$C$28,P477&gt;=Risk_Metrics!$C$30),1,0)</f>
        <v>0</v>
      </c>
      <c r="U477" s="26" t="n">
        <f aca="false">IF(A477=Inputs!$C$12,"",K477)</f>
        <v>-0.0117122269414257</v>
      </c>
    </row>
    <row r="478" customFormat="false" ht="15" hidden="false" customHeight="false" outlineLevel="0" collapsed="false">
      <c r="A478" s="25" t="n">
        <f aca="false">Prices!A479</f>
        <v>44413</v>
      </c>
      <c r="B478" s="26" t="n">
        <f aca="false">Prices!B479/Prices!B478-1</f>
        <v>0.00228781999904326</v>
      </c>
      <c r="C478" s="26" t="n">
        <f aca="false">Prices!C479/Prices!C478-1</f>
        <v>-0.0144291091593475</v>
      </c>
      <c r="D478" s="26" t="n">
        <f aca="false">Prices!D479/Prices!D478-1</f>
        <v>-0.01199996</v>
      </c>
      <c r="E478" s="26" t="n">
        <f aca="false">Prices!E479/Prices!E478-1</f>
        <v>-0.011156186612576</v>
      </c>
      <c r="F478" s="26" t="n">
        <f aca="false">Prices!F479/Prices!F478-1</f>
        <v>-0.0175438596491229</v>
      </c>
      <c r="G478" s="26" t="n">
        <f aca="false">Prices!G479/Prices!G478-1</f>
        <v>-0.0119098256061251</v>
      </c>
      <c r="H478" s="26" t="n">
        <f aca="false">Prices!H479/Prices!H478-1</f>
        <v>0.0787670822386957</v>
      </c>
      <c r="I478" s="26" t="n">
        <f aca="false">Prices!I479/Prices!I478-1</f>
        <v>-0.00172239057105095</v>
      </c>
      <c r="J478" s="26" t="n">
        <f aca="false">Prices!J479/Prices!J478-1</f>
        <v>-0.0305722990732039</v>
      </c>
      <c r="K478" s="26" t="n">
        <f aca="false">SUMPRODUCT(B478:J478,Optimization!$C$7:$K$7)</f>
        <v>-0.00203096982596527</v>
      </c>
      <c r="L478" s="26" t="n">
        <f aca="false">SUMPRODUCT(B478:J478,Optimization!$C$8:$K$8)</f>
        <v>-0.0121261840009314</v>
      </c>
      <c r="M478" s="26" t="n">
        <f aca="false">SUMPRODUCT(B478:J478,Optimization!$C$9:$K$9)</f>
        <v>-0.0125931214746503</v>
      </c>
      <c r="N478" s="26" t="n">
        <f aca="false">SUMPRODUCT(B478:J478,Optimization!$C$10:$K$10)</f>
        <v>-0.0121632339269056</v>
      </c>
      <c r="O478" s="27" t="n">
        <f aca="false">IF(AND(A478&gt;=Inputs!$C$6,A478&lt;=Inputs!$C$7),1,0)</f>
        <v>0</v>
      </c>
      <c r="P478" s="28" t="n">
        <f aca="false">P477*(1+K478)</f>
        <v>126.18636958277</v>
      </c>
      <c r="Q478" s="28" t="n">
        <f aca="false">MAX(Q477,P478)</f>
        <v>149.315699175717</v>
      </c>
      <c r="R478" s="29" t="n">
        <f aca="false">P478/Q478-1</f>
        <v>-0.154902195285765</v>
      </c>
      <c r="S478" s="26" t="n">
        <f aca="false">IF(A478=Inputs!$C$12,"",F478)</f>
        <v>-0.0175438596491229</v>
      </c>
      <c r="T478" s="27" t="n">
        <f aca="false">IF(AND(A478&gt;Risk_Metrics!$C$28,P478&gt;=Risk_Metrics!$C$30),1,0)</f>
        <v>0</v>
      </c>
      <c r="U478" s="26" t="n">
        <f aca="false">IF(A478=Inputs!$C$12,"",K478)</f>
        <v>-0.00203096982596527</v>
      </c>
    </row>
    <row r="479" customFormat="false" ht="15" hidden="false" customHeight="false" outlineLevel="0" collapsed="false">
      <c r="A479" s="25" t="n">
        <f aca="false">Prices!A480</f>
        <v>44414</v>
      </c>
      <c r="B479" s="26" t="n">
        <f aca="false">Prices!B480/Prices!B479-1</f>
        <v>0.0173912826086957</v>
      </c>
      <c r="C479" s="26" t="n">
        <f aca="false">Prices!C480/Prices!C479-1</f>
        <v>0.0120942075111394</v>
      </c>
      <c r="D479" s="26" t="n">
        <f aca="false">Prices!D480/Prices!D479-1</f>
        <v>-0.0105263153633072</v>
      </c>
      <c r="E479" s="26" t="n">
        <f aca="false">Prices!E480/Prices!E479-1</f>
        <v>-0.00427350427350426</v>
      </c>
      <c r="F479" s="26" t="n">
        <f aca="false">Prices!F480/Prices!F479-1</f>
        <v>0</v>
      </c>
      <c r="G479" s="26" t="n">
        <f aca="false">Prices!G480/Prices!G479-1</f>
        <v>-0.00129139044339222</v>
      </c>
      <c r="H479" s="26" t="n">
        <f aca="false">Prices!H480/Prices!H479-1</f>
        <v>0.00141089947089945</v>
      </c>
      <c r="I479" s="26" t="n">
        <f aca="false">Prices!I480/Prices!I479-1</f>
        <v>0.00586611456176667</v>
      </c>
      <c r="J479" s="26" t="n">
        <f aca="false">Prices!J480/Prices!J479-1</f>
        <v>0.00568385578137409</v>
      </c>
      <c r="K479" s="26" t="n">
        <f aca="false">SUMPRODUCT(B479:J479,Optimization!$C$7:$K$7)</f>
        <v>0.0029283499837413</v>
      </c>
      <c r="L479" s="26" t="n">
        <f aca="false">SUMPRODUCT(B479:J479,Optimization!$C$8:$K$8)</f>
        <v>0.00110108521701197</v>
      </c>
      <c r="M479" s="26" t="n">
        <f aca="false">SUMPRODUCT(B479:J479,Optimization!$C$9:$K$9)</f>
        <v>0.00393680136780705</v>
      </c>
      <c r="N479" s="26" t="n">
        <f aca="false">SUMPRODUCT(B479:J479,Optimization!$C$10:$K$10)</f>
        <v>0.000518924757876507</v>
      </c>
      <c r="O479" s="27" t="n">
        <f aca="false">IF(AND(A479&gt;=Inputs!$C$6,A479&lt;=Inputs!$C$7),1,0)</f>
        <v>0</v>
      </c>
      <c r="P479" s="28" t="n">
        <f aca="false">P478*(1+K479)</f>
        <v>126.555887436086</v>
      </c>
      <c r="Q479" s="28" t="n">
        <f aca="false">MAX(Q478,P479)</f>
        <v>149.315699175717</v>
      </c>
      <c r="R479" s="29" t="n">
        <f aca="false">P479/Q479-1</f>
        <v>-0.15242745314307</v>
      </c>
      <c r="S479" s="26" t="n">
        <f aca="false">IF(A479=Inputs!$C$12,"",F479)</f>
        <v>0</v>
      </c>
      <c r="T479" s="27" t="n">
        <f aca="false">IF(AND(A479&gt;Risk_Metrics!$C$28,P479&gt;=Risk_Metrics!$C$30),1,0)</f>
        <v>0</v>
      </c>
      <c r="U479" s="26" t="n">
        <f aca="false">IF(A479=Inputs!$C$12,"",K479)</f>
        <v>0.0029283499837413</v>
      </c>
    </row>
    <row r="480" customFormat="false" ht="15" hidden="false" customHeight="false" outlineLevel="0" collapsed="false">
      <c r="A480" s="25" t="n">
        <f aca="false">Prices!A481</f>
        <v>44417</v>
      </c>
      <c r="B480" s="26" t="n">
        <f aca="false">Prices!B481/Prices!B480-1</f>
        <v>-0.00747858990338868</v>
      </c>
      <c r="C480" s="26" t="n">
        <f aca="false">Prices!C481/Prices!C480-1</f>
        <v>-0.00817610062893082</v>
      </c>
      <c r="D480" s="26" t="n">
        <f aca="false">Prices!D481/Prices!D480-1</f>
        <v>0.0274140741647271</v>
      </c>
      <c r="E480" s="26" t="n">
        <f aca="false">Prices!E481/Prices!E480-1</f>
        <v>0.00600854935622319</v>
      </c>
      <c r="F480" s="26" t="n">
        <f aca="false">Prices!F481/Prices!F480-1</f>
        <v>-0.0178571428571429</v>
      </c>
      <c r="G480" s="26" t="n">
        <f aca="false">Prices!G481/Prices!G480-1</f>
        <v>0.0155171545035711</v>
      </c>
      <c r="H480" s="26" t="n">
        <f aca="false">Prices!H481/Prices!H480-1</f>
        <v>-0.00704466386208746</v>
      </c>
      <c r="I480" s="26" t="n">
        <f aca="false">Prices!I481/Prices!I480-1</f>
        <v>-0.00274442538593478</v>
      </c>
      <c r="J480" s="26" t="n">
        <f aca="false">Prices!J481/Prices!J480-1</f>
        <v>-0.00628983608814493</v>
      </c>
      <c r="K480" s="26" t="n">
        <f aca="false">SUMPRODUCT(B480:J480,Optimization!$C$7:$K$7)</f>
        <v>-7.23311890120275E-005</v>
      </c>
      <c r="L480" s="26" t="n">
        <f aca="false">SUMPRODUCT(B480:J480,Optimization!$C$8:$K$8)</f>
        <v>0.00874998527984825</v>
      </c>
      <c r="M480" s="26" t="n">
        <f aca="false">SUMPRODUCT(B480:J480,Optimization!$C$9:$K$9)</f>
        <v>0.00379243950881925</v>
      </c>
      <c r="N480" s="26" t="n">
        <f aca="false">SUMPRODUCT(B480:J480,Optimization!$C$10:$K$10)</f>
        <v>0.0102809437230541</v>
      </c>
      <c r="O480" s="27" t="n">
        <f aca="false">IF(AND(A480&gt;=Inputs!$C$6,A480&lt;=Inputs!$C$7),1,0)</f>
        <v>0</v>
      </c>
      <c r="P480" s="28" t="n">
        <f aca="false">P479*(1+K480)</f>
        <v>126.546733498271</v>
      </c>
      <c r="Q480" s="28" t="n">
        <f aca="false">MAX(Q479,P480)</f>
        <v>149.315699175717</v>
      </c>
      <c r="R480" s="29" t="n">
        <f aca="false">P480/Q480-1</f>
        <v>-0.152488759073159</v>
      </c>
      <c r="S480" s="26" t="n">
        <f aca="false">IF(A480=Inputs!$C$12,"",F480)</f>
        <v>-0.0178571428571429</v>
      </c>
      <c r="T480" s="27" t="n">
        <f aca="false">IF(AND(A480&gt;Risk_Metrics!$C$28,P480&gt;=Risk_Metrics!$C$30),1,0)</f>
        <v>0</v>
      </c>
      <c r="U480" s="26" t="n">
        <f aca="false">IF(A480=Inputs!$C$12,"",K480)</f>
        <v>-7.23311890120275E-005</v>
      </c>
    </row>
    <row r="481" customFormat="false" ht="15" hidden="false" customHeight="false" outlineLevel="0" collapsed="false">
      <c r="A481" s="25" t="n">
        <f aca="false">Prices!A482</f>
        <v>44418</v>
      </c>
      <c r="B481" s="26" t="n">
        <f aca="false">Prices!B482/Prices!B481-1</f>
        <v>-0.0086114529900656</v>
      </c>
      <c r="C481" s="26" t="n">
        <f aca="false">Prices!C482/Prices!C481-1</f>
        <v>-0.0164870006341153</v>
      </c>
      <c r="D481" s="26" t="n">
        <f aca="false">Prices!D482/Prices!D481-1</f>
        <v>-0.00119478290741615</v>
      </c>
      <c r="E481" s="26" t="n">
        <f aca="false">Prices!E482/Prices!E481-1</f>
        <v>-0.0199658368589023</v>
      </c>
      <c r="F481" s="26" t="n">
        <f aca="false">Prices!F482/Prices!F481-1</f>
        <v>-0.0272727272727272</v>
      </c>
      <c r="G481" s="26" t="n">
        <f aca="false">Prices!G482/Prices!G481-1</f>
        <v>-0.019949024615833</v>
      </c>
      <c r="H481" s="26" t="n">
        <f aca="false">Prices!H482/Prices!H481-1</f>
        <v>0.003192621383731</v>
      </c>
      <c r="I481" s="26" t="n">
        <f aca="false">Prices!I482/Prices!I481-1</f>
        <v>-0.0196078431372549</v>
      </c>
      <c r="J481" s="26" t="n">
        <f aca="false">Prices!J482/Prices!J481-1</f>
        <v>0.00963210696941363</v>
      </c>
      <c r="K481" s="26" t="n">
        <f aca="false">SUMPRODUCT(B481:J481,Optimization!$C$7:$K$7)</f>
        <v>-0.0111404377847967</v>
      </c>
      <c r="L481" s="26" t="n">
        <f aca="false">SUMPRODUCT(B481:J481,Optimization!$C$8:$K$8)</f>
        <v>-0.00438325031920308</v>
      </c>
      <c r="M481" s="26" t="n">
        <f aca="false">SUMPRODUCT(B481:J481,Optimization!$C$9:$K$9)</f>
        <v>-0.00488752037387541</v>
      </c>
      <c r="N481" s="26" t="n">
        <f aca="false">SUMPRODUCT(B481:J481,Optimization!$C$10:$K$10)</f>
        <v>-0.00367951464171706</v>
      </c>
      <c r="O481" s="27" t="n">
        <f aca="false">IF(AND(A481&gt;=Inputs!$C$6,A481&lt;=Inputs!$C$7),1,0)</f>
        <v>0</v>
      </c>
      <c r="P481" s="28" t="n">
        <f aca="false">P480*(1+K481)</f>
        <v>125.136947486864</v>
      </c>
      <c r="Q481" s="28" t="n">
        <f aca="false">MAX(Q480,P481)</f>
        <v>149.315699175717</v>
      </c>
      <c r="R481" s="29" t="n">
        <f aca="false">P481/Q481-1</f>
        <v>-0.16193040532462</v>
      </c>
      <c r="S481" s="26" t="n">
        <f aca="false">IF(A481=Inputs!$C$12,"",F481)</f>
        <v>-0.0272727272727272</v>
      </c>
      <c r="T481" s="27" t="n">
        <f aca="false">IF(AND(A481&gt;Risk_Metrics!$C$28,P481&gt;=Risk_Metrics!$C$30),1,0)</f>
        <v>0</v>
      </c>
      <c r="U481" s="26" t="n">
        <f aca="false">IF(A481=Inputs!$C$12,"",K481)</f>
        <v>-0.0111404377847967</v>
      </c>
    </row>
    <row r="482" customFormat="false" ht="15" hidden="false" customHeight="false" outlineLevel="0" collapsed="false">
      <c r="A482" s="25" t="n">
        <f aca="false">Prices!A483</f>
        <v>44419</v>
      </c>
      <c r="B482" s="26" t="n">
        <f aca="false">Prices!B483/Prices!B482-1</f>
        <v>-0.00130287733556744</v>
      </c>
      <c r="C482" s="26" t="n">
        <f aca="false">Prices!C483/Prices!C482-1</f>
        <v>-0.0296582849774338</v>
      </c>
      <c r="D482" s="26" t="n">
        <f aca="false">Prices!D483/Prices!D482-1</f>
        <v>-0.00598086124401909</v>
      </c>
      <c r="E482" s="26" t="n">
        <f aca="false">Prices!E483/Prices!E482-1</f>
        <v>-0.000696517499564675</v>
      </c>
      <c r="F482" s="26" t="n">
        <f aca="false">Prices!F483/Prices!F482-1</f>
        <v>0.00467289719626174</v>
      </c>
      <c r="G482" s="26" t="n">
        <f aca="false">Prices!G483/Prices!G482-1</f>
        <v>-0.00346470333477689</v>
      </c>
      <c r="H482" s="26" t="n">
        <f aca="false">Prices!H483/Prices!H482-1</f>
        <v>0.013790628932439</v>
      </c>
      <c r="I482" s="26" t="n">
        <f aca="false">Prices!I483/Prices!I482-1</f>
        <v>-0.0094736842105263</v>
      </c>
      <c r="J482" s="26" t="n">
        <f aca="false">Prices!J483/Prices!J482-1</f>
        <v>-0.00717791217841013</v>
      </c>
      <c r="K482" s="26" t="n">
        <f aca="false">SUMPRODUCT(B482:J482,Optimization!$C$7:$K$7)</f>
        <v>-0.00436570162795529</v>
      </c>
      <c r="L482" s="26" t="n">
        <f aca="false">SUMPRODUCT(B482:J482,Optimization!$C$8:$K$8)</f>
        <v>-0.00887368134203965</v>
      </c>
      <c r="M482" s="26" t="n">
        <f aca="false">SUMPRODUCT(B482:J482,Optimization!$C$9:$K$9)</f>
        <v>-0.00933546105925312</v>
      </c>
      <c r="N482" s="26" t="n">
        <f aca="false">SUMPRODUCT(B482:J482,Optimization!$C$10:$K$10)</f>
        <v>-0.00871210877994712</v>
      </c>
      <c r="O482" s="27" t="n">
        <f aca="false">IF(AND(A482&gt;=Inputs!$C$6,A482&lt;=Inputs!$C$7),1,0)</f>
        <v>0</v>
      </c>
      <c r="P482" s="28" t="n">
        <f aca="false">P481*(1+K482)</f>
        <v>124.590636911504</v>
      </c>
      <c r="Q482" s="28" t="n">
        <f aca="false">MAX(Q481,P482)</f>
        <v>149.315699175717</v>
      </c>
      <c r="R482" s="29" t="n">
        <f aca="false">P482/Q482-1</f>
        <v>-0.165589167118434</v>
      </c>
      <c r="S482" s="26" t="n">
        <f aca="false">IF(A482=Inputs!$C$12,"",F482)</f>
        <v>0.00467289719626174</v>
      </c>
      <c r="T482" s="27" t="n">
        <f aca="false">IF(AND(A482&gt;Risk_Metrics!$C$28,P482&gt;=Risk_Metrics!$C$30),1,0)</f>
        <v>0</v>
      </c>
      <c r="U482" s="26" t="n">
        <f aca="false">IF(A482=Inputs!$C$12,"",K482)</f>
        <v>-0.00436570162795529</v>
      </c>
    </row>
    <row r="483" customFormat="false" ht="15" hidden="false" customHeight="false" outlineLevel="0" collapsed="false">
      <c r="A483" s="25" t="n">
        <f aca="false">Prices!A484</f>
        <v>44420</v>
      </c>
      <c r="B483" s="26" t="n">
        <f aca="false">Prices!B484/Prices!B483-1</f>
        <v>0.00869749917272777</v>
      </c>
      <c r="C483" s="26" t="n">
        <f aca="false">Prices!C484/Prices!C483-1</f>
        <v>-0.0770764119601329</v>
      </c>
      <c r="D483" s="26" t="n">
        <f aca="false">Prices!D484/Prices!D483-1</f>
        <v>-0.0116326113116727</v>
      </c>
      <c r="E483" s="26" t="n">
        <f aca="false">Prices!E484/Prices!E483-1</f>
        <v>0.0118487717694507</v>
      </c>
      <c r="F483" s="26" t="n">
        <f aca="false">Prices!F484/Prices!F483-1</f>
        <v>0.0186046511627906</v>
      </c>
      <c r="G483" s="26" t="n">
        <f aca="false">Prices!G484/Prices!G483-1</f>
        <v>-0.0195567579313343</v>
      </c>
      <c r="H483" s="26" t="n">
        <f aca="false">Prices!H484/Prices!H483-1</f>
        <v>0.0149982560167423</v>
      </c>
      <c r="I483" s="26" t="n">
        <f aca="false">Prices!I484/Prices!I483-1</f>
        <v>0.0279844137442438</v>
      </c>
      <c r="J483" s="26" t="n">
        <f aca="false">Prices!J484/Prices!J483-1</f>
        <v>-0.000640615007978851</v>
      </c>
      <c r="K483" s="26" t="n">
        <f aca="false">SUMPRODUCT(B483:J483,Optimization!$C$7:$K$7)</f>
        <v>-0.00297475603835151</v>
      </c>
      <c r="L483" s="26" t="n">
        <f aca="false">SUMPRODUCT(B483:J483,Optimization!$C$8:$K$8)</f>
        <v>-0.0112273773081258</v>
      </c>
      <c r="M483" s="26" t="n">
        <f aca="false">SUMPRODUCT(B483:J483,Optimization!$C$9:$K$9)</f>
        <v>-0.00949400061358373</v>
      </c>
      <c r="N483" s="26" t="n">
        <f aca="false">SUMPRODUCT(B483:J483,Optimization!$C$10:$K$10)</f>
        <v>-0.0140195911229409</v>
      </c>
      <c r="O483" s="27" t="n">
        <f aca="false">IF(AND(A483&gt;=Inputs!$C$6,A483&lt;=Inputs!$C$7),1,0)</f>
        <v>0</v>
      </c>
      <c r="P483" s="28" t="n">
        <f aca="false">P482*(1+K483)</f>
        <v>124.220010162029</v>
      </c>
      <c r="Q483" s="28" t="n">
        <f aca="false">MAX(Q482,P483)</f>
        <v>149.315699175717</v>
      </c>
      <c r="R483" s="29" t="n">
        <f aca="false">P483/Q483-1</f>
        <v>-0.168071335782014</v>
      </c>
      <c r="S483" s="26" t="n">
        <f aca="false">IF(A483=Inputs!$C$12,"",F483)</f>
        <v>0.0186046511627906</v>
      </c>
      <c r="T483" s="27" t="n">
        <f aca="false">IF(AND(A483&gt;Risk_Metrics!$C$28,P483&gt;=Risk_Metrics!$C$30),1,0)</f>
        <v>0</v>
      </c>
      <c r="U483" s="26" t="n">
        <f aca="false">IF(A483=Inputs!$C$12,"",K483)</f>
        <v>-0.00297475603835151</v>
      </c>
    </row>
    <row r="484" customFormat="false" ht="15" hidden="false" customHeight="false" outlineLevel="0" collapsed="false">
      <c r="A484" s="25" t="n">
        <f aca="false">Prices!A485</f>
        <v>44421</v>
      </c>
      <c r="B484" s="26" t="n">
        <f aca="false">Prices!B485/Prices!B484-1</f>
        <v>-0.0144427356590077</v>
      </c>
      <c r="C484" s="26" t="n">
        <f aca="false">Prices!C485/Prices!C484-1</f>
        <v>0.0539956803455723</v>
      </c>
      <c r="D484" s="26" t="n">
        <f aca="false">Prices!D485/Prices!D484-1</f>
        <v>0.0231331178219609</v>
      </c>
      <c r="E484" s="26" t="n">
        <f aca="false">Prices!E485/Prices!E484-1</f>
        <v>-0.0106767521956259</v>
      </c>
      <c r="F484" s="26" t="n">
        <f aca="false">Prices!F485/Prices!F484-1</f>
        <v>-0.0913242009132421</v>
      </c>
      <c r="G484" s="26" t="n">
        <f aca="false">Prices!G485/Prices!G484-1</f>
        <v>-0.00354605512172235</v>
      </c>
      <c r="H484" s="26" t="n">
        <f aca="false">Prices!H485/Prices!H484-1</f>
        <v>0.00859106529209619</v>
      </c>
      <c r="I484" s="26" t="n">
        <f aca="false">Prices!I485/Prices!I484-1</f>
        <v>0.0227429359062716</v>
      </c>
      <c r="J484" s="26" t="n">
        <f aca="false">Prices!J485/Prices!J484-1</f>
        <v>-0.0082417035231237</v>
      </c>
      <c r="K484" s="26" t="n">
        <f aca="false">SUMPRODUCT(B484:J484,Optimization!$C$7:$K$7)</f>
        <v>-0.00219651644964674</v>
      </c>
      <c r="L484" s="26" t="n">
        <f aca="false">SUMPRODUCT(B484:J484,Optimization!$C$8:$K$8)</f>
        <v>0.0160328456920778</v>
      </c>
      <c r="M484" s="26" t="n">
        <f aca="false">SUMPRODUCT(B484:J484,Optimization!$C$9:$K$9)</f>
        <v>0.0132894083431488</v>
      </c>
      <c r="N484" s="26" t="n">
        <f aca="false">SUMPRODUCT(B484:J484,Optimization!$C$10:$K$10)</f>
        <v>0.0160771658350565</v>
      </c>
      <c r="O484" s="27" t="n">
        <f aca="false">IF(AND(A484&gt;=Inputs!$C$6,A484&lt;=Inputs!$C$7),1,0)</f>
        <v>0</v>
      </c>
      <c r="P484" s="28" t="n">
        <f aca="false">P483*(1+K484)</f>
        <v>123.947158866333</v>
      </c>
      <c r="Q484" s="28" t="n">
        <f aca="false">MAX(Q483,P484)</f>
        <v>149.315699175717</v>
      </c>
      <c r="R484" s="29" t="n">
        <f aca="false">P484/Q484-1</f>
        <v>-0.169898680777902</v>
      </c>
      <c r="S484" s="26" t="n">
        <f aca="false">IF(A484=Inputs!$C$12,"",F484)</f>
        <v>-0.0913242009132421</v>
      </c>
      <c r="T484" s="27" t="n">
        <f aca="false">IF(AND(A484&gt;Risk_Metrics!$C$28,P484&gt;=Risk_Metrics!$C$30),1,0)</f>
        <v>0</v>
      </c>
      <c r="U484" s="26" t="n">
        <f aca="false">IF(A484=Inputs!$C$12,"",K484)</f>
        <v>-0.00219651644964674</v>
      </c>
    </row>
    <row r="485" customFormat="false" ht="15" hidden="false" customHeight="false" outlineLevel="0" collapsed="false">
      <c r="A485" s="25" t="n">
        <f aca="false">Prices!A486</f>
        <v>44424</v>
      </c>
      <c r="B485" s="26" t="n">
        <f aca="false">Prices!B486/Prices!B485-1</f>
        <v>-0.0190289256555354</v>
      </c>
      <c r="C485" s="26" t="n">
        <f aca="false">Prices!C486/Prices!C485-1</f>
        <v>-0.0450819672131148</v>
      </c>
      <c r="D485" s="26" t="n">
        <f aca="false">Prices!D486/Prices!D485-1</f>
        <v>0.00476005572233462</v>
      </c>
      <c r="E485" s="26" t="n">
        <f aca="false">Prices!E486/Prices!E485-1</f>
        <v>-0.0234987463272629</v>
      </c>
      <c r="F485" s="26" t="n">
        <f aca="false">Prices!F486/Prices!F485-1</f>
        <v>-0.0569514237855946</v>
      </c>
      <c r="G485" s="26" t="n">
        <f aca="false">Prices!G486/Prices!G485-1</f>
        <v>-0.0173487544483986</v>
      </c>
      <c r="H485" s="26" t="n">
        <f aca="false">Prices!H486/Prices!H485-1</f>
        <v>-0.0241908347529813</v>
      </c>
      <c r="I485" s="26" t="n">
        <f aca="false">Prices!I486/Prices!I485-1</f>
        <v>-0.022911051212938</v>
      </c>
      <c r="J485" s="26" t="n">
        <f aca="false">Prices!J486/Prices!J485-1</f>
        <v>0.00461680504293249</v>
      </c>
      <c r="K485" s="26" t="n">
        <f aca="false">SUMPRODUCT(B485:J485,Optimization!$C$7:$K$7)</f>
        <v>-0.0221816491811732</v>
      </c>
      <c r="L485" s="26" t="n">
        <f aca="false">SUMPRODUCT(B485:J485,Optimization!$C$8:$K$8)</f>
        <v>-0.0082256694690372</v>
      </c>
      <c r="M485" s="26" t="n">
        <f aca="false">SUMPRODUCT(B485:J485,Optimization!$C$9:$K$9)</f>
        <v>-0.0108783599800302</v>
      </c>
      <c r="N485" s="26" t="n">
        <f aca="false">SUMPRODUCT(B485:J485,Optimization!$C$10:$K$10)</f>
        <v>-0.00733830993418564</v>
      </c>
      <c r="O485" s="27" t="n">
        <f aca="false">IF(AND(A485&gt;=Inputs!$C$6,A485&lt;=Inputs!$C$7),1,0)</f>
        <v>0</v>
      </c>
      <c r="P485" s="28" t="n">
        <f aca="false">P484*(1+K485)</f>
        <v>121.197806471357</v>
      </c>
      <c r="Q485" s="28" t="n">
        <f aca="false">MAX(Q484,P485)</f>
        <v>149.315699175717</v>
      </c>
      <c r="R485" s="29" t="n">
        <f aca="false">P485/Q485-1</f>
        <v>-0.188311697025715</v>
      </c>
      <c r="S485" s="26" t="n">
        <f aca="false">IF(A485=Inputs!$C$12,"",F485)</f>
        <v>-0.0569514237855946</v>
      </c>
      <c r="T485" s="27" t="n">
        <f aca="false">IF(AND(A485&gt;Risk_Metrics!$C$28,P485&gt;=Risk_Metrics!$C$30),1,0)</f>
        <v>0</v>
      </c>
      <c r="U485" s="26" t="n">
        <f aca="false">IF(A485=Inputs!$C$12,"",K485)</f>
        <v>-0.0221816491811732</v>
      </c>
    </row>
    <row r="486" customFormat="false" ht="15" hidden="false" customHeight="false" outlineLevel="0" collapsed="false">
      <c r="A486" s="25" t="n">
        <f aca="false">Prices!A487</f>
        <v>44425</v>
      </c>
      <c r="B486" s="26" t="n">
        <f aca="false">Prices!B487/Prices!B486-1</f>
        <v>-0.0236342817268991</v>
      </c>
      <c r="C486" s="26" t="n">
        <f aca="false">Prices!C487/Prices!C486-1</f>
        <v>-0.0114449213161659</v>
      </c>
      <c r="D486" s="26" t="n">
        <f aca="false">Prices!D487/Prices!D486-1</f>
        <v>-0.0055270035530991</v>
      </c>
      <c r="E486" s="26" t="n">
        <f aca="false">Prices!E487/Prices!E486-1</f>
        <v>-0.0267379688676638</v>
      </c>
      <c r="F486" s="26" t="n">
        <f aca="false">Prices!F487/Prices!F486-1</f>
        <v>-0.0390763765541741</v>
      </c>
      <c r="G486" s="26" t="n">
        <f aca="false">Prices!G487/Prices!G486-1</f>
        <v>-0.0226346763241285</v>
      </c>
      <c r="H486" s="26" t="n">
        <f aca="false">Prices!H487/Prices!H486-1</f>
        <v>-0.0562150159292952</v>
      </c>
      <c r="I486" s="26" t="n">
        <f aca="false">Prices!I487/Prices!I486-1</f>
        <v>-0.0206896551724138</v>
      </c>
      <c r="J486" s="26" t="n">
        <f aca="false">Prices!J487/Prices!J486-1</f>
        <v>-0.0165441447644078</v>
      </c>
      <c r="K486" s="26" t="n">
        <f aca="false">SUMPRODUCT(B486:J486,Optimization!$C$7:$K$7)</f>
        <v>-0.0247226715786941</v>
      </c>
      <c r="L486" s="26" t="n">
        <f aca="false">SUMPRODUCT(B486:J486,Optimization!$C$8:$K$8)</f>
        <v>-0.0124601505369797</v>
      </c>
      <c r="M486" s="26" t="n">
        <f aca="false">SUMPRODUCT(B486:J486,Optimization!$C$9:$K$9)</f>
        <v>-0.0144015709000749</v>
      </c>
      <c r="N486" s="26" t="n">
        <f aca="false">SUMPRODUCT(B486:J486,Optimization!$C$10:$K$10)</f>
        <v>-0.0117187538948213</v>
      </c>
      <c r="O486" s="27" t="n">
        <f aca="false">IF(AND(A486&gt;=Inputs!$C$6,A486&lt;=Inputs!$C$7),1,0)</f>
        <v>0</v>
      </c>
      <c r="P486" s="28" t="n">
        <f aca="false">P485*(1+K486)</f>
        <v>118.201472905907</v>
      </c>
      <c r="Q486" s="28" t="n">
        <f aca="false">MAX(Q485,P486)</f>
        <v>149.315699175717</v>
      </c>
      <c r="R486" s="29" t="n">
        <f aca="false">P486/Q486-1</f>
        <v>-0.208378800364416</v>
      </c>
      <c r="S486" s="26" t="n">
        <f aca="false">IF(A486=Inputs!$C$12,"",F486)</f>
        <v>-0.0390763765541741</v>
      </c>
      <c r="T486" s="27" t="n">
        <f aca="false">IF(AND(A486&gt;Risk_Metrics!$C$28,P486&gt;=Risk_Metrics!$C$30),1,0)</f>
        <v>0</v>
      </c>
      <c r="U486" s="26" t="n">
        <f aca="false">IF(A486=Inputs!$C$12,"",K486)</f>
        <v>-0.0247226715786941</v>
      </c>
    </row>
    <row r="487" customFormat="false" ht="15" hidden="false" customHeight="false" outlineLevel="0" collapsed="false">
      <c r="A487" s="25" t="n">
        <f aca="false">Prices!A488</f>
        <v>44426</v>
      </c>
      <c r="B487" s="26" t="n">
        <f aca="false">Prices!B488/Prices!B487-1</f>
        <v>0.00251200039936061</v>
      </c>
      <c r="C487" s="26" t="n">
        <f aca="false">Prices!C488/Prices!C487-1</f>
        <v>-0.0202604920405211</v>
      </c>
      <c r="D487" s="26" t="n">
        <f aca="false">Prices!D488/Prices!D487-1</f>
        <v>-0.038507422052107</v>
      </c>
      <c r="E487" s="26" t="n">
        <f aca="false">Prices!E488/Prices!E487-1</f>
        <v>0.0111721798964168</v>
      </c>
      <c r="F487" s="26" t="n">
        <f aca="false">Prices!F488/Prices!F487-1</f>
        <v>0</v>
      </c>
      <c r="G487" s="26" t="n">
        <f aca="false">Prices!G488/Prices!G487-1</f>
        <v>-0.0125057897174617</v>
      </c>
      <c r="H487" s="26" t="n">
        <f aca="false">Prices!H488/Prices!H487-1</f>
        <v>-0.00887902297894838</v>
      </c>
      <c r="I487" s="26" t="n">
        <f aca="false">Prices!I488/Prices!I487-1</f>
        <v>-0.00704221830985907</v>
      </c>
      <c r="J487" s="26" t="n">
        <f aca="false">Prices!J488/Prices!J487-1</f>
        <v>-0.0335513644859813</v>
      </c>
      <c r="K487" s="26" t="n">
        <f aca="false">SUMPRODUCT(B487:J487,Optimization!$C$7:$K$7)</f>
        <v>-0.0118957921432335</v>
      </c>
      <c r="L487" s="26" t="n">
        <f aca="false">SUMPRODUCT(B487:J487,Optimization!$C$8:$K$8)</f>
        <v>-0.0257616263209739</v>
      </c>
      <c r="M487" s="26" t="n">
        <f aca="false">SUMPRODUCT(B487:J487,Optimization!$C$9:$K$9)</f>
        <v>-0.0227471809517246</v>
      </c>
      <c r="N487" s="26" t="n">
        <f aca="false">SUMPRODUCT(B487:J487,Optimization!$C$10:$K$10)</f>
        <v>-0.0268581135062337</v>
      </c>
      <c r="O487" s="27" t="n">
        <f aca="false">IF(AND(A487&gt;=Inputs!$C$6,A487&lt;=Inputs!$C$7),1,0)</f>
        <v>0</v>
      </c>
      <c r="P487" s="28" t="n">
        <f aca="false">P486*(1+K487)</f>
        <v>116.795372753195</v>
      </c>
      <c r="Q487" s="28" t="n">
        <f aca="false">MAX(Q486,P487)</f>
        <v>149.315699175717</v>
      </c>
      <c r="R487" s="29" t="n">
        <f aca="false">P487/Q487-1</f>
        <v>-0.217795761611458</v>
      </c>
      <c r="S487" s="26" t="n">
        <f aca="false">IF(A487=Inputs!$C$12,"",F487)</f>
        <v>0</v>
      </c>
      <c r="T487" s="27" t="n">
        <f aca="false">IF(AND(A487&gt;Risk_Metrics!$C$28,P487&gt;=Risk_Metrics!$C$30),1,0)</f>
        <v>0</v>
      </c>
      <c r="U487" s="26" t="n">
        <f aca="false">IF(A487=Inputs!$C$12,"",K487)</f>
        <v>-0.0118957921432335</v>
      </c>
    </row>
    <row r="488" customFormat="false" ht="15" hidden="false" customHeight="false" outlineLevel="0" collapsed="false">
      <c r="A488" s="25" t="n">
        <f aca="false">Prices!A489</f>
        <v>44427</v>
      </c>
      <c r="B488" s="26" t="n">
        <f aca="false">Prices!B489/Prices!B488-1</f>
        <v>0.0159452614141709</v>
      </c>
      <c r="C488" s="26" t="n">
        <f aca="false">Prices!C489/Prices!C488-1</f>
        <v>0.0472673559822747</v>
      </c>
      <c r="D488" s="26" t="n">
        <f aca="false">Prices!D489/Prices!D488-1</f>
        <v>-0.0132121805620224</v>
      </c>
      <c r="E488" s="26" t="n">
        <f aca="false">Prices!E489/Prices!E488-1</f>
        <v>0.0530700969583426</v>
      </c>
      <c r="F488" s="26" t="n">
        <f aca="false">Prices!F489/Prices!F488-1</f>
        <v>0.0369685767097967</v>
      </c>
      <c r="G488" s="26" t="n">
        <f aca="false">Prices!G489/Prices!G488-1</f>
        <v>0.00891181988742962</v>
      </c>
      <c r="H488" s="26" t="n">
        <f aca="false">Prices!H489/Prices!H488-1</f>
        <v>-0.00559917858905645</v>
      </c>
      <c r="I488" s="26" t="n">
        <f aca="false">Prices!I489/Prices!I488-1</f>
        <v>0.0106382620341041</v>
      </c>
      <c r="J488" s="26" t="n">
        <f aca="false">Prices!J489/Prices!J488-1</f>
        <v>-0.057054460610987</v>
      </c>
      <c r="K488" s="26" t="n">
        <f aca="false">SUMPRODUCT(B488:J488,Optimization!$C$7:$K$7)</f>
        <v>0.0107706170248948</v>
      </c>
      <c r="L488" s="26" t="n">
        <f aca="false">SUMPRODUCT(B488:J488,Optimization!$C$8:$K$8)</f>
        <v>-0.00564546643660989</v>
      </c>
      <c r="M488" s="26" t="n">
        <f aca="false">SUMPRODUCT(B488:J488,Optimization!$C$9:$K$9)</f>
        <v>-0.00567703242775838</v>
      </c>
      <c r="N488" s="26" t="n">
        <f aca="false">SUMPRODUCT(B488:J488,Optimization!$C$10:$K$10)</f>
        <v>-0.00529900972510956</v>
      </c>
      <c r="O488" s="27" t="n">
        <f aca="false">IF(AND(A488&gt;=Inputs!$C$6,A488&lt;=Inputs!$C$7),1,0)</f>
        <v>0</v>
      </c>
      <c r="P488" s="28" t="n">
        <f aca="false">P487*(1+K488)</f>
        <v>118.053330983399</v>
      </c>
      <c r="Q488" s="28" t="n">
        <f aca="false">MAX(Q487,P488)</f>
        <v>149.315699175717</v>
      </c>
      <c r="R488" s="29" t="n">
        <f aca="false">P488/Q488-1</f>
        <v>-0.209370939324526</v>
      </c>
      <c r="S488" s="26" t="n">
        <f aca="false">IF(A488=Inputs!$C$12,"",F488)</f>
        <v>0.0369685767097967</v>
      </c>
      <c r="T488" s="27" t="n">
        <f aca="false">IF(AND(A488&gt;Risk_Metrics!$C$28,P488&gt;=Risk_Metrics!$C$30),1,0)</f>
        <v>0</v>
      </c>
      <c r="U488" s="26" t="n">
        <f aca="false">IF(A488=Inputs!$C$12,"",K488)</f>
        <v>0.0107706170248948</v>
      </c>
    </row>
    <row r="489" customFormat="false" ht="15" hidden="false" customHeight="false" outlineLevel="0" collapsed="false">
      <c r="A489" s="25" t="n">
        <f aca="false">Prices!A490</f>
        <v>44428</v>
      </c>
      <c r="B489" s="26" t="n">
        <f aca="false">Prices!B490/Prices!B489-1</f>
        <v>0.0134529713044722</v>
      </c>
      <c r="C489" s="26" t="n">
        <f aca="false">Prices!C490/Prices!C489-1</f>
        <v>0.00141043723554302</v>
      </c>
      <c r="D489" s="26" t="n">
        <f aca="false">Prices!D490/Prices!D489-1</f>
        <v>0.0297071548117156</v>
      </c>
      <c r="E489" s="26" t="n">
        <f aca="false">Prices!E490/Prices!E489-1</f>
        <v>0.0101479361910548</v>
      </c>
      <c r="F489" s="26" t="n">
        <f aca="false">Prices!F490/Prices!F489-1</f>
        <v>-0.00356506238859189</v>
      </c>
      <c r="G489" s="26" t="n">
        <f aca="false">Prices!G490/Prices!G489-1</f>
        <v>0.00883314737331475</v>
      </c>
      <c r="H489" s="26" t="n">
        <f aca="false">Prices!H490/Prices!H489-1</f>
        <v>-0.00150146402032514</v>
      </c>
      <c r="I489" s="26" t="n">
        <f aca="false">Prices!I490/Prices!I489-1</f>
        <v>0.0403508771929824</v>
      </c>
      <c r="J489" s="26" t="n">
        <f aca="false">Prices!J490/Prices!J489-1</f>
        <v>0.00041022458393547</v>
      </c>
      <c r="K489" s="26" t="n">
        <f aca="false">SUMPRODUCT(B489:J489,Optimization!$C$7:$K$7)</f>
        <v>0.0110273580315668</v>
      </c>
      <c r="L489" s="26" t="n">
        <f aca="false">SUMPRODUCT(B489:J489,Optimization!$C$8:$K$8)</f>
        <v>0.0196840525511427</v>
      </c>
      <c r="M489" s="26" t="n">
        <f aca="false">SUMPRODUCT(B489:J489,Optimization!$C$9:$K$9)</f>
        <v>0.017221580410367</v>
      </c>
      <c r="N489" s="26" t="n">
        <f aca="false">SUMPRODUCT(B489:J489,Optimization!$C$10:$K$10)</f>
        <v>0.01898430280542</v>
      </c>
      <c r="O489" s="27" t="n">
        <f aca="false">IF(AND(A489&gt;=Inputs!$C$6,A489&lt;=Inputs!$C$7),1,0)</f>
        <v>0</v>
      </c>
      <c r="P489" s="28" t="n">
        <f aca="false">P488*(1+K489)</f>
        <v>119.355147330972</v>
      </c>
      <c r="Q489" s="28" t="n">
        <f aca="false">MAX(Q488,P489)</f>
        <v>149.315699175717</v>
      </c>
      <c r="R489" s="29" t="n">
        <f aca="false">P489/Q489-1</f>
        <v>-0.200652389602296</v>
      </c>
      <c r="S489" s="26" t="n">
        <f aca="false">IF(A489=Inputs!$C$12,"",F489)</f>
        <v>-0.00356506238859189</v>
      </c>
      <c r="T489" s="27" t="n">
        <f aca="false">IF(AND(A489&gt;Risk_Metrics!$C$28,P489&gt;=Risk_Metrics!$C$30),1,0)</f>
        <v>0</v>
      </c>
      <c r="U489" s="26" t="n">
        <f aca="false">IF(A489=Inputs!$C$12,"",K489)</f>
        <v>0.0110273580315668</v>
      </c>
    </row>
    <row r="490" customFormat="false" ht="15" hidden="false" customHeight="false" outlineLevel="0" collapsed="false">
      <c r="A490" s="25" t="n">
        <f aca="false">Prices!A491</f>
        <v>44431</v>
      </c>
      <c r="B490" s="26" t="n">
        <f aca="false">Prices!B491/Prices!B490-1</f>
        <v>-0.00165931412258158</v>
      </c>
      <c r="C490" s="26" t="n">
        <f aca="false">Prices!C491/Prices!C490-1</f>
        <v>-0.0387323943661971</v>
      </c>
      <c r="D490" s="26" t="n">
        <f aca="false">Prices!D491/Prices!D490-1</f>
        <v>0.0227549360928512</v>
      </c>
      <c r="E490" s="26" t="n">
        <f aca="false">Prices!E491/Prices!E490-1</f>
        <v>-0.0391622680061297</v>
      </c>
      <c r="F490" s="26" t="n">
        <f aca="false">Prices!F491/Prices!F490-1</f>
        <v>-0.0608228980322003</v>
      </c>
      <c r="G490" s="26" t="n">
        <f aca="false">Prices!G491/Prices!G490-1</f>
        <v>-0.0202765428443988</v>
      </c>
      <c r="H490" s="26" t="n">
        <f aca="false">Prices!H491/Prices!H490-1</f>
        <v>0.0157894736842104</v>
      </c>
      <c r="I490" s="26" t="n">
        <f aca="false">Prices!I491/Prices!I490-1</f>
        <v>-0.0111298482293423</v>
      </c>
      <c r="J490" s="26" t="n">
        <f aca="false">Prices!J491/Prices!J490-1</f>
        <v>-0.0138391179752194</v>
      </c>
      <c r="K490" s="26" t="n">
        <f aca="false">SUMPRODUCT(B490:J490,Optimization!$C$7:$K$7)</f>
        <v>-0.0163419970887786</v>
      </c>
      <c r="L490" s="26" t="n">
        <f aca="false">SUMPRODUCT(B490:J490,Optimization!$C$8:$K$8)</f>
        <v>0.00151623342750201</v>
      </c>
      <c r="M490" s="26" t="n">
        <f aca="false">SUMPRODUCT(B490:J490,Optimization!$C$9:$K$9)</f>
        <v>-0.00397904716749527</v>
      </c>
      <c r="N490" s="26" t="n">
        <f aca="false">SUMPRODUCT(B490:J490,Optimization!$C$10:$K$10)</f>
        <v>0.00335851196240348</v>
      </c>
      <c r="O490" s="27" t="n">
        <f aca="false">IF(AND(A490&gt;=Inputs!$C$6,A490&lt;=Inputs!$C$7),1,0)</f>
        <v>0</v>
      </c>
      <c r="P490" s="28" t="n">
        <f aca="false">P489*(1+K490)</f>
        <v>117.404645860759</v>
      </c>
      <c r="Q490" s="28" t="n">
        <f aca="false">MAX(Q489,P490)</f>
        <v>149.315699175717</v>
      </c>
      <c r="R490" s="29" t="n">
        <f aca="false">P490/Q490-1</f>
        <v>-0.213715325924337</v>
      </c>
      <c r="S490" s="26" t="n">
        <f aca="false">IF(A490=Inputs!$C$12,"",F490)</f>
        <v>-0.0608228980322003</v>
      </c>
      <c r="T490" s="27" t="n">
        <f aca="false">IF(AND(A490&gt;Risk_Metrics!$C$28,P490&gt;=Risk_Metrics!$C$30),1,0)</f>
        <v>0</v>
      </c>
      <c r="U490" s="26" t="n">
        <f aca="false">IF(A490=Inputs!$C$12,"",K490)</f>
        <v>-0.0163419970887786</v>
      </c>
    </row>
    <row r="491" customFormat="false" ht="15" hidden="false" customHeight="false" outlineLevel="0" collapsed="false">
      <c r="A491" s="25" t="n">
        <f aca="false">Prices!A492</f>
        <v>44432</v>
      </c>
      <c r="B491" s="26" t="n">
        <f aca="false">Prices!B492/Prices!B491-1</f>
        <v>0.0165096731301939</v>
      </c>
      <c r="C491" s="26" t="n">
        <f aca="false">Prices!C492/Prices!C491-1</f>
        <v>0.0183150183150183</v>
      </c>
      <c r="D491" s="26" t="n">
        <f aca="false">Prices!D492/Prices!D491-1</f>
        <v>0.019864918553834</v>
      </c>
      <c r="E491" s="26" t="n">
        <f aca="false">Prices!E492/Prices!E491-1</f>
        <v>0.0109870458975723</v>
      </c>
      <c r="F491" s="26" t="n">
        <f aca="false">Prices!F492/Prices!F491-1</f>
        <v>0.118095238095238</v>
      </c>
      <c r="G491" s="26" t="n">
        <f aca="false">Prices!G492/Prices!G491-1</f>
        <v>0.0315145813734712</v>
      </c>
      <c r="H491" s="26" t="n">
        <f aca="false">Prices!H492/Prices!H491-1</f>
        <v>0.0207253886010361</v>
      </c>
      <c r="I491" s="26" t="n">
        <f aca="false">Prices!I492/Prices!I491-1</f>
        <v>0.0320600272851297</v>
      </c>
      <c r="J491" s="26" t="n">
        <f aca="false">Prices!J492/Prices!J491-1</f>
        <v>0.0364865084143402</v>
      </c>
      <c r="K491" s="26" t="n">
        <f aca="false">SUMPRODUCT(B491:J491,Optimization!$C$7:$K$7)</f>
        <v>0.0338398221850926</v>
      </c>
      <c r="L491" s="26" t="n">
        <f aca="false">SUMPRODUCT(B491:J491,Optimization!$C$8:$K$8)</f>
        <v>0.0230902878662861</v>
      </c>
      <c r="M491" s="26" t="n">
        <f aca="false">SUMPRODUCT(B491:J491,Optimization!$C$9:$K$9)</f>
        <v>0.0246722247949862</v>
      </c>
      <c r="N491" s="26" t="n">
        <f aca="false">SUMPRODUCT(B491:J491,Optimization!$C$10:$K$10)</f>
        <v>0.0219313065875585</v>
      </c>
      <c r="O491" s="27" t="n">
        <f aca="false">IF(AND(A491&gt;=Inputs!$C$6,A491&lt;=Inputs!$C$7),1,0)</f>
        <v>0</v>
      </c>
      <c r="P491" s="28" t="n">
        <f aca="false">P490*(1+K491)</f>
        <v>121.37759820039</v>
      </c>
      <c r="Q491" s="28" t="n">
        <f aca="false">MAX(Q490,P491)</f>
        <v>149.315699175717</v>
      </c>
      <c r="R491" s="29" t="n">
        <f aca="false">P491/Q491-1</f>
        <v>-0.187107592366753</v>
      </c>
      <c r="S491" s="26" t="n">
        <f aca="false">IF(A491=Inputs!$C$12,"",F491)</f>
        <v>0.118095238095238</v>
      </c>
      <c r="T491" s="27" t="n">
        <f aca="false">IF(AND(A491&gt;Risk_Metrics!$C$28,P491&gt;=Risk_Metrics!$C$30),1,0)</f>
        <v>0</v>
      </c>
      <c r="U491" s="26" t="n">
        <f aca="false">IF(A491=Inputs!$C$12,"",K491)</f>
        <v>0.0338398221850926</v>
      </c>
    </row>
    <row r="492" customFormat="false" ht="15" hidden="false" customHeight="false" outlineLevel="0" collapsed="false">
      <c r="A492" s="25" t="n">
        <f aca="false">Prices!A493</f>
        <v>44433</v>
      </c>
      <c r="B492" s="26" t="n">
        <f aca="false">Prices!B493/Prices!B492-1</f>
        <v>0.00970131915634021</v>
      </c>
      <c r="C492" s="26" t="n">
        <f aca="false">Prices!C493/Prices!C492-1</f>
        <v>0.0064748201438849</v>
      </c>
      <c r="D492" s="26" t="n">
        <f aca="false">Prices!D493/Prices!D492-1</f>
        <v>0.0389559797428904</v>
      </c>
      <c r="E492" s="26" t="n">
        <f aca="false">Prices!E493/Prices!E492-1</f>
        <v>0.00841367236483204</v>
      </c>
      <c r="F492" s="26" t="n">
        <f aca="false">Prices!F493/Prices!F492-1</f>
        <v>-0.0102214650766611</v>
      </c>
      <c r="G492" s="26" t="n">
        <f aca="false">Prices!G493/Prices!G492-1</f>
        <v>-0.00592799817601464</v>
      </c>
      <c r="H492" s="26" t="n">
        <f aca="false">Prices!H493/Prices!H492-1</f>
        <v>0.00543872371283549</v>
      </c>
      <c r="I492" s="26" t="n">
        <f aca="false">Prices!I493/Prices!I492-1</f>
        <v>-0.00859220092531399</v>
      </c>
      <c r="J492" s="26" t="n">
        <f aca="false">Prices!J493/Prices!J492-1</f>
        <v>-0.00210609770440373</v>
      </c>
      <c r="K492" s="26" t="n">
        <f aca="false">SUMPRODUCT(B492:J492,Optimization!$C$7:$K$7)</f>
        <v>0.00468186147093218</v>
      </c>
      <c r="L492" s="26" t="n">
        <f aca="false">SUMPRODUCT(B492:J492,Optimization!$C$8:$K$8)</f>
        <v>0.0186443644429275</v>
      </c>
      <c r="M492" s="26" t="n">
        <f aca="false">SUMPRODUCT(B492:J492,Optimization!$C$9:$K$9)</f>
        <v>0.0127475184710512</v>
      </c>
      <c r="N492" s="26" t="n">
        <f aca="false">SUMPRODUCT(B492:J492,Optimization!$C$10:$K$10)</f>
        <v>0.0215561378541959</v>
      </c>
      <c r="O492" s="27" t="n">
        <f aca="false">IF(AND(A492&gt;=Inputs!$C$6,A492&lt;=Inputs!$C$7),1,0)</f>
        <v>0</v>
      </c>
      <c r="P492" s="28" t="n">
        <f aca="false">P491*(1+K492)</f>
        <v>121.945871300839</v>
      </c>
      <c r="Q492" s="28" t="n">
        <f aca="false">MAX(Q491,P492)</f>
        <v>149.315699175717</v>
      </c>
      <c r="R492" s="29" t="n">
        <f aca="false">P492/Q492-1</f>
        <v>-0.183301742723442</v>
      </c>
      <c r="S492" s="26" t="n">
        <f aca="false">IF(A492=Inputs!$C$12,"",F492)</f>
        <v>-0.0102214650766611</v>
      </c>
      <c r="T492" s="27" t="n">
        <f aca="false">IF(AND(A492&gt;Risk_Metrics!$C$28,P492&gt;=Risk_Metrics!$C$30),1,0)</f>
        <v>0</v>
      </c>
      <c r="U492" s="26" t="n">
        <f aca="false">IF(A492=Inputs!$C$12,"",K492)</f>
        <v>0.00468186147093218</v>
      </c>
    </row>
    <row r="493" customFormat="false" ht="15" hidden="false" customHeight="false" outlineLevel="0" collapsed="false">
      <c r="A493" s="25" t="n">
        <f aca="false">Prices!A494</f>
        <v>44434</v>
      </c>
      <c r="B493" s="26" t="n">
        <f aca="false">Prices!B494/Prices!B493-1</f>
        <v>-0.0141422545873559</v>
      </c>
      <c r="C493" s="26" t="n">
        <f aca="false">Prices!C494/Prices!C493-1</f>
        <v>-0.0235882773409578</v>
      </c>
      <c r="D493" s="26" t="n">
        <f aca="false">Prices!D494/Prices!D493-1</f>
        <v>-0.0112485564304463</v>
      </c>
      <c r="E493" s="26" t="n">
        <f aca="false">Prices!E494/Prices!E493-1</f>
        <v>-0.0272901099824457</v>
      </c>
      <c r="F493" s="26" t="n">
        <f aca="false">Prices!F494/Prices!F493-1</f>
        <v>0.0240963855421688</v>
      </c>
      <c r="G493" s="26" t="n">
        <f aca="false">Prices!G494/Prices!G493-1</f>
        <v>-0.0334861941966144</v>
      </c>
      <c r="H493" s="26" t="n">
        <f aca="false">Prices!H494/Prices!H493-1</f>
        <v>-0.00865488640461598</v>
      </c>
      <c r="I493" s="26" t="n">
        <f aca="false">Prices!I494/Prices!I493-1</f>
        <v>-0.0239999666666667</v>
      </c>
      <c r="J493" s="26" t="n">
        <f aca="false">Prices!J494/Prices!J493-1</f>
        <v>-0.0127637889447236</v>
      </c>
      <c r="K493" s="26" t="n">
        <f aca="false">SUMPRODUCT(B493:J493,Optimization!$C$7:$K$7)</f>
        <v>-0.0145641832235175</v>
      </c>
      <c r="L493" s="26" t="n">
        <f aca="false">SUMPRODUCT(B493:J493,Optimization!$C$8:$K$8)</f>
        <v>-0.014821976141515</v>
      </c>
      <c r="M493" s="26" t="n">
        <f aca="false">SUMPRODUCT(B493:J493,Optimization!$C$9:$K$9)</f>
        <v>-0.015635379830258</v>
      </c>
      <c r="N493" s="26" t="n">
        <f aca="false">SUMPRODUCT(B493:J493,Optimization!$C$10:$K$10)</f>
        <v>-0.0141376152782852</v>
      </c>
      <c r="O493" s="27" t="n">
        <f aca="false">IF(AND(A493&gt;=Inputs!$C$6,A493&lt;=Inputs!$C$7),1,0)</f>
        <v>0</v>
      </c>
      <c r="P493" s="28" t="n">
        <f aca="false">P492*(1+K493)</f>
        <v>120.169829287862</v>
      </c>
      <c r="Q493" s="28" t="n">
        <f aca="false">MAX(Q492,P493)</f>
        <v>149.315699175717</v>
      </c>
      <c r="R493" s="29" t="n">
        <f aca="false">P493/Q493-1</f>
        <v>-0.195196285780745</v>
      </c>
      <c r="S493" s="26" t="n">
        <f aca="false">IF(A493=Inputs!$C$12,"",F493)</f>
        <v>0.0240963855421688</v>
      </c>
      <c r="T493" s="27" t="n">
        <f aca="false">IF(AND(A493&gt;Risk_Metrics!$C$28,P493&gt;=Risk_Metrics!$C$30),1,0)</f>
        <v>0</v>
      </c>
      <c r="U493" s="26" t="n">
        <f aca="false">IF(A493=Inputs!$C$12,"",K493)</f>
        <v>-0.0145641832235175</v>
      </c>
    </row>
    <row r="494" customFormat="false" ht="15" hidden="false" customHeight="false" outlineLevel="0" collapsed="false">
      <c r="A494" s="25" t="n">
        <f aca="false">Prices!A495</f>
        <v>44435</v>
      </c>
      <c r="B494" s="26" t="n">
        <f aca="false">Prices!B495/Prices!B494-1</f>
        <v>0.0117170280332897</v>
      </c>
      <c r="C494" s="26" t="n">
        <f aca="false">Prices!C495/Prices!C494-1</f>
        <v>0.0204978038067349</v>
      </c>
      <c r="D494" s="26" t="n">
        <f aca="false">Prices!D495/Prices!D494-1</f>
        <v>0.0132725819767698</v>
      </c>
      <c r="E494" s="26" t="n">
        <f aca="false">Prices!E495/Prices!E494-1</f>
        <v>0.0418155833062113</v>
      </c>
      <c r="F494" s="26" t="n">
        <f aca="false">Prices!F495/Prices!F494-1</f>
        <v>0</v>
      </c>
      <c r="G494" s="26" t="n">
        <f aca="false">Prices!G495/Prices!G494-1</f>
        <v>0.0194589463692454</v>
      </c>
      <c r="H494" s="26" t="n">
        <f aca="false">Prices!H495/Prices!H494-1</f>
        <v>0.0363768643142961</v>
      </c>
      <c r="I494" s="26" t="n">
        <f aca="false">Prices!I495/Prices!I494-1</f>
        <v>0.0102458671364116</v>
      </c>
      <c r="J494" s="26" t="n">
        <f aca="false">Prices!J495/Prices!J494-1</f>
        <v>0.0250432548597195</v>
      </c>
      <c r="K494" s="26" t="n">
        <f aca="false">SUMPRODUCT(B494:J494,Optimization!$C$7:$K$7)</f>
        <v>0.0198253255336309</v>
      </c>
      <c r="L494" s="26" t="n">
        <f aca="false">SUMPRODUCT(B494:J494,Optimization!$C$8:$K$8)</f>
        <v>0.015614885859579</v>
      </c>
      <c r="M494" s="26" t="n">
        <f aca="false">SUMPRODUCT(B494:J494,Optimization!$C$9:$K$9)</f>
        <v>0.0163175743908838</v>
      </c>
      <c r="N494" s="26" t="n">
        <f aca="false">SUMPRODUCT(B494:J494,Optimization!$C$10:$K$10)</f>
        <v>0.0156163058976013</v>
      </c>
      <c r="O494" s="27" t="n">
        <f aca="false">IF(AND(A494&gt;=Inputs!$C$6,A494&lt;=Inputs!$C$7),1,0)</f>
        <v>0</v>
      </c>
      <c r="P494" s="28" t="n">
        <f aca="false">P493*(1+K494)</f>
        <v>122.552235272815</v>
      </c>
      <c r="Q494" s="28" t="n">
        <f aca="false">MAX(Q493,P494)</f>
        <v>149.315699175717</v>
      </c>
      <c r="R494" s="29" t="n">
        <f aca="false">P494/Q494-1</f>
        <v>-0.179240790155673</v>
      </c>
      <c r="S494" s="26" t="n">
        <f aca="false">IF(A494=Inputs!$C$12,"",F494)</f>
        <v>0</v>
      </c>
      <c r="T494" s="27" t="n">
        <f aca="false">IF(AND(A494&gt;Risk_Metrics!$C$28,P494&gt;=Risk_Metrics!$C$30),1,0)</f>
        <v>0</v>
      </c>
      <c r="U494" s="26" t="n">
        <f aca="false">IF(A494=Inputs!$C$12,"",K494)</f>
        <v>0.0198253255336309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0" min="2" style="0" width="13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3" customFormat="false" ht="45" hidden="false" customHeight="true" outlineLevel="0" collapsed="false">
      <c r="A3" s="3" t="s">
        <v>79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  <c r="I3" s="3" t="s">
        <v>111</v>
      </c>
      <c r="J3" s="3" t="s">
        <v>112</v>
      </c>
      <c r="K3" s="3" t="s">
        <v>113</v>
      </c>
      <c r="L3" s="3" t="s">
        <v>114</v>
      </c>
      <c r="M3" s="3" t="s">
        <v>115</v>
      </c>
      <c r="N3" s="3" t="s">
        <v>116</v>
      </c>
      <c r="O3" s="3" t="s">
        <v>117</v>
      </c>
      <c r="P3" s="3" t="s">
        <v>118</v>
      </c>
      <c r="Q3" s="3" t="s">
        <v>119</v>
      </c>
      <c r="R3" s="3" t="s">
        <v>120</v>
      </c>
      <c r="S3" s="3" t="s">
        <v>121</v>
      </c>
      <c r="T3" s="3" t="s">
        <v>122</v>
      </c>
    </row>
    <row r="4" customFormat="false" ht="15" hidden="false" customHeight="false" outlineLevel="0" collapsed="false">
      <c r="A4" s="25" t="n">
        <f aca="false">Returns!A4</f>
        <v>43710</v>
      </c>
      <c r="B4" s="26" t="n">
        <f aca="false">IF(Returns!$O4=1,"",Returns!B4)</f>
        <v>-0.0258690177849635</v>
      </c>
      <c r="C4" s="26" t="n">
        <f aca="false">IF(Returns!$O4=1,"",Returns!C4)</f>
        <v>-0.0191964513213493</v>
      </c>
      <c r="D4" s="26" t="n">
        <f aca="false">IF(Returns!$O4=1,"",Returns!D4)</f>
        <v>-0.00597609561752988</v>
      </c>
      <c r="E4" s="26" t="n">
        <f aca="false">IF(Returns!$O4=1,"",Returns!E4)</f>
        <v>-0.00297622774500517</v>
      </c>
      <c r="F4" s="26" t="n">
        <f aca="false">IF(Returns!$O4=1,"",Returns!F4)</f>
        <v>-0.00694071590584122</v>
      </c>
      <c r="G4" s="26" t="n">
        <f aca="false">IF(Returns!$O4=1,"",Returns!G4)</f>
        <v>0.00808006925740679</v>
      </c>
      <c r="H4" s="26" t="n">
        <f aca="false">IF(Returns!$O4=1,"",Returns!H4)</f>
        <v>-0.0078431764705883</v>
      </c>
      <c r="I4" s="26" t="n">
        <f aca="false">IF(Returns!$O4=1,"",Returns!I4)</f>
        <v>-0.0057791530994018</v>
      </c>
      <c r="J4" s="26" t="n">
        <f aca="false">IF(Returns!$O4=1,"",Returns!J4)</f>
        <v>0.00965543120474011</v>
      </c>
      <c r="K4" s="26" t="str">
        <f aca="false">IF(Returns!$O4=1,Returns!B4,"")</f>
        <v/>
      </c>
      <c r="L4" s="26" t="str">
        <f aca="false">IF(Returns!$O4=1,Returns!C4,"")</f>
        <v/>
      </c>
      <c r="M4" s="26" t="str">
        <f aca="false">IF(Returns!$O4=1,Returns!D4,"")</f>
        <v/>
      </c>
      <c r="N4" s="26" t="str">
        <f aca="false">IF(Returns!$O4=1,Returns!E4,"")</f>
        <v/>
      </c>
      <c r="O4" s="26" t="str">
        <f aca="false">IF(Returns!$O4=1,Returns!F4,"")</f>
        <v/>
      </c>
      <c r="P4" s="26" t="str">
        <f aca="false">IF(Returns!$O4=1,Returns!G4,"")</f>
        <v/>
      </c>
      <c r="Q4" s="26" t="str">
        <f aca="false">IF(Returns!$O4=1,Returns!H4,"")</f>
        <v/>
      </c>
      <c r="R4" s="26" t="str">
        <f aca="false">IF(Returns!$O4=1,Returns!I4,"")</f>
        <v/>
      </c>
      <c r="S4" s="26" t="str">
        <f aca="false">IF(Returns!$O4=1,Returns!J4,"")</f>
        <v/>
      </c>
      <c r="T4" s="26" t="n">
        <f aca="false">IF(Returns!$O4=1,"",Returns!K4)</f>
        <v>-0.00631614860917025</v>
      </c>
    </row>
    <row r="5" customFormat="false" ht="15" hidden="false" customHeight="false" outlineLevel="0" collapsed="false">
      <c r="A5" s="25" t="n">
        <f aca="false">Returns!A5</f>
        <v>43711</v>
      </c>
      <c r="B5" s="26" t="n">
        <f aca="false">IF(Returns!$O5=1,"",Returns!B5)</f>
        <v>-0.0124481947624856</v>
      </c>
      <c r="C5" s="26" t="n">
        <f aca="false">IF(Returns!$O5=1,"",Returns!C5)</f>
        <v>-0.00432405572708494</v>
      </c>
      <c r="D5" s="26" t="n">
        <f aca="false">IF(Returns!$O5=1,"",Returns!D5)</f>
        <v>-0.0113560454241817</v>
      </c>
      <c r="E5" s="26" t="n">
        <f aca="false">IF(Returns!$O5=1,"",Returns!E5)</f>
        <v>-0.00724941088056175</v>
      </c>
      <c r="F5" s="26" t="n">
        <f aca="false">IF(Returns!$O5=1,"",Returns!F5)</f>
        <v>0.00161286929107018</v>
      </c>
      <c r="G5" s="26" t="n">
        <f aca="false">IF(Returns!$O5=1,"",Returns!G5)</f>
        <v>-0.00610686999592103</v>
      </c>
      <c r="H5" s="26" t="n">
        <f aca="false">IF(Returns!$O5=1,"",Returns!H5)</f>
        <v>0.0118577475042589</v>
      </c>
      <c r="I5" s="26" t="n">
        <f aca="false">IF(Returns!$O5=1,"",Returns!I5)</f>
        <v>-0.0419348782178124</v>
      </c>
      <c r="J5" s="26" t="n">
        <f aca="false">IF(Returns!$O5=1,"",Returns!J5)</f>
        <v>-0.0106498157204875</v>
      </c>
      <c r="K5" s="26" t="str">
        <f aca="false">IF(Returns!$O5=1,Returns!B5,"")</f>
        <v/>
      </c>
      <c r="L5" s="26" t="str">
        <f aca="false">IF(Returns!$O5=1,Returns!C5,"")</f>
        <v/>
      </c>
      <c r="M5" s="26" t="str">
        <f aca="false">IF(Returns!$O5=1,Returns!D5,"")</f>
        <v/>
      </c>
      <c r="N5" s="26" t="str">
        <f aca="false">IF(Returns!$O5=1,Returns!E5,"")</f>
        <v/>
      </c>
      <c r="O5" s="26" t="str">
        <f aca="false">IF(Returns!$O5=1,Returns!F5,"")</f>
        <v/>
      </c>
      <c r="P5" s="26" t="str">
        <f aca="false">IF(Returns!$O5=1,Returns!G5,"")</f>
        <v/>
      </c>
      <c r="Q5" s="26" t="str">
        <f aca="false">IF(Returns!$O5=1,Returns!H5,"")</f>
        <v/>
      </c>
      <c r="R5" s="26" t="str">
        <f aca="false">IF(Returns!$O5=1,Returns!I5,"")</f>
        <v/>
      </c>
      <c r="S5" s="26" t="str">
        <f aca="false">IF(Returns!$O5=1,Returns!J5,"")</f>
        <v/>
      </c>
      <c r="T5" s="26" t="n">
        <f aca="false">IF(Returns!$O5=1,"",Returns!K5)</f>
        <v>-0.00895540599257842</v>
      </c>
    </row>
    <row r="6" customFormat="false" ht="15" hidden="false" customHeight="false" outlineLevel="0" collapsed="false">
      <c r="A6" s="25" t="n">
        <f aca="false">Returns!A6</f>
        <v>43712</v>
      </c>
      <c r="B6" s="26" t="n">
        <f aca="false">IF(Returns!$O6=1,"",Returns!B6)</f>
        <v>0.0102941600963933</v>
      </c>
      <c r="C6" s="26" t="n">
        <f aca="false">IF(Returns!$O6=1,"",Returns!C6)</f>
        <v>0.0201142633168976</v>
      </c>
      <c r="D6" s="26" t="n">
        <f aca="false">IF(Returns!$O6=1,"",Returns!D6)</f>
        <v>0.0202702702702702</v>
      </c>
      <c r="E6" s="26" t="n">
        <f aca="false">IF(Returns!$O6=1,"",Returns!E6)</f>
        <v>0.0133161695016628</v>
      </c>
      <c r="F6" s="26" t="n">
        <f aca="false">IF(Returns!$O6=1,"",Returns!F6)</f>
        <v>0.0220075731318685</v>
      </c>
      <c r="G6" s="26" t="n">
        <f aca="false">IF(Returns!$O6=1,"",Returns!G6)</f>
        <v>0.0099845618285499</v>
      </c>
      <c r="H6" s="26" t="n">
        <f aca="false">IF(Returns!$O6=1,"",Returns!H6)</f>
        <v>0.0257812500000001</v>
      </c>
      <c r="I6" s="26" t="n">
        <f aca="false">IF(Returns!$O6=1,"",Returns!I6)</f>
        <v>0.0140845673823564</v>
      </c>
      <c r="J6" s="26" t="n">
        <f aca="false">IF(Returns!$O6=1,"",Returns!J6)</f>
        <v>0.0219683655536027</v>
      </c>
      <c r="K6" s="26" t="str">
        <f aca="false">IF(Returns!$O6=1,Returns!B6,"")</f>
        <v/>
      </c>
      <c r="L6" s="26" t="str">
        <f aca="false">IF(Returns!$O6=1,Returns!C6,"")</f>
        <v/>
      </c>
      <c r="M6" s="26" t="str">
        <f aca="false">IF(Returns!$O6=1,Returns!D6,"")</f>
        <v/>
      </c>
      <c r="N6" s="26" t="str">
        <f aca="false">IF(Returns!$O6=1,Returns!E6,"")</f>
        <v/>
      </c>
      <c r="O6" s="26" t="str">
        <f aca="false">IF(Returns!$O6=1,Returns!F6,"")</f>
        <v/>
      </c>
      <c r="P6" s="26" t="str">
        <f aca="false">IF(Returns!$O6=1,Returns!G6,"")</f>
        <v/>
      </c>
      <c r="Q6" s="26" t="str">
        <f aca="false">IF(Returns!$O6=1,Returns!H6,"")</f>
        <v/>
      </c>
      <c r="R6" s="26" t="str">
        <f aca="false">IF(Returns!$O6=1,Returns!I6,"")</f>
        <v/>
      </c>
      <c r="S6" s="26" t="str">
        <f aca="false">IF(Returns!$O6=1,Returns!J6,"")</f>
        <v/>
      </c>
      <c r="T6" s="26" t="n">
        <f aca="false">IF(Returns!$O6=1,"",Returns!K6)</f>
        <v>0.0175356867868446</v>
      </c>
    </row>
    <row r="7" customFormat="false" ht="15" hidden="false" customHeight="false" outlineLevel="0" collapsed="false">
      <c r="A7" s="25" t="n">
        <f aca="false">Returns!A7</f>
        <v>43713</v>
      </c>
      <c r="B7" s="26" t="n">
        <f aca="false">IF(Returns!$O7=1,"",Returns!B7)</f>
        <v>0.00707007693907258</v>
      </c>
      <c r="C7" s="26" t="n">
        <f aca="false">IF(Returns!$O7=1,"",Returns!C7)</f>
        <v>0.015012369034836</v>
      </c>
      <c r="D7" s="26" t="n">
        <f aca="false">IF(Returns!$O7=1,"",Returns!D7)</f>
        <v>-0.00728476821192048</v>
      </c>
      <c r="E7" s="26" t="n">
        <f aca="false">IF(Returns!$O7=1,"",Returns!E7)</f>
        <v>0.00148366466641447</v>
      </c>
      <c r="F7" s="26" t="n">
        <f aca="false">IF(Returns!$O7=1,"",Returns!F7)</f>
        <v>-0.00315124683076884</v>
      </c>
      <c r="G7" s="26" t="n">
        <f aca="false">IF(Returns!$O7=1,"",Returns!G7)</f>
        <v>0.0102661981089809</v>
      </c>
      <c r="H7" s="26" t="n">
        <f aca="false">IF(Returns!$O7=1,"",Returns!H7)</f>
        <v>0.00495045696877372</v>
      </c>
      <c r="I7" s="26" t="n">
        <f aca="false">IF(Returns!$O7=1,"",Returns!I7)</f>
        <v>0.00427349391462983</v>
      </c>
      <c r="J7" s="26" t="n">
        <f aca="false">IF(Returns!$O7=1,"",Returns!J7)</f>
        <v>0</v>
      </c>
      <c r="K7" s="26" t="str">
        <f aca="false">IF(Returns!$O7=1,Returns!B7,"")</f>
        <v/>
      </c>
      <c r="L7" s="26" t="str">
        <f aca="false">IF(Returns!$O7=1,Returns!C7,"")</f>
        <v/>
      </c>
      <c r="M7" s="26" t="str">
        <f aca="false">IF(Returns!$O7=1,Returns!D7,"")</f>
        <v/>
      </c>
      <c r="N7" s="26" t="str">
        <f aca="false">IF(Returns!$O7=1,Returns!E7,"")</f>
        <v/>
      </c>
      <c r="O7" s="26" t="str">
        <f aca="false">IF(Returns!$O7=1,Returns!F7,"")</f>
        <v/>
      </c>
      <c r="P7" s="26" t="str">
        <f aca="false">IF(Returns!$O7=1,Returns!G7,"")</f>
        <v/>
      </c>
      <c r="Q7" s="26" t="str">
        <f aca="false">IF(Returns!$O7=1,Returns!H7,"")</f>
        <v/>
      </c>
      <c r="R7" s="26" t="str">
        <f aca="false">IF(Returns!$O7=1,Returns!I7,"")</f>
        <v/>
      </c>
      <c r="S7" s="26" t="str">
        <f aca="false">IF(Returns!$O7=1,Returns!J7,"")</f>
        <v/>
      </c>
      <c r="T7" s="26" t="n">
        <f aca="false">IF(Returns!$O7=1,"",Returns!K7)</f>
        <v>0.00362447162111314</v>
      </c>
    </row>
    <row r="8" customFormat="false" ht="15" hidden="false" customHeight="false" outlineLevel="0" collapsed="false">
      <c r="A8" s="25" t="n">
        <f aca="false">Returns!A8</f>
        <v>43714</v>
      </c>
      <c r="B8" s="26" t="n">
        <f aca="false">IF(Returns!$O8=1,"",Returns!B8)</f>
        <v>-0.0090852364237044</v>
      </c>
      <c r="C8" s="26" t="n">
        <f aca="false">IF(Returns!$O8=1,"",Returns!C8)</f>
        <v>0.0132450331125828</v>
      </c>
      <c r="D8" s="26" t="n">
        <f aca="false">IF(Returns!$O8=1,"",Returns!D8)</f>
        <v>0.000667111407605114</v>
      </c>
      <c r="E8" s="26" t="n">
        <f aca="false">IF(Returns!$O8=1,"",Returns!E8)</f>
        <v>-0.00888893333333329</v>
      </c>
      <c r="F8" s="26" t="n">
        <f aca="false">IF(Returns!$O8=1,"",Returns!F8)</f>
        <v>-0.012117957409356</v>
      </c>
      <c r="G8" s="26" t="n">
        <f aca="false">IF(Returns!$O8=1,"",Returns!G8)</f>
        <v>-0.0101618742943169</v>
      </c>
      <c r="H8" s="26" t="n">
        <f aca="false">IF(Returns!$O8=1,"",Returns!H8)</f>
        <v>0.00492614645419276</v>
      </c>
      <c r="I8" s="26" t="n">
        <f aca="false">IF(Returns!$O8=1,"",Returns!I8)</f>
        <v>-0.0204254872120171</v>
      </c>
      <c r="J8" s="26" t="n">
        <f aca="false">IF(Returns!$O8=1,"",Returns!J8)</f>
        <v>-0.00150470765262256</v>
      </c>
      <c r="K8" s="26" t="str">
        <f aca="false">IF(Returns!$O8=1,Returns!B8,"")</f>
        <v/>
      </c>
      <c r="L8" s="26" t="str">
        <f aca="false">IF(Returns!$O8=1,Returns!C8,"")</f>
        <v/>
      </c>
      <c r="M8" s="26" t="str">
        <f aca="false">IF(Returns!$O8=1,Returns!D8,"")</f>
        <v/>
      </c>
      <c r="N8" s="26" t="str">
        <f aca="false">IF(Returns!$O8=1,Returns!E8,"")</f>
        <v/>
      </c>
      <c r="O8" s="26" t="str">
        <f aca="false">IF(Returns!$O8=1,Returns!F8,"")</f>
        <v/>
      </c>
      <c r="P8" s="26" t="str">
        <f aca="false">IF(Returns!$O8=1,Returns!G8,"")</f>
        <v/>
      </c>
      <c r="Q8" s="26" t="str">
        <f aca="false">IF(Returns!$O8=1,Returns!H8,"")</f>
        <v/>
      </c>
      <c r="R8" s="26" t="str">
        <f aca="false">IF(Returns!$O8=1,Returns!I8,"")</f>
        <v/>
      </c>
      <c r="S8" s="26" t="str">
        <f aca="false">IF(Returns!$O8=1,Returns!J8,"")</f>
        <v/>
      </c>
      <c r="T8" s="26" t="n">
        <f aca="false">IF(Returns!$O8=1,"",Returns!K8)</f>
        <v>-0.00481621170566328</v>
      </c>
    </row>
    <row r="9" customFormat="false" ht="15" hidden="false" customHeight="false" outlineLevel="0" collapsed="false">
      <c r="A9" s="25" t="n">
        <f aca="false">Returns!A9</f>
        <v>43717</v>
      </c>
      <c r="B9" s="26" t="n">
        <f aca="false">IF(Returns!$O9=1,"",Returns!B9)</f>
        <v>-0.00125030209417365</v>
      </c>
      <c r="C9" s="26" t="n">
        <f aca="false">IF(Returns!$O9=1,"",Returns!C9)</f>
        <v>-0.0453159477124183</v>
      </c>
      <c r="D9" s="26" t="n">
        <f aca="false">IF(Returns!$O9=1,"",Returns!D9)</f>
        <v>0.0133333333333332</v>
      </c>
      <c r="E9" s="26" t="n">
        <f aca="false">IF(Returns!$O9=1,"",Returns!E9)</f>
        <v>-0.0279735214337902</v>
      </c>
      <c r="F9" s="26" t="n">
        <f aca="false">IF(Returns!$O9=1,"",Returns!F9)</f>
        <v>-0.0160001434227299</v>
      </c>
      <c r="G9" s="26" t="n">
        <f aca="false">IF(Returns!$O9=1,"",Returns!G9)</f>
        <v>-0.0288972634561697</v>
      </c>
      <c r="H9" s="26" t="n">
        <f aca="false">IF(Returns!$O9=1,"",Returns!H9)</f>
        <v>0.0154600301659125</v>
      </c>
      <c r="I9" s="26" t="n">
        <f aca="false">IF(Returns!$O9=1,"",Returns!I9)</f>
        <v>-0.0280191810128774</v>
      </c>
      <c r="J9" s="26" t="n">
        <f aca="false">IF(Returns!$O9=1,"",Returns!J9)</f>
        <v>0.0310010327018078</v>
      </c>
      <c r="K9" s="26" t="str">
        <f aca="false">IF(Returns!$O9=1,Returns!B9,"")</f>
        <v/>
      </c>
      <c r="L9" s="26" t="str">
        <f aca="false">IF(Returns!$O9=1,Returns!C9,"")</f>
        <v/>
      </c>
      <c r="M9" s="26" t="str">
        <f aca="false">IF(Returns!$O9=1,Returns!D9,"")</f>
        <v/>
      </c>
      <c r="N9" s="26" t="str">
        <f aca="false">IF(Returns!$O9=1,Returns!E9,"")</f>
        <v/>
      </c>
      <c r="O9" s="26" t="str">
        <f aca="false">IF(Returns!$O9=1,Returns!F9,"")</f>
        <v/>
      </c>
      <c r="P9" s="26" t="str">
        <f aca="false">IF(Returns!$O9=1,Returns!G9,"")</f>
        <v/>
      </c>
      <c r="Q9" s="26" t="str">
        <f aca="false">IF(Returns!$O9=1,Returns!H9,"")</f>
        <v/>
      </c>
      <c r="R9" s="26" t="str">
        <f aca="false">IF(Returns!$O9=1,Returns!I9,"")</f>
        <v/>
      </c>
      <c r="S9" s="26" t="str">
        <f aca="false">IF(Returns!$O9=1,Returns!J9,"")</f>
        <v/>
      </c>
      <c r="T9" s="26" t="n">
        <f aca="false">IF(Returns!$O9=1,"",Returns!K9)</f>
        <v>-0.00974021810345619</v>
      </c>
    </row>
    <row r="10" customFormat="false" ht="15" hidden="false" customHeight="false" outlineLevel="0" collapsed="false">
      <c r="A10" s="25" t="n">
        <f aca="false">Returns!A10</f>
        <v>43718</v>
      </c>
      <c r="B10" s="26" t="n">
        <f aca="false">IF(Returns!$O10=1,"",Returns!B10)</f>
        <v>-0.00250363029417899</v>
      </c>
      <c r="C10" s="26" t="n">
        <f aca="false">IF(Returns!$O10=1,"",Returns!C10)</f>
        <v>0.00182567329190664</v>
      </c>
      <c r="D10" s="26" t="n">
        <f aca="false">IF(Returns!$O10=1,"",Returns!D10)</f>
        <v>-0.0072368421052631</v>
      </c>
      <c r="E10" s="26" t="n">
        <f aca="false">IF(Returns!$O10=1,"",Returns!E10)</f>
        <v>-0.0138400478552745</v>
      </c>
      <c r="F10" s="26" t="n">
        <f aca="false">IF(Returns!$O10=1,"",Returns!F10)</f>
        <v>-0.031978282965704</v>
      </c>
      <c r="G10" s="26" t="n">
        <f aca="false">IF(Returns!$O10=1,"",Returns!G10)</f>
        <v>0.0207517219752653</v>
      </c>
      <c r="H10" s="26" t="n">
        <f aca="false">IF(Returns!$O10=1,"",Returns!H10)</f>
        <v>0.00631266245822504</v>
      </c>
      <c r="I10" s="26" t="n">
        <f aca="false">IF(Returns!$O10=1,"",Returns!I10)</f>
        <v>0.00558657882591618</v>
      </c>
      <c r="J10" s="26" t="n">
        <f aca="false">IF(Returns!$O10=1,"",Returns!J10)</f>
        <v>0.00730847791414635</v>
      </c>
      <c r="K10" s="26" t="str">
        <f aca="false">IF(Returns!$O10=1,Returns!B10,"")</f>
        <v/>
      </c>
      <c r="L10" s="26" t="str">
        <f aca="false">IF(Returns!$O10=1,Returns!C10,"")</f>
        <v/>
      </c>
      <c r="M10" s="26" t="str">
        <f aca="false">IF(Returns!$O10=1,Returns!D10,"")</f>
        <v/>
      </c>
      <c r="N10" s="26" t="str">
        <f aca="false">IF(Returns!$O10=1,Returns!E10,"")</f>
        <v/>
      </c>
      <c r="O10" s="26" t="str">
        <f aca="false">IF(Returns!$O10=1,Returns!F10,"")</f>
        <v/>
      </c>
      <c r="P10" s="26" t="str">
        <f aca="false">IF(Returns!$O10=1,Returns!G10,"")</f>
        <v/>
      </c>
      <c r="Q10" s="26" t="str">
        <f aca="false">IF(Returns!$O10=1,Returns!H10,"")</f>
        <v/>
      </c>
      <c r="R10" s="26" t="str">
        <f aca="false">IF(Returns!$O10=1,Returns!I10,"")</f>
        <v/>
      </c>
      <c r="S10" s="26" t="str">
        <f aca="false">IF(Returns!$O10=1,Returns!J10,"")</f>
        <v/>
      </c>
      <c r="T10" s="26" t="n">
        <f aca="false">IF(Returns!$O10=1,"",Returns!K10)</f>
        <v>-0.00153040986166234</v>
      </c>
    </row>
    <row r="11" customFormat="false" ht="15" hidden="false" customHeight="false" outlineLevel="0" collapsed="false">
      <c r="A11" s="25" t="n">
        <f aca="false">Returns!A11</f>
        <v>43719</v>
      </c>
      <c r="B11" s="26" t="n">
        <f aca="false">IF(Returns!$O11=1,"",Returns!B11)</f>
        <v>0.0345115658960142</v>
      </c>
      <c r="C11" s="26" t="n">
        <f aca="false">IF(Returns!$O11=1,"",Returns!C11)</f>
        <v>0.0143507975934123</v>
      </c>
      <c r="D11" s="26" t="n">
        <f aca="false">IF(Returns!$O11=1,"",Returns!D11)</f>
        <v>0.00861497680583168</v>
      </c>
      <c r="E11" s="26" t="n">
        <f aca="false">IF(Returns!$O11=1,"",Returns!E11)</f>
        <v>0.0169302621280967</v>
      </c>
      <c r="F11" s="26" t="n">
        <f aca="false">IF(Returns!$O11=1,"",Returns!F11)</f>
        <v>0.0520716970648161</v>
      </c>
      <c r="G11" s="26" t="n">
        <f aca="false">IF(Returns!$O11=1,"",Returns!G11)</f>
        <v>0.0375910625239739</v>
      </c>
      <c r="H11" s="26" t="n">
        <f aca="false">IF(Returns!$O11=1,"",Returns!H11)</f>
        <v>-0.00848704797047983</v>
      </c>
      <c r="I11" s="26" t="n">
        <f aca="false">IF(Returns!$O11=1,"",Returns!I11)</f>
        <v>0.0206667279854296</v>
      </c>
      <c r="J11" s="26" t="n">
        <f aca="false">IF(Returns!$O11=1,"",Returns!J11)</f>
        <v>-0.00601162910399544</v>
      </c>
      <c r="K11" s="26" t="str">
        <f aca="false">IF(Returns!$O11=1,Returns!B11,"")</f>
        <v/>
      </c>
      <c r="L11" s="26" t="str">
        <f aca="false">IF(Returns!$O11=1,Returns!C11,"")</f>
        <v/>
      </c>
      <c r="M11" s="26" t="str">
        <f aca="false">IF(Returns!$O11=1,Returns!D11,"")</f>
        <v/>
      </c>
      <c r="N11" s="26" t="str">
        <f aca="false">IF(Returns!$O11=1,Returns!E11,"")</f>
        <v/>
      </c>
      <c r="O11" s="26" t="str">
        <f aca="false">IF(Returns!$O11=1,Returns!F11,"")</f>
        <v/>
      </c>
      <c r="P11" s="26" t="str">
        <f aca="false">IF(Returns!$O11=1,Returns!G11,"")</f>
        <v/>
      </c>
      <c r="Q11" s="26" t="str">
        <f aca="false">IF(Returns!$O11=1,Returns!H11,"")</f>
        <v/>
      </c>
      <c r="R11" s="26" t="str">
        <f aca="false">IF(Returns!$O11=1,Returns!I11,"")</f>
        <v/>
      </c>
      <c r="S11" s="26" t="str">
        <f aca="false">IF(Returns!$O11=1,Returns!J11,"")</f>
        <v/>
      </c>
      <c r="T11" s="26" t="n">
        <f aca="false">IF(Returns!$O11=1,"",Returns!K11)</f>
        <v>0.0189153792136777</v>
      </c>
    </row>
    <row r="12" customFormat="false" ht="15" hidden="false" customHeight="false" outlineLevel="0" collapsed="false">
      <c r="A12" s="25" t="n">
        <f aca="false">Returns!A12</f>
        <v>43720</v>
      </c>
      <c r="B12" s="26" t="n">
        <f aca="false">IF(Returns!$O12=1,"",Returns!B12)</f>
        <v>-0.0153659121586315</v>
      </c>
      <c r="C12" s="26" t="n">
        <f aca="false">IF(Returns!$O12=1,"",Returns!C12)</f>
        <v>-0.00112286101780512</v>
      </c>
      <c r="D12" s="26" t="n">
        <f aca="false">IF(Returns!$O12=1,"",Returns!D12)</f>
        <v>0.00394218134034152</v>
      </c>
      <c r="E12" s="26" t="n">
        <f aca="false">IF(Returns!$O12=1,"",Returns!E12)</f>
        <v>-0.00438115677526374</v>
      </c>
      <c r="F12" s="26" t="n">
        <f aca="false">IF(Returns!$O12=1,"",Returns!F12)</f>
        <v>0.00372537859631916</v>
      </c>
      <c r="G12" s="26" t="n">
        <f aca="false">IF(Returns!$O12=1,"",Returns!G12)</f>
        <v>-0.00702395589737359</v>
      </c>
      <c r="H12" s="26" t="n">
        <f aca="false">IF(Returns!$O12=1,"",Returns!H12)</f>
        <v>0.00707100829657592</v>
      </c>
      <c r="I12" s="26" t="n">
        <f aca="false">IF(Returns!$O12=1,"",Returns!I12)</f>
        <v>-0.00283042481682749</v>
      </c>
      <c r="J12" s="26" t="n">
        <f aca="false">IF(Returns!$O12=1,"",Returns!J12)</f>
        <v>0.0362877573245515</v>
      </c>
      <c r="K12" s="26" t="str">
        <f aca="false">IF(Returns!$O12=1,Returns!B12,"")</f>
        <v/>
      </c>
      <c r="L12" s="26" t="str">
        <f aca="false">IF(Returns!$O12=1,Returns!C12,"")</f>
        <v/>
      </c>
      <c r="M12" s="26" t="str">
        <f aca="false">IF(Returns!$O12=1,Returns!D12,"")</f>
        <v/>
      </c>
      <c r="N12" s="26" t="str">
        <f aca="false">IF(Returns!$O12=1,Returns!E12,"")</f>
        <v/>
      </c>
      <c r="O12" s="26" t="str">
        <f aca="false">IF(Returns!$O12=1,Returns!F12,"")</f>
        <v/>
      </c>
      <c r="P12" s="26" t="str">
        <f aca="false">IF(Returns!$O12=1,Returns!G12,"")</f>
        <v/>
      </c>
      <c r="Q12" s="26" t="str">
        <f aca="false">IF(Returns!$O12=1,Returns!H12,"")</f>
        <v/>
      </c>
      <c r="R12" s="26" t="str">
        <f aca="false">IF(Returns!$O12=1,Returns!I12,"")</f>
        <v/>
      </c>
      <c r="S12" s="26" t="str">
        <f aca="false">IF(Returns!$O12=1,Returns!J12,"")</f>
        <v/>
      </c>
      <c r="T12" s="26" t="n">
        <f aca="false">IF(Returns!$O12=1,"",Returns!K12)</f>
        <v>0.00225577943243185</v>
      </c>
    </row>
    <row r="13" customFormat="false" ht="15" hidden="false" customHeight="false" outlineLevel="0" collapsed="false">
      <c r="A13" s="25" t="n">
        <f aca="false">Returns!A13</f>
        <v>43721</v>
      </c>
      <c r="B13" s="26" t="n">
        <f aca="false">IF(Returns!$O13=1,"",Returns!B13)</f>
        <v>-0.0123203898907518</v>
      </c>
      <c r="C13" s="26" t="n">
        <f aca="false">IF(Returns!$O13=1,"",Returns!C13)</f>
        <v>-0.0332733603090539</v>
      </c>
      <c r="D13" s="26" t="n">
        <f aca="false">IF(Returns!$O13=1,"",Returns!D13)</f>
        <v>0.00196335078534049</v>
      </c>
      <c r="E13" s="26" t="n">
        <f aca="false">IF(Returns!$O13=1,"",Returns!E13)</f>
        <v>-0.0319031593634602</v>
      </c>
      <c r="F13" s="26" t="n">
        <f aca="false">IF(Returns!$O13=1,"",Returns!F13)</f>
        <v>-0.022269416374848</v>
      </c>
      <c r="G13" s="26" t="n">
        <f aca="false">IF(Returns!$O13=1,"",Returns!G13)</f>
        <v>-0.0338793732732922</v>
      </c>
      <c r="H13" s="26" t="n">
        <f aca="false">IF(Returns!$O13=1,"",Returns!H13)</f>
        <v>-0.00665188494648505</v>
      </c>
      <c r="I13" s="26" t="n">
        <f aca="false">IF(Returns!$O13=1,"",Returns!I13)</f>
        <v>0.00436680171994186</v>
      </c>
      <c r="J13" s="26" t="n">
        <f aca="false">IF(Returns!$O13=1,"",Returns!J13)</f>
        <v>0.00201251764967836</v>
      </c>
      <c r="K13" s="26" t="str">
        <f aca="false">IF(Returns!$O13=1,Returns!B13,"")</f>
        <v/>
      </c>
      <c r="L13" s="26" t="str">
        <f aca="false">IF(Returns!$O13=1,Returns!C13,"")</f>
        <v/>
      </c>
      <c r="M13" s="26" t="str">
        <f aca="false">IF(Returns!$O13=1,Returns!D13,"")</f>
        <v/>
      </c>
      <c r="N13" s="26" t="str">
        <f aca="false">IF(Returns!$O13=1,Returns!E13,"")</f>
        <v/>
      </c>
      <c r="O13" s="26" t="str">
        <f aca="false">IF(Returns!$O13=1,Returns!F13,"")</f>
        <v/>
      </c>
      <c r="P13" s="26" t="str">
        <f aca="false">IF(Returns!$O13=1,Returns!G13,"")</f>
        <v/>
      </c>
      <c r="Q13" s="26" t="str">
        <f aca="false">IF(Returns!$O13=1,Returns!H13,"")</f>
        <v/>
      </c>
      <c r="R13" s="26" t="str">
        <f aca="false">IF(Returns!$O13=1,Returns!I13,"")</f>
        <v/>
      </c>
      <c r="S13" s="26" t="str">
        <f aca="false">IF(Returns!$O13=1,Returns!J13,"")</f>
        <v/>
      </c>
      <c r="T13" s="26" t="n">
        <f aca="false">IF(Returns!$O13=1,"",Returns!K13)</f>
        <v>-0.0146616571114367</v>
      </c>
    </row>
    <row r="14" customFormat="false" ht="15" hidden="false" customHeight="false" outlineLevel="0" collapsed="false">
      <c r="A14" s="25" t="n">
        <f aca="false">Returns!A14</f>
        <v>43724</v>
      </c>
      <c r="B14" s="26" t="n">
        <f aca="false">IF(Returns!$O14=1,"",Returns!B14)</f>
        <v>0.00228692317201351</v>
      </c>
      <c r="C14" s="26" t="n">
        <f aca="false">IF(Returns!$O14=1,"",Returns!C14)</f>
        <v>0.00162788375878797</v>
      </c>
      <c r="D14" s="26" t="n">
        <f aca="false">IF(Returns!$O14=1,"",Returns!D14)</f>
        <v>0.000653167864141047</v>
      </c>
      <c r="E14" s="26" t="n">
        <f aca="false">IF(Returns!$O14=1,"",Returns!E14)</f>
        <v>0.00545448748760347</v>
      </c>
      <c r="F14" s="26" t="n">
        <f aca="false">IF(Returns!$O14=1,"",Returns!F14)</f>
        <v>0.0130152377350585</v>
      </c>
      <c r="G14" s="26" t="n">
        <f aca="false">IF(Returns!$O14=1,"",Returns!G14)</f>
        <v>0.014643506179441</v>
      </c>
      <c r="H14" s="26" t="n">
        <f aca="false">IF(Returns!$O14=1,"",Returns!H14)</f>
        <v>0.0438988111569498</v>
      </c>
      <c r="I14" s="26" t="n">
        <f aca="false">IF(Returns!$O14=1,"",Returns!I14)</f>
        <v>-0.000652162955857127</v>
      </c>
      <c r="J14" s="26" t="n">
        <f aca="false">IF(Returns!$O14=1,"",Returns!J14)</f>
        <v>-0.0241012447459078</v>
      </c>
      <c r="K14" s="26" t="str">
        <f aca="false">IF(Returns!$O14=1,Returns!B14,"")</f>
        <v/>
      </c>
      <c r="L14" s="26" t="str">
        <f aca="false">IF(Returns!$O14=1,Returns!C14,"")</f>
        <v/>
      </c>
      <c r="M14" s="26" t="str">
        <f aca="false">IF(Returns!$O14=1,Returns!D14,"")</f>
        <v/>
      </c>
      <c r="N14" s="26" t="str">
        <f aca="false">IF(Returns!$O14=1,Returns!E14,"")</f>
        <v/>
      </c>
      <c r="O14" s="26" t="str">
        <f aca="false">IF(Returns!$O14=1,Returns!F14,"")</f>
        <v/>
      </c>
      <c r="P14" s="26" t="str">
        <f aca="false">IF(Returns!$O14=1,Returns!G14,"")</f>
        <v/>
      </c>
      <c r="Q14" s="26" t="str">
        <f aca="false">IF(Returns!$O14=1,Returns!H14,"")</f>
        <v/>
      </c>
      <c r="R14" s="26" t="str">
        <f aca="false">IF(Returns!$O14=1,Returns!I14,"")</f>
        <v/>
      </c>
      <c r="S14" s="26" t="str">
        <f aca="false">IF(Returns!$O14=1,Returns!J14,"")</f>
        <v/>
      </c>
      <c r="T14" s="26" t="n">
        <f aca="false">IF(Returns!$O14=1,"",Returns!K14)</f>
        <v>0.00631406773913671</v>
      </c>
    </row>
    <row r="15" customFormat="false" ht="15" hidden="false" customHeight="false" outlineLevel="0" collapsed="false">
      <c r="A15" s="25" t="n">
        <f aca="false">Returns!A15</f>
        <v>43725</v>
      </c>
      <c r="B15" s="26" t="n">
        <f aca="false">IF(Returns!$O15=1,"",Returns!B15)</f>
        <v>0.0180461111397243</v>
      </c>
      <c r="C15" s="26" t="n">
        <f aca="false">IF(Returns!$O15=1,"",Returns!C15)</f>
        <v>0.0243789191724597</v>
      </c>
      <c r="D15" s="26" t="n">
        <f aca="false">IF(Returns!$O15=1,"",Returns!D15)</f>
        <v>0.0045691906005223</v>
      </c>
      <c r="E15" s="26" t="n">
        <f aca="false">IF(Returns!$O15=1,"",Returns!E15)</f>
        <v>0.00587705728749532</v>
      </c>
      <c r="F15" s="26" t="n">
        <f aca="false">IF(Returns!$O15=1,"",Returns!F15)</f>
        <v>0.0251606431948161</v>
      </c>
      <c r="G15" s="26" t="n">
        <f aca="false">IF(Returns!$O15=1,"",Returns!G15)</f>
        <v>0.0239270413976453</v>
      </c>
      <c r="H15" s="26" t="n">
        <f aca="false">IF(Returns!$O15=1,"",Returns!H15)</f>
        <v>-0.0131859591299345</v>
      </c>
      <c r="I15" s="26" t="n">
        <f aca="false">IF(Returns!$O15=1,"",Returns!I15)</f>
        <v>0.00696110121468152</v>
      </c>
      <c r="J15" s="26" t="n">
        <f aca="false">IF(Returns!$O15=1,"",Returns!J15)</f>
        <v>0.00637995472319397</v>
      </c>
      <c r="K15" s="26" t="str">
        <f aca="false">IF(Returns!$O15=1,Returns!B15,"")</f>
        <v/>
      </c>
      <c r="L15" s="26" t="str">
        <f aca="false">IF(Returns!$O15=1,Returns!C15,"")</f>
        <v/>
      </c>
      <c r="M15" s="26" t="str">
        <f aca="false">IF(Returns!$O15=1,Returns!D15,"")</f>
        <v/>
      </c>
      <c r="N15" s="26" t="str">
        <f aca="false">IF(Returns!$O15=1,Returns!E15,"")</f>
        <v/>
      </c>
      <c r="O15" s="26" t="str">
        <f aca="false">IF(Returns!$O15=1,Returns!F15,"")</f>
        <v/>
      </c>
      <c r="P15" s="26" t="str">
        <f aca="false">IF(Returns!$O15=1,Returns!G15,"")</f>
        <v/>
      </c>
      <c r="Q15" s="26" t="str">
        <f aca="false">IF(Returns!$O15=1,Returns!H15,"")</f>
        <v/>
      </c>
      <c r="R15" s="26" t="str">
        <f aca="false">IF(Returns!$O15=1,Returns!I15,"")</f>
        <v/>
      </c>
      <c r="S15" s="26" t="str">
        <f aca="false">IF(Returns!$O15=1,Returns!J15,"")</f>
        <v/>
      </c>
      <c r="T15" s="26" t="n">
        <f aca="false">IF(Returns!$O15=1,"",Returns!K15)</f>
        <v>0.0113460066222894</v>
      </c>
    </row>
    <row r="16" customFormat="false" ht="15" hidden="false" customHeight="false" outlineLevel="0" collapsed="false">
      <c r="A16" s="25" t="n">
        <f aca="false">Returns!A16</f>
        <v>43726</v>
      </c>
      <c r="B16" s="26" t="n">
        <f aca="false">IF(Returns!$O16=1,"",Returns!B16)</f>
        <v>0.00448241628026014</v>
      </c>
      <c r="C16" s="26" t="n">
        <f aca="false">IF(Returns!$O16=1,"",Returns!C16)</f>
        <v>0.0181323897612145</v>
      </c>
      <c r="D16" s="26" t="n">
        <f aca="false">IF(Returns!$O16=1,"",Returns!D16)</f>
        <v>0.00909681611435986</v>
      </c>
      <c r="E16" s="26" t="n">
        <f aca="false">IF(Returns!$O16=1,"",Returns!E16)</f>
        <v>0.0141573510231046</v>
      </c>
      <c r="F16" s="26" t="n">
        <f aca="false">IF(Returns!$O16=1,"",Returns!F16)</f>
        <v>0</v>
      </c>
      <c r="G16" s="26" t="n">
        <f aca="false">IF(Returns!$O16=1,"",Returns!G16)</f>
        <v>0.00927299737659482</v>
      </c>
      <c r="H16" s="26" t="n">
        <f aca="false">IF(Returns!$O16=1,"",Returns!H16)</f>
        <v>-0.0169737083071971</v>
      </c>
      <c r="I16" s="26" t="n">
        <f aca="false">IF(Returns!$O16=1,"",Returns!I16)</f>
        <v>-0.00302449261356041</v>
      </c>
      <c r="J16" s="26" t="n">
        <f aca="false">IF(Returns!$O16=1,"",Returns!J16)</f>
        <v>-0.0102249484570573</v>
      </c>
      <c r="K16" s="26" t="str">
        <f aca="false">IF(Returns!$O16=1,Returns!B16,"")</f>
        <v/>
      </c>
      <c r="L16" s="26" t="str">
        <f aca="false">IF(Returns!$O16=1,Returns!C16,"")</f>
        <v/>
      </c>
      <c r="M16" s="26" t="str">
        <f aca="false">IF(Returns!$O16=1,Returns!D16,"")</f>
        <v/>
      </c>
      <c r="N16" s="26" t="str">
        <f aca="false">IF(Returns!$O16=1,Returns!E16,"")</f>
        <v/>
      </c>
      <c r="O16" s="26" t="str">
        <f aca="false">IF(Returns!$O16=1,Returns!F16,"")</f>
        <v/>
      </c>
      <c r="P16" s="26" t="str">
        <f aca="false">IF(Returns!$O16=1,Returns!G16,"")</f>
        <v/>
      </c>
      <c r="Q16" s="26" t="str">
        <f aca="false">IF(Returns!$O16=1,Returns!H16,"")</f>
        <v/>
      </c>
      <c r="R16" s="26" t="str">
        <f aca="false">IF(Returns!$O16=1,Returns!I16,"")</f>
        <v/>
      </c>
      <c r="S16" s="26" t="str">
        <f aca="false">IF(Returns!$O16=1,Returns!J16,"")</f>
        <v/>
      </c>
      <c r="T16" s="26" t="n">
        <f aca="false">IF(Returns!$O16=1,"",Returns!K16)</f>
        <v>0.00276875790863544</v>
      </c>
    </row>
    <row r="17" customFormat="false" ht="15" hidden="false" customHeight="false" outlineLevel="0" collapsed="false">
      <c r="A17" s="25" t="n">
        <f aca="false">Returns!A17</f>
        <v>43727</v>
      </c>
      <c r="B17" s="26" t="n">
        <f aca="false">IF(Returns!$O17=1,"",Returns!B17)</f>
        <v>0.00912780951577719</v>
      </c>
      <c r="C17" s="26" t="n">
        <f aca="false">IF(Returns!$O17=1,"",Returns!C17)</f>
        <v>-0.00756898948283602</v>
      </c>
      <c r="D17" s="26" t="n">
        <f aca="false">IF(Returns!$O17=1,"",Returns!D17)</f>
        <v>0.00128783000643917</v>
      </c>
      <c r="E17" s="26" t="n">
        <f aca="false">IF(Returns!$O17=1,"",Returns!E17)</f>
        <v>0.0163970770959871</v>
      </c>
      <c r="F17" s="26" t="n">
        <f aca="false">IF(Returns!$O17=1,"",Returns!F17)</f>
        <v>0.027154015996308</v>
      </c>
      <c r="G17" s="26" t="n">
        <f aca="false">IF(Returns!$O17=1,"",Returns!G17)</f>
        <v>0.0352811846850858</v>
      </c>
      <c r="H17" s="26" t="n">
        <f aca="false">IF(Returns!$O17=1,"",Returns!H17)</f>
        <v>0.00257171207096651</v>
      </c>
      <c r="I17" s="26" t="n">
        <f aca="false">IF(Returns!$O17=1,"",Returns!I17)</f>
        <v>-0.00520036956974368</v>
      </c>
      <c r="J17" s="26" t="n">
        <f aca="false">IF(Returns!$O17=1,"",Returns!J17)</f>
        <v>-0.00165293381599452</v>
      </c>
      <c r="K17" s="26" t="str">
        <f aca="false">IF(Returns!$O17=1,Returns!B17,"")</f>
        <v/>
      </c>
      <c r="L17" s="26" t="str">
        <f aca="false">IF(Returns!$O17=1,Returns!C17,"")</f>
        <v/>
      </c>
      <c r="M17" s="26" t="str">
        <f aca="false">IF(Returns!$O17=1,Returns!D17,"")</f>
        <v/>
      </c>
      <c r="N17" s="26" t="str">
        <f aca="false">IF(Returns!$O17=1,Returns!E17,"")</f>
        <v/>
      </c>
      <c r="O17" s="26" t="str">
        <f aca="false">IF(Returns!$O17=1,Returns!F17,"")</f>
        <v/>
      </c>
      <c r="P17" s="26" t="str">
        <f aca="false">IF(Returns!$O17=1,Returns!G17,"")</f>
        <v/>
      </c>
      <c r="Q17" s="26" t="str">
        <f aca="false">IF(Returns!$O17=1,Returns!H17,"")</f>
        <v/>
      </c>
      <c r="R17" s="26" t="str">
        <f aca="false">IF(Returns!$O17=1,Returns!I17,"")</f>
        <v/>
      </c>
      <c r="S17" s="26" t="str">
        <f aca="false">IF(Returns!$O17=1,Returns!J17,"")</f>
        <v/>
      </c>
      <c r="T17" s="26" t="n">
        <f aca="false">IF(Returns!$O17=1,"",Returns!K17)</f>
        <v>0.00859970405577662</v>
      </c>
    </row>
    <row r="18" customFormat="false" ht="15" hidden="false" customHeight="false" outlineLevel="0" collapsed="false">
      <c r="A18" s="25" t="n">
        <f aca="false">Returns!A18</f>
        <v>43728</v>
      </c>
      <c r="B18" s="26" t="n">
        <f aca="false">IF(Returns!$O18=1,"",Returns!B18)</f>
        <v>0.010251216080402</v>
      </c>
      <c r="C18" s="26" t="n">
        <f aca="false">IF(Returns!$O18=1,"",Returns!C18)</f>
        <v>0.01659932705249</v>
      </c>
      <c r="D18" s="26" t="n">
        <f aca="false">IF(Returns!$O18=1,"",Returns!D18)</f>
        <v>-0.0192926045016077</v>
      </c>
      <c r="E18" s="26" t="n">
        <f aca="false">IF(Returns!$O18=1,"",Returns!E18)</f>
        <v>0.00218004901602265</v>
      </c>
      <c r="F18" s="26" t="n">
        <f aca="false">IF(Returns!$O18=1,"",Returns!F18)</f>
        <v>0.001525133119477</v>
      </c>
      <c r="G18" s="26" t="n">
        <f aca="false">IF(Returns!$O18=1,"",Returns!G18)</f>
        <v>0.018814376996805</v>
      </c>
      <c r="H18" s="26" t="n">
        <f aca="false">IF(Returns!$O18=1,"",Returns!H18)</f>
        <v>-0.0106266394053998</v>
      </c>
      <c r="I18" s="26" t="n">
        <f aca="false">IF(Returns!$O18=1,"",Returns!I18)</f>
        <v>-0.000435666826165804</v>
      </c>
      <c r="J18" s="26" t="n">
        <f aca="false">IF(Returns!$O18=1,"",Returns!J18)</f>
        <v>0.0020694950331126</v>
      </c>
      <c r="K18" s="26" t="str">
        <f aca="false">IF(Returns!$O18=1,Returns!B18,"")</f>
        <v/>
      </c>
      <c r="L18" s="26" t="str">
        <f aca="false">IF(Returns!$O18=1,Returns!C18,"")</f>
        <v/>
      </c>
      <c r="M18" s="26" t="str">
        <f aca="false">IF(Returns!$O18=1,Returns!D18,"")</f>
        <v/>
      </c>
      <c r="N18" s="26" t="str">
        <f aca="false">IF(Returns!$O18=1,Returns!E18,"")</f>
        <v/>
      </c>
      <c r="O18" s="26" t="str">
        <f aca="false">IF(Returns!$O18=1,Returns!F18,"")</f>
        <v/>
      </c>
      <c r="P18" s="26" t="str">
        <f aca="false">IF(Returns!$O18=1,Returns!G18,"")</f>
        <v/>
      </c>
      <c r="Q18" s="26" t="str">
        <f aca="false">IF(Returns!$O18=1,Returns!H18,"")</f>
        <v/>
      </c>
      <c r="R18" s="26" t="str">
        <f aca="false">IF(Returns!$O18=1,Returns!I18,"")</f>
        <v/>
      </c>
      <c r="S18" s="26" t="str">
        <f aca="false">IF(Returns!$O18=1,Returns!J18,"")</f>
        <v/>
      </c>
      <c r="T18" s="26" t="n">
        <f aca="false">IF(Returns!$O18=1,"",Returns!K18)</f>
        <v>0.00234274295168177</v>
      </c>
    </row>
    <row r="19" customFormat="false" ht="15" hidden="false" customHeight="false" outlineLevel="0" collapsed="false">
      <c r="A19" s="25" t="n">
        <f aca="false">Returns!A19</f>
        <v>43731</v>
      </c>
      <c r="B19" s="26" t="n">
        <f aca="false">IF(Returns!$O19=1,"",Returns!B19)</f>
        <v>-0.024870673492665</v>
      </c>
      <c r="C19" s="26" t="n">
        <f aca="false">IF(Returns!$O19=1,"",Returns!C19)</f>
        <v>-0.0101500225132402</v>
      </c>
      <c r="D19" s="26" t="n">
        <f aca="false">IF(Returns!$O19=1,"",Returns!D19)</f>
        <v>0.00786885245901625</v>
      </c>
      <c r="E19" s="26" t="n">
        <f aca="false">IF(Returns!$O19=1,"",Returns!E19)</f>
        <v>-0.0332825334634113</v>
      </c>
      <c r="F19" s="26" t="n">
        <f aca="false">IF(Returns!$O19=1,"",Returns!F19)</f>
        <v>-0.00761410408798025</v>
      </c>
      <c r="G19" s="26" t="n">
        <f aca="false">IF(Returns!$O19=1,"",Returns!G19)</f>
        <v>0</v>
      </c>
      <c r="H19" s="26" t="n">
        <f aca="false">IF(Returns!$O19=1,"",Returns!H19)</f>
        <v>0.0177777777777779</v>
      </c>
      <c r="I19" s="26" t="n">
        <f aca="false">IF(Returns!$O19=1,"",Returns!I19)</f>
        <v>-0.0193942229691615</v>
      </c>
      <c r="J19" s="26" t="n">
        <f aca="false">IF(Returns!$O19=1,"",Returns!J19)</f>
        <v>-0.00660883959557368</v>
      </c>
      <c r="K19" s="26" t="str">
        <f aca="false">IF(Returns!$O19=1,Returns!B19,"")</f>
        <v/>
      </c>
      <c r="L19" s="26" t="str">
        <f aca="false">IF(Returns!$O19=1,Returns!C19,"")</f>
        <v/>
      </c>
      <c r="M19" s="26" t="str">
        <f aca="false">IF(Returns!$O19=1,Returns!D19,"")</f>
        <v/>
      </c>
      <c r="N19" s="26" t="str">
        <f aca="false">IF(Returns!$O19=1,Returns!E19,"")</f>
        <v/>
      </c>
      <c r="O19" s="26" t="str">
        <f aca="false">IF(Returns!$O19=1,Returns!F19,"")</f>
        <v/>
      </c>
      <c r="P19" s="26" t="str">
        <f aca="false">IF(Returns!$O19=1,Returns!G19,"")</f>
        <v/>
      </c>
      <c r="Q19" s="26" t="str">
        <f aca="false">IF(Returns!$O19=1,Returns!H19,"")</f>
        <v/>
      </c>
      <c r="R19" s="26" t="str">
        <f aca="false">IF(Returns!$O19=1,Returns!I19,"")</f>
        <v/>
      </c>
      <c r="S19" s="26" t="str">
        <f aca="false">IF(Returns!$O19=1,Returns!J19,"")</f>
        <v/>
      </c>
      <c r="T19" s="26" t="n">
        <f aca="false">IF(Returns!$O19=1,"",Returns!K19)</f>
        <v>-0.00847486287613752</v>
      </c>
    </row>
    <row r="20" customFormat="false" ht="15" hidden="false" customHeight="false" outlineLevel="0" collapsed="false">
      <c r="A20" s="25" t="n">
        <f aca="false">Returns!A20</f>
        <v>43732</v>
      </c>
      <c r="B20" s="26" t="n">
        <f aca="false">IF(Returns!$O20=1,"",Returns!B20)</f>
        <v>-0.00020399919216485</v>
      </c>
      <c r="C20" s="26" t="n">
        <f aca="false">IF(Returns!$O20=1,"",Returns!C20)</f>
        <v>-0.0124833038895075</v>
      </c>
      <c r="D20" s="26" t="n">
        <f aca="false">IF(Returns!$O20=1,"",Returns!D20)</f>
        <v>-0.011060507482108</v>
      </c>
      <c r="E20" s="26" t="n">
        <f aca="false">IF(Returns!$O20=1,"",Returns!E20)</f>
        <v>-0.0189019604118352</v>
      </c>
      <c r="F20" s="26" t="n">
        <f aca="false">IF(Returns!$O20=1,"",Returns!F20)</f>
        <v>0.0138106551819532</v>
      </c>
      <c r="G20" s="26" t="n">
        <f aca="false">IF(Returns!$O20=1,"",Returns!G20)</f>
        <v>-0.00452965141011663</v>
      </c>
      <c r="H20" s="26" t="n">
        <f aca="false">IF(Returns!$O20=1,"",Returns!H20)</f>
        <v>-0.00764192139737996</v>
      </c>
      <c r="I20" s="26" t="n">
        <f aca="false">IF(Returns!$O20=1,"",Returns!I20)</f>
        <v>-0.0126666221541426</v>
      </c>
      <c r="J20" s="26" t="n">
        <f aca="false">IF(Returns!$O20=1,"",Returns!J20)</f>
        <v>-0.0243242837556875</v>
      </c>
      <c r="K20" s="26" t="str">
        <f aca="false">IF(Returns!$O20=1,Returns!B20,"")</f>
        <v/>
      </c>
      <c r="L20" s="26" t="str">
        <f aca="false">IF(Returns!$O20=1,Returns!C20,"")</f>
        <v/>
      </c>
      <c r="M20" s="26" t="str">
        <f aca="false">IF(Returns!$O20=1,Returns!D20,"")</f>
        <v/>
      </c>
      <c r="N20" s="26" t="str">
        <f aca="false">IF(Returns!$O20=1,Returns!E20,"")</f>
        <v/>
      </c>
      <c r="O20" s="26" t="str">
        <f aca="false">IF(Returns!$O20=1,Returns!F20,"")</f>
        <v/>
      </c>
      <c r="P20" s="26" t="str">
        <f aca="false">IF(Returns!$O20=1,Returns!G20,"")</f>
        <v/>
      </c>
      <c r="Q20" s="26" t="str">
        <f aca="false">IF(Returns!$O20=1,Returns!H20,"")</f>
        <v/>
      </c>
      <c r="R20" s="26" t="str">
        <f aca="false">IF(Returns!$O20=1,Returns!I20,"")</f>
        <v/>
      </c>
      <c r="S20" s="26" t="str">
        <f aca="false">IF(Returns!$O20=1,Returns!J20,"")</f>
        <v/>
      </c>
      <c r="T20" s="26" t="n">
        <f aca="false">IF(Returns!$O20=1,"",Returns!K20)</f>
        <v>-0.00866684383455433</v>
      </c>
    </row>
    <row r="21" customFormat="false" ht="15" hidden="false" customHeight="false" outlineLevel="0" collapsed="false">
      <c r="A21" s="25" t="n">
        <f aca="false">Returns!A21</f>
        <v>43733</v>
      </c>
      <c r="B21" s="26" t="n">
        <f aca="false">IF(Returns!$O21=1,"",Returns!B21)</f>
        <v>-0.00163269387755105</v>
      </c>
      <c r="C21" s="26" t="n">
        <f aca="false">IF(Returns!$O21=1,"",Returns!C21)</f>
        <v>-0.00654623054384795</v>
      </c>
      <c r="D21" s="26" t="n">
        <f aca="false">IF(Returns!$O21=1,"",Returns!D21)</f>
        <v>0.00592105263157894</v>
      </c>
      <c r="E21" s="26" t="n">
        <f aca="false">IF(Returns!$O21=1,"",Returns!E21)</f>
        <v>0.0238532554625046</v>
      </c>
      <c r="F21" s="26" t="n">
        <f aca="false">IF(Returns!$O21=1,"",Returns!F21)</f>
        <v>0.0110999355165888</v>
      </c>
      <c r="G21" s="26" t="n">
        <f aca="false">IF(Returns!$O21=1,"",Returns!G21)</f>
        <v>-0.00490024501225062</v>
      </c>
      <c r="H21" s="26" t="n">
        <f aca="false">IF(Returns!$O21=1,"",Returns!H21)</f>
        <v>0.00256692335900266</v>
      </c>
      <c r="I21" s="26" t="n">
        <f aca="false">IF(Returns!$O21=1,"",Returns!I21)</f>
        <v>0.026558606138239</v>
      </c>
      <c r="J21" s="26" t="n">
        <f aca="false">IF(Returns!$O21=1,"",Returns!J21)</f>
        <v>0.0198167696569358</v>
      </c>
      <c r="K21" s="26" t="str">
        <f aca="false">IF(Returns!$O21=1,Returns!B21,"")</f>
        <v/>
      </c>
      <c r="L21" s="26" t="str">
        <f aca="false">IF(Returns!$O21=1,Returns!C21,"")</f>
        <v/>
      </c>
      <c r="M21" s="26" t="str">
        <f aca="false">IF(Returns!$O21=1,Returns!D21,"")</f>
        <v/>
      </c>
      <c r="N21" s="26" t="str">
        <f aca="false">IF(Returns!$O21=1,Returns!E21,"")</f>
        <v/>
      </c>
      <c r="O21" s="26" t="str">
        <f aca="false">IF(Returns!$O21=1,Returns!F21,"")</f>
        <v/>
      </c>
      <c r="P21" s="26" t="str">
        <f aca="false">IF(Returns!$O21=1,Returns!G21,"")</f>
        <v/>
      </c>
      <c r="Q21" s="26" t="str">
        <f aca="false">IF(Returns!$O21=1,Returns!H21,"")</f>
        <v/>
      </c>
      <c r="R21" s="26" t="str">
        <f aca="false">IF(Returns!$O21=1,Returns!I21,"")</f>
        <v/>
      </c>
      <c r="S21" s="26" t="str">
        <f aca="false">IF(Returns!$O21=1,Returns!J21,"")</f>
        <v/>
      </c>
      <c r="T21" s="26" t="n">
        <f aca="false">IF(Returns!$O21=1,"",Returns!K21)</f>
        <v>0.0085263748145778</v>
      </c>
    </row>
    <row r="22" customFormat="false" ht="15" hidden="false" customHeight="false" outlineLevel="0" collapsed="false">
      <c r="A22" s="25" t="n">
        <f aca="false">Returns!A22</f>
        <v>43734</v>
      </c>
      <c r="B22" s="26" t="n">
        <f aca="false">IF(Returns!$O22=1,"",Returns!B22)</f>
        <v>0.0116517584485591</v>
      </c>
      <c r="C22" s="26" t="n">
        <f aca="false">IF(Returns!$O22=1,"",Returns!C22)</f>
        <v>0.0172687798227675</v>
      </c>
      <c r="D22" s="26" t="n">
        <f aca="false">IF(Returns!$O22=1,"",Returns!D22)</f>
        <v>-0.00457815565729225</v>
      </c>
      <c r="E22" s="26" t="n">
        <f aca="false">IF(Returns!$O22=1,"",Returns!E22)</f>
        <v>-0.00604843745935191</v>
      </c>
      <c r="F22" s="26" t="n">
        <f aca="false">IF(Returns!$O22=1,"",Returns!F22)</f>
        <v>-0.000998016334881502</v>
      </c>
      <c r="G22" s="26" t="n">
        <f aca="false">IF(Returns!$O22=1,"",Returns!G22)</f>
        <v>0.00949704537460439</v>
      </c>
      <c r="H22" s="26" t="n">
        <f aca="false">IF(Returns!$O22=1,"",Returns!H22)</f>
        <v>0.0131675566934895</v>
      </c>
      <c r="I22" s="26" t="n">
        <f aca="false">IF(Returns!$O22=1,"",Returns!I22)</f>
        <v>0.0109625056302964</v>
      </c>
      <c r="J22" s="26" t="n">
        <f aca="false">IF(Returns!$O22=1,"",Returns!J22)</f>
        <v>0</v>
      </c>
      <c r="K22" s="26" t="str">
        <f aca="false">IF(Returns!$O22=1,Returns!B22,"")</f>
        <v/>
      </c>
      <c r="L22" s="26" t="str">
        <f aca="false">IF(Returns!$O22=1,Returns!C22,"")</f>
        <v/>
      </c>
      <c r="M22" s="26" t="str">
        <f aca="false">IF(Returns!$O22=1,Returns!D22,"")</f>
        <v/>
      </c>
      <c r="N22" s="26" t="str">
        <f aca="false">IF(Returns!$O22=1,Returns!E22,"")</f>
        <v/>
      </c>
      <c r="O22" s="26" t="str">
        <f aca="false">IF(Returns!$O22=1,Returns!F22,"")</f>
        <v/>
      </c>
      <c r="P22" s="26" t="str">
        <f aca="false">IF(Returns!$O22=1,Returns!G22,"")</f>
        <v/>
      </c>
      <c r="Q22" s="26" t="str">
        <f aca="false">IF(Returns!$O22=1,Returns!H22,"")</f>
        <v/>
      </c>
      <c r="R22" s="26" t="str">
        <f aca="false">IF(Returns!$O22=1,Returns!I22,"")</f>
        <v/>
      </c>
      <c r="S22" s="26" t="str">
        <f aca="false">IF(Returns!$O22=1,Returns!J22,"")</f>
        <v/>
      </c>
      <c r="T22" s="26" t="n">
        <f aca="false">IF(Returns!$O22=1,"",Returns!K22)</f>
        <v>0.00565811516868792</v>
      </c>
    </row>
    <row r="23" customFormat="false" ht="15" hidden="false" customHeight="false" outlineLevel="0" collapsed="false">
      <c r="A23" s="25" t="n">
        <f aca="false">Returns!A23</f>
        <v>43735</v>
      </c>
      <c r="B23" s="26" t="n">
        <f aca="false">IF(Returns!$O23=1,"",Returns!B23)</f>
        <v>-0.0022226913629948</v>
      </c>
      <c r="C23" s="26" t="n">
        <f aca="false">IF(Returns!$O23=1,"",Returns!C23)</f>
        <v>-0.00871119072394877</v>
      </c>
      <c r="D23" s="26" t="n">
        <f aca="false">IF(Returns!$O23=1,"",Returns!D23)</f>
        <v>-0.00525624178712225</v>
      </c>
      <c r="E23" s="26" t="n">
        <f aca="false">IF(Returns!$O23=1,"",Returns!E23)</f>
        <v>-0.00473295152646513</v>
      </c>
      <c r="F23" s="26" t="n">
        <f aca="false">IF(Returns!$O23=1,"",Returns!F23)</f>
        <v>-0.0064935367614315</v>
      </c>
      <c r="G23" s="26" t="n">
        <f aca="false">IF(Returns!$O23=1,"",Returns!G23)</f>
        <v>-0.00418121936650806</v>
      </c>
      <c r="H23" s="26" t="n">
        <f aca="false">IF(Returns!$O23=1,"",Returns!H23)</f>
        <v>-0.00144407937024982</v>
      </c>
      <c r="I23" s="26" t="n">
        <f aca="false">IF(Returns!$O23=1,"",Returns!I23)</f>
        <v>0.0236391328337042</v>
      </c>
      <c r="J23" s="26" t="n">
        <f aca="false">IF(Returns!$O23=1,"",Returns!J23)</f>
        <v>-0.00417887580069209</v>
      </c>
      <c r="K23" s="26" t="str">
        <f aca="false">IF(Returns!$O23=1,Returns!B23,"")</f>
        <v/>
      </c>
      <c r="L23" s="26" t="str">
        <f aca="false">IF(Returns!$O23=1,Returns!C23,"")</f>
        <v/>
      </c>
      <c r="M23" s="26" t="str">
        <f aca="false">IF(Returns!$O23=1,Returns!D23,"")</f>
        <v/>
      </c>
      <c r="N23" s="26" t="str">
        <f aca="false">IF(Returns!$O23=1,Returns!E23,"")</f>
        <v/>
      </c>
      <c r="O23" s="26" t="str">
        <f aca="false">IF(Returns!$O23=1,Returns!F23,"")</f>
        <v/>
      </c>
      <c r="P23" s="26" t="str">
        <f aca="false">IF(Returns!$O23=1,Returns!G23,"")</f>
        <v/>
      </c>
      <c r="Q23" s="26" t="str">
        <f aca="false">IF(Returns!$O23=1,Returns!H23,"")</f>
        <v/>
      </c>
      <c r="R23" s="26" t="str">
        <f aca="false">IF(Returns!$O23=1,Returns!I23,"")</f>
        <v/>
      </c>
      <c r="S23" s="26" t="str">
        <f aca="false">IF(Returns!$O23=1,Returns!J23,"")</f>
        <v/>
      </c>
      <c r="T23" s="26" t="n">
        <f aca="false">IF(Returns!$O23=1,"",Returns!K23)</f>
        <v>-0.00150907265174536</v>
      </c>
    </row>
    <row r="24" customFormat="false" ht="15" hidden="false" customHeight="false" outlineLevel="0" collapsed="false">
      <c r="A24" s="25" t="n">
        <f aca="false">Returns!A24</f>
        <v>43738</v>
      </c>
      <c r="B24" s="26" t="n">
        <f aca="false">IF(Returns!$O24=1,"",Returns!B24)</f>
        <v>0.002835135625048</v>
      </c>
      <c r="C24" s="26" t="n">
        <f aca="false">IF(Returns!$O24=1,"",Returns!C24)</f>
        <v>-0.0168995046619987</v>
      </c>
      <c r="D24" s="26" t="n">
        <f aca="false">IF(Returns!$O24=1,"",Returns!D24)</f>
        <v>0.0165125495376486</v>
      </c>
      <c r="E24" s="26" t="n">
        <f aca="false">IF(Returns!$O24=1,"",Returns!E24)</f>
        <v>0.0294384734672877</v>
      </c>
      <c r="F24" s="26" t="n">
        <f aca="false">IF(Returns!$O24=1,"",Returns!F24)</f>
        <v>0.00351940013705909</v>
      </c>
      <c r="G24" s="26" t="n">
        <f aca="false">IF(Returns!$O24=1,"",Returns!G24)</f>
        <v>0.00944716585024508</v>
      </c>
      <c r="H24" s="26" t="n">
        <f aca="false">IF(Returns!$O24=1,"",Returns!H24)</f>
        <v>-0.00397689804772239</v>
      </c>
      <c r="I24" s="26" t="n">
        <f aca="false">IF(Returns!$O24=1,"",Returns!I24)</f>
        <v>0.0108051549138299</v>
      </c>
      <c r="J24" s="26" t="n">
        <f aca="false">IF(Returns!$O24=1,"",Returns!J24)</f>
        <v>0.00188837599664304</v>
      </c>
      <c r="K24" s="26" t="str">
        <f aca="false">IF(Returns!$O24=1,Returns!B24,"")</f>
        <v/>
      </c>
      <c r="L24" s="26" t="str">
        <f aca="false">IF(Returns!$O24=1,Returns!C24,"")</f>
        <v/>
      </c>
      <c r="M24" s="26" t="str">
        <f aca="false">IF(Returns!$O24=1,Returns!D24,"")</f>
        <v/>
      </c>
      <c r="N24" s="26" t="str">
        <f aca="false">IF(Returns!$O24=1,Returns!E24,"")</f>
        <v/>
      </c>
      <c r="O24" s="26" t="str">
        <f aca="false">IF(Returns!$O24=1,Returns!F24,"")</f>
        <v/>
      </c>
      <c r="P24" s="26" t="str">
        <f aca="false">IF(Returns!$O24=1,Returns!G24,"")</f>
        <v/>
      </c>
      <c r="Q24" s="26" t="str">
        <f aca="false">IF(Returns!$O24=1,Returns!H24,"")</f>
        <v/>
      </c>
      <c r="R24" s="26" t="str">
        <f aca="false">IF(Returns!$O24=1,Returns!I24,"")</f>
        <v/>
      </c>
      <c r="S24" s="26" t="str">
        <f aca="false">IF(Returns!$O24=1,Returns!J24,"")</f>
        <v/>
      </c>
      <c r="T24" s="26" t="n">
        <f aca="false">IF(Returns!$O24=1,"",Returns!K24)</f>
        <v>0.00595220586867114</v>
      </c>
    </row>
    <row r="25" customFormat="false" ht="15" hidden="false" customHeight="false" outlineLevel="0" collapsed="false">
      <c r="A25" s="25" t="n">
        <f aca="false">Returns!A25</f>
        <v>43739</v>
      </c>
      <c r="B25" s="26" t="n">
        <f aca="false">IF(Returns!$O25=1,"",Returns!B25)</f>
        <v>0.00323101777059764</v>
      </c>
      <c r="C25" s="26" t="n">
        <f aca="false">IF(Returns!$O25=1,"",Returns!C25)</f>
        <v>0.00320882427707603</v>
      </c>
      <c r="D25" s="26" t="n">
        <f aca="false">IF(Returns!$O25=1,"",Returns!D25)</f>
        <v>-0.0142949967511371</v>
      </c>
      <c r="E25" s="26" t="n">
        <f aca="false">IF(Returns!$O25=1,"",Returns!E25)</f>
        <v>-0.0230972283834079</v>
      </c>
      <c r="F25" s="26" t="n">
        <f aca="false">IF(Returns!$O25=1,"",Returns!F25)</f>
        <v>-0.0120240962522917</v>
      </c>
      <c r="G25" s="26" t="n">
        <f aca="false">IF(Returns!$O25=1,"",Returns!G25)</f>
        <v>-0.0298093587521665</v>
      </c>
      <c r="H25" s="26" t="n">
        <f aca="false">IF(Returns!$O25=1,"",Returns!H25)</f>
        <v>-0.00145186938119302</v>
      </c>
      <c r="I25" s="26" t="n">
        <f aca="false">IF(Returns!$O25=1,"",Returns!I25)</f>
        <v>-0.00125768998769493</v>
      </c>
      <c r="J25" s="26" t="n">
        <f aca="false">IF(Returns!$O25=1,"",Returns!J25)</f>
        <v>-0.000837717277486827</v>
      </c>
      <c r="K25" s="26" t="str">
        <f aca="false">IF(Returns!$O25=1,Returns!B25,"")</f>
        <v/>
      </c>
      <c r="L25" s="26" t="str">
        <f aca="false">IF(Returns!$O25=1,Returns!C25,"")</f>
        <v/>
      </c>
      <c r="M25" s="26" t="str">
        <f aca="false">IF(Returns!$O25=1,Returns!D25,"")</f>
        <v/>
      </c>
      <c r="N25" s="26" t="str">
        <f aca="false">IF(Returns!$O25=1,Returns!E25,"")</f>
        <v/>
      </c>
      <c r="O25" s="26" t="str">
        <f aca="false">IF(Returns!$O25=1,Returns!F25,"")</f>
        <v/>
      </c>
      <c r="P25" s="26" t="str">
        <f aca="false">IF(Returns!$O25=1,Returns!G25,"")</f>
        <v/>
      </c>
      <c r="Q25" s="26" t="str">
        <f aca="false">IF(Returns!$O25=1,Returns!H25,"")</f>
        <v/>
      </c>
      <c r="R25" s="26" t="str">
        <f aca="false">IF(Returns!$O25=1,Returns!I25,"")</f>
        <v/>
      </c>
      <c r="S25" s="26" t="str">
        <f aca="false">IF(Returns!$O25=1,Returns!J25,"")</f>
        <v/>
      </c>
      <c r="T25" s="26" t="n">
        <f aca="false">IF(Returns!$O25=1,"",Returns!K25)</f>
        <v>-0.00848145719307826</v>
      </c>
    </row>
    <row r="26" customFormat="false" ht="15" hidden="false" customHeight="false" outlineLevel="0" collapsed="false">
      <c r="A26" s="25" t="n">
        <f aca="false">Returns!A26</f>
        <v>43740</v>
      </c>
      <c r="B26" s="26" t="n">
        <f aca="false">IF(Returns!$O26=1,"",Returns!B26)</f>
        <v>0.0295894122383253</v>
      </c>
      <c r="C26" s="26" t="n">
        <f aca="false">IF(Returns!$O26=1,"",Returns!C26)</f>
        <v>-0.0153073337902673</v>
      </c>
      <c r="D26" s="26" t="n">
        <f aca="false">IF(Returns!$O26=1,"",Returns!D26)</f>
        <v>-0.0151615029663811</v>
      </c>
      <c r="E26" s="26" t="n">
        <f aca="false">IF(Returns!$O26=1,"",Returns!E26)</f>
        <v>-0.0385049021357913</v>
      </c>
      <c r="F26" s="26" t="n">
        <f aca="false">IF(Returns!$O26=1,"",Returns!F26)</f>
        <v>-0.0152130179718745</v>
      </c>
      <c r="G26" s="26" t="n">
        <f aca="false">IF(Returns!$O26=1,"",Returns!G26)</f>
        <v>-0.0257234726688103</v>
      </c>
      <c r="H26" s="26" t="n">
        <f aca="false">IF(Returns!$O26=1,"",Returns!H26)</f>
        <v>-0.0287168665939659</v>
      </c>
      <c r="I26" s="26" t="n">
        <f aca="false">IF(Returns!$O26=1,"",Returns!I26)</f>
        <v>-0.026023041179583</v>
      </c>
      <c r="J26" s="26" t="n">
        <f aca="false">IF(Returns!$O26=1,"",Returns!J26)</f>
        <v>-0.0547055345777727</v>
      </c>
      <c r="K26" s="26" t="str">
        <f aca="false">IF(Returns!$O26=1,Returns!B26,"")</f>
        <v/>
      </c>
      <c r="L26" s="26" t="str">
        <f aca="false">IF(Returns!$O26=1,Returns!C26,"")</f>
        <v/>
      </c>
      <c r="M26" s="26" t="str">
        <f aca="false">IF(Returns!$O26=1,Returns!D26,"")</f>
        <v/>
      </c>
      <c r="N26" s="26" t="str">
        <f aca="false">IF(Returns!$O26=1,Returns!E26,"")</f>
        <v/>
      </c>
      <c r="O26" s="26" t="str">
        <f aca="false">IF(Returns!$O26=1,Returns!F26,"")</f>
        <v/>
      </c>
      <c r="P26" s="26" t="str">
        <f aca="false">IF(Returns!$O26=1,Returns!G26,"")</f>
        <v/>
      </c>
      <c r="Q26" s="26" t="str">
        <f aca="false">IF(Returns!$O26=1,Returns!H26,"")</f>
        <v/>
      </c>
      <c r="R26" s="26" t="str">
        <f aca="false">IF(Returns!$O26=1,Returns!I26,"")</f>
        <v/>
      </c>
      <c r="S26" s="26" t="str">
        <f aca="false">IF(Returns!$O26=1,Returns!J26,"")</f>
        <v/>
      </c>
      <c r="T26" s="26" t="n">
        <f aca="false">IF(Returns!$O26=1,"",Returns!K26)</f>
        <v>-0.0210851399606801</v>
      </c>
    </row>
    <row r="27" customFormat="false" ht="15" hidden="false" customHeight="false" outlineLevel="0" collapsed="false">
      <c r="A27" s="25" t="n">
        <f aca="false">Returns!A27</f>
        <v>43741</v>
      </c>
      <c r="B27" s="26" t="n">
        <f aca="false">IF(Returns!$O27=1,"",Returns!B27)</f>
        <v>0.036168092427445</v>
      </c>
      <c r="C27" s="26" t="n">
        <f aca="false">IF(Returns!$O27=1,"",Returns!C27)</f>
        <v>0.0116009518144293</v>
      </c>
      <c r="D27" s="26" t="n">
        <f aca="false">IF(Returns!$O27=1,"",Returns!D27)</f>
        <v>-0.00870147255689413</v>
      </c>
      <c r="E27" s="26" t="n">
        <f aca="false">IF(Returns!$O27=1,"",Returns!E27)</f>
        <v>0.0103044596920958</v>
      </c>
      <c r="F27" s="26" t="n">
        <f aca="false">IF(Returns!$O27=1,"",Returns!F27)</f>
        <v>-0.0123582889521405</v>
      </c>
      <c r="G27" s="26" t="n">
        <f aca="false">IF(Returns!$O27=1,"",Returns!G27)</f>
        <v>0.00843417675100855</v>
      </c>
      <c r="H27" s="26" t="n">
        <f aca="false">IF(Returns!$O27=1,"",Returns!H27)</f>
        <v>0.000748540447175872</v>
      </c>
      <c r="I27" s="26" t="n">
        <f aca="false">IF(Returns!$O27=1,"",Returns!I27)</f>
        <v>-0.00150834783800613</v>
      </c>
      <c r="J27" s="26" t="n">
        <f aca="false">IF(Returns!$O27=1,"",Returns!J27)</f>
        <v>0.00753882516801885</v>
      </c>
      <c r="K27" s="26" t="str">
        <f aca="false">IF(Returns!$O27=1,Returns!B27,"")</f>
        <v/>
      </c>
      <c r="L27" s="26" t="str">
        <f aca="false">IF(Returns!$O27=1,Returns!C27,"")</f>
        <v/>
      </c>
      <c r="M27" s="26" t="str">
        <f aca="false">IF(Returns!$O27=1,Returns!D27,"")</f>
        <v/>
      </c>
      <c r="N27" s="26" t="str">
        <f aca="false">IF(Returns!$O27=1,Returns!E27,"")</f>
        <v/>
      </c>
      <c r="O27" s="26" t="str">
        <f aca="false">IF(Returns!$O27=1,Returns!F27,"")</f>
        <v/>
      </c>
      <c r="P27" s="26" t="str">
        <f aca="false">IF(Returns!$O27=1,Returns!G27,"")</f>
        <v/>
      </c>
      <c r="Q27" s="26" t="str">
        <f aca="false">IF(Returns!$O27=1,Returns!H27,"")</f>
        <v/>
      </c>
      <c r="R27" s="26" t="str">
        <f aca="false">IF(Returns!$O27=1,Returns!I27,"")</f>
        <v/>
      </c>
      <c r="S27" s="26" t="str">
        <f aca="false">IF(Returns!$O27=1,Returns!J27,"")</f>
        <v/>
      </c>
      <c r="T27" s="26" t="n">
        <f aca="false">IF(Returns!$O27=1,"",Returns!K27)</f>
        <v>0.00580299299479251</v>
      </c>
    </row>
    <row r="28" customFormat="false" ht="15" hidden="false" customHeight="false" outlineLevel="0" collapsed="false">
      <c r="A28" s="25" t="n">
        <f aca="false">Returns!A28</f>
        <v>43742</v>
      </c>
      <c r="B28" s="26" t="n">
        <f aca="false">IF(Returns!$O28=1,"",Returns!B28)</f>
        <v>0.0475471698113208</v>
      </c>
      <c r="C28" s="26" t="n">
        <f aca="false">IF(Returns!$O28=1,"",Returns!C28)</f>
        <v>0.0217890142612158</v>
      </c>
      <c r="D28" s="26" t="n">
        <f aca="false">IF(Returns!$O28=1,"",Returns!D28)</f>
        <v>0.00607697501688054</v>
      </c>
      <c r="E28" s="26" t="n">
        <f aca="false">IF(Returns!$O28=1,"",Returns!E28)</f>
        <v>0.0164581302619267</v>
      </c>
      <c r="F28" s="26" t="n">
        <f aca="false">IF(Returns!$O28=1,"",Returns!F28)</f>
        <v>0.0312825014156755</v>
      </c>
      <c r="G28" s="26" t="n">
        <f aca="false">IF(Returns!$O28=1,"",Returns!G28)</f>
        <v>0.018909090909091</v>
      </c>
      <c r="H28" s="26" t="n">
        <f aca="false">IF(Returns!$O28=1,"",Returns!H28)</f>
        <v>-0.00860134629768128</v>
      </c>
      <c r="I28" s="26" t="n">
        <f aca="false">IF(Returns!$O28=1,"",Returns!I28)</f>
        <v>0.0105740583112093</v>
      </c>
      <c r="J28" s="26" t="n">
        <f aca="false">IF(Returns!$O28=1,"",Returns!J28)</f>
        <v>0.0253081211555486</v>
      </c>
      <c r="K28" s="26" t="str">
        <f aca="false">IF(Returns!$O28=1,Returns!B28,"")</f>
        <v/>
      </c>
      <c r="L28" s="26" t="str">
        <f aca="false">IF(Returns!$O28=1,Returns!C28,"")</f>
        <v/>
      </c>
      <c r="M28" s="26" t="str">
        <f aca="false">IF(Returns!$O28=1,Returns!D28,"")</f>
        <v/>
      </c>
      <c r="N28" s="26" t="str">
        <f aca="false">IF(Returns!$O28=1,Returns!E28,"")</f>
        <v/>
      </c>
      <c r="O28" s="26" t="str">
        <f aca="false">IF(Returns!$O28=1,Returns!F28,"")</f>
        <v/>
      </c>
      <c r="P28" s="26" t="str">
        <f aca="false">IF(Returns!$O28=1,Returns!G28,"")</f>
        <v/>
      </c>
      <c r="Q28" s="26" t="str">
        <f aca="false">IF(Returns!$O28=1,Returns!H28,"")</f>
        <v/>
      </c>
      <c r="R28" s="26" t="str">
        <f aca="false">IF(Returns!$O28=1,Returns!I28,"")</f>
        <v/>
      </c>
      <c r="S28" s="26" t="str">
        <f aca="false">IF(Returns!$O28=1,Returns!J28,"")</f>
        <v/>
      </c>
      <c r="T28" s="26" t="n">
        <f aca="false">IF(Returns!$O28=1,"",Returns!K28)</f>
        <v>0.0188159683161319</v>
      </c>
    </row>
    <row r="29" customFormat="false" ht="15" hidden="false" customHeight="false" outlineLevel="0" collapsed="false">
      <c r="A29" s="25" t="n">
        <f aca="false">Returns!A29</f>
        <v>43745</v>
      </c>
      <c r="B29" s="26" t="n">
        <f aca="false">IF(Returns!$O29=1,"",Returns!B29)</f>
        <v>0.0086455331412103</v>
      </c>
      <c r="C29" s="26" t="n">
        <f aca="false">IF(Returns!$O29=1,"",Returns!C29)</f>
        <v>-0.0347923905723906</v>
      </c>
      <c r="D29" s="26" t="n">
        <f aca="false">IF(Returns!$O29=1,"",Returns!D29)</f>
        <v>-0.0120805369127517</v>
      </c>
      <c r="E29" s="26" t="n">
        <f aca="false">IF(Returns!$O29=1,"",Returns!E29)</f>
        <v>-0.0148232937452616</v>
      </c>
      <c r="F29" s="26" t="n">
        <f aca="false">IF(Returns!$O29=1,"",Returns!F29)</f>
        <v>-0.0111222303935732</v>
      </c>
      <c r="G29" s="26" t="n">
        <f aca="false">IF(Returns!$O29=1,"",Returns!G29)</f>
        <v>-0.034261277658815</v>
      </c>
      <c r="H29" s="26" t="n">
        <f aca="false">IF(Returns!$O29=1,"",Returns!H29)</f>
        <v>-0.012825348924934</v>
      </c>
      <c r="I29" s="26" t="n">
        <f aca="false">IF(Returns!$O29=1,"",Returns!I29)</f>
        <v>0.00576548408702848</v>
      </c>
      <c r="J29" s="26" t="n">
        <f aca="false">IF(Returns!$O29=1,"",Returns!J29)</f>
        <v>-0.0118050869285256</v>
      </c>
      <c r="K29" s="26" t="str">
        <f aca="false">IF(Returns!$O29=1,Returns!B29,"")</f>
        <v/>
      </c>
      <c r="L29" s="26" t="str">
        <f aca="false">IF(Returns!$O29=1,Returns!C29,"")</f>
        <v/>
      </c>
      <c r="M29" s="26" t="str">
        <f aca="false">IF(Returns!$O29=1,Returns!D29,"")</f>
        <v/>
      </c>
      <c r="N29" s="26" t="str">
        <f aca="false">IF(Returns!$O29=1,Returns!E29,"")</f>
        <v/>
      </c>
      <c r="O29" s="26" t="str">
        <f aca="false">IF(Returns!$O29=1,Returns!F29,"")</f>
        <v/>
      </c>
      <c r="P29" s="26" t="str">
        <f aca="false">IF(Returns!$O29=1,Returns!G29,"")</f>
        <v/>
      </c>
      <c r="Q29" s="26" t="str">
        <f aca="false">IF(Returns!$O29=1,Returns!H29,"")</f>
        <v/>
      </c>
      <c r="R29" s="26" t="str">
        <f aca="false">IF(Returns!$O29=1,Returns!I29,"")</f>
        <v/>
      </c>
      <c r="S29" s="26" t="str">
        <f aca="false">IF(Returns!$O29=1,Returns!J29,"")</f>
        <v/>
      </c>
      <c r="T29" s="26" t="n">
        <f aca="false">IF(Returns!$O29=1,"",Returns!K29)</f>
        <v>-0.0130332386564459</v>
      </c>
    </row>
    <row r="30" customFormat="false" ht="15" hidden="false" customHeight="false" outlineLevel="0" collapsed="false">
      <c r="A30" s="25" t="n">
        <f aca="false">Returns!A30</f>
        <v>43746</v>
      </c>
      <c r="B30" s="26" t="n">
        <f aca="false">IF(Returns!$O30=1,"",Returns!B30)</f>
        <v>-0.0142856964285715</v>
      </c>
      <c r="C30" s="26" t="n">
        <f aca="false">IF(Returns!$O30=1,"",Returns!C30)</f>
        <v>0.00697674434829643</v>
      </c>
      <c r="D30" s="26" t="n">
        <f aca="false">IF(Returns!$O30=1,"",Returns!D30)</f>
        <v>-0.0197010869565218</v>
      </c>
      <c r="E30" s="26" t="n">
        <f aca="false">IF(Returns!$O30=1,"",Returns!E30)</f>
        <v>-0.00578703127009383</v>
      </c>
      <c r="F30" s="26" t="n">
        <f aca="false">IF(Returns!$O30=1,"",Returns!F30)</f>
        <v>-0.0158487119853142</v>
      </c>
      <c r="G30" s="26" t="n">
        <f aca="false">IF(Returns!$O30=1,"",Returns!G30)</f>
        <v>-0.000369549163693694</v>
      </c>
      <c r="H30" s="26" t="n">
        <f aca="false">IF(Returns!$O30=1,"",Returns!H30)</f>
        <v>-0.00573175391669856</v>
      </c>
      <c r="I30" s="26" t="n">
        <f aca="false">IF(Returns!$O30=1,"",Returns!I30)</f>
        <v>-0.0127388004671462</v>
      </c>
      <c r="J30" s="26" t="n">
        <f aca="false">IF(Returns!$O30=1,"",Returns!J30)</f>
        <v>-0.0156385965326108</v>
      </c>
      <c r="K30" s="26" t="str">
        <f aca="false">IF(Returns!$O30=1,Returns!B30,"")</f>
        <v/>
      </c>
      <c r="L30" s="26" t="str">
        <f aca="false">IF(Returns!$O30=1,Returns!C30,"")</f>
        <v/>
      </c>
      <c r="M30" s="26" t="str">
        <f aca="false">IF(Returns!$O30=1,Returns!D30,"")</f>
        <v/>
      </c>
      <c r="N30" s="26" t="str">
        <f aca="false">IF(Returns!$O30=1,Returns!E30,"")</f>
        <v/>
      </c>
      <c r="O30" s="26" t="str">
        <f aca="false">IF(Returns!$O30=1,Returns!F30,"")</f>
        <v/>
      </c>
      <c r="P30" s="26" t="str">
        <f aca="false">IF(Returns!$O30=1,Returns!G30,"")</f>
        <v/>
      </c>
      <c r="Q30" s="26" t="str">
        <f aca="false">IF(Returns!$O30=1,Returns!H30,"")</f>
        <v/>
      </c>
      <c r="R30" s="26" t="str">
        <f aca="false">IF(Returns!$O30=1,Returns!I30,"")</f>
        <v/>
      </c>
      <c r="S30" s="26" t="str">
        <f aca="false">IF(Returns!$O30=1,Returns!J30,"")</f>
        <v/>
      </c>
      <c r="T30" s="26" t="n">
        <f aca="false">IF(Returns!$O30=1,"",Returns!K30)</f>
        <v>-0.00923605359692824</v>
      </c>
    </row>
    <row r="31" customFormat="false" ht="15" hidden="false" customHeight="false" outlineLevel="0" collapsed="false">
      <c r="A31" s="25" t="n">
        <f aca="false">Returns!A31</f>
        <v>43747</v>
      </c>
      <c r="B31" s="26" t="n">
        <f aca="false">IF(Returns!$O31=1,"",Returns!B31)</f>
        <v>-0.00724641291220263</v>
      </c>
      <c r="C31" s="26" t="n">
        <f aca="false">IF(Returns!$O31=1,"",Returns!C31)</f>
        <v>0.0138568132530443</v>
      </c>
      <c r="D31" s="26" t="n">
        <f aca="false">IF(Returns!$O31=1,"",Returns!D31)</f>
        <v>0.00831600831600832</v>
      </c>
      <c r="E31" s="26" t="n">
        <f aca="false">IF(Returns!$O31=1,"",Returns!E31)</f>
        <v>0.00302678695453595</v>
      </c>
      <c r="F31" s="26" t="n">
        <f aca="false">IF(Returns!$O31=1,"",Returns!F31)</f>
        <v>0.026493468908686</v>
      </c>
      <c r="G31" s="26" t="n">
        <f aca="false">IF(Returns!$O31=1,"",Returns!G31)</f>
        <v>0.0177449914138628</v>
      </c>
      <c r="H31" s="26" t="n">
        <f aca="false">IF(Returns!$O31=1,"",Returns!H31)</f>
        <v>0.0192159877017679</v>
      </c>
      <c r="I31" s="26" t="n">
        <f aca="false">IF(Returns!$O31=1,"",Returns!I31)</f>
        <v>0.0193548151754475</v>
      </c>
      <c r="J31" s="26" t="n">
        <f aca="false">IF(Returns!$O31=1,"",Returns!J31)</f>
        <v>0.00772281553398058</v>
      </c>
      <c r="K31" s="26" t="str">
        <f aca="false">IF(Returns!$O31=1,Returns!B31,"")</f>
        <v/>
      </c>
      <c r="L31" s="26" t="str">
        <f aca="false">IF(Returns!$O31=1,Returns!C31,"")</f>
        <v/>
      </c>
      <c r="M31" s="26" t="str">
        <f aca="false">IF(Returns!$O31=1,Returns!D31,"")</f>
        <v/>
      </c>
      <c r="N31" s="26" t="str">
        <f aca="false">IF(Returns!$O31=1,Returns!E31,"")</f>
        <v/>
      </c>
      <c r="O31" s="26" t="str">
        <f aca="false">IF(Returns!$O31=1,Returns!F31,"")</f>
        <v/>
      </c>
      <c r="P31" s="26" t="str">
        <f aca="false">IF(Returns!$O31=1,Returns!G31,"")</f>
        <v/>
      </c>
      <c r="Q31" s="26" t="str">
        <f aca="false">IF(Returns!$O31=1,Returns!H31,"")</f>
        <v/>
      </c>
      <c r="R31" s="26" t="str">
        <f aca="false">IF(Returns!$O31=1,Returns!I31,"")</f>
        <v/>
      </c>
      <c r="S31" s="26" t="str">
        <f aca="false">IF(Returns!$O31=1,Returns!J31,"")</f>
        <v/>
      </c>
      <c r="T31" s="26" t="n">
        <f aca="false">IF(Returns!$O31=1,"",Returns!K31)</f>
        <v>0.0120539193716812</v>
      </c>
    </row>
    <row r="32" customFormat="false" ht="15" hidden="false" customHeight="false" outlineLevel="0" collapsed="false">
      <c r="A32" s="25" t="n">
        <f aca="false">Returns!A32</f>
        <v>43748</v>
      </c>
      <c r="B32" s="26" t="n">
        <f aca="false">IF(Returns!$O32=1,"",Returns!B32)</f>
        <v>0.00328468984096153</v>
      </c>
      <c r="C32" s="26" t="n">
        <f aca="false">IF(Returns!$O32=1,"",Returns!C32)</f>
        <v>0.00364462422880685</v>
      </c>
      <c r="D32" s="26" t="n">
        <f aca="false">IF(Returns!$O32=1,"",Returns!D32)</f>
        <v>0.00687285223367695</v>
      </c>
      <c r="E32" s="26" t="n">
        <f aca="false">IF(Returns!$O32=1,"",Returns!E32)</f>
        <v>-0.0234447837960337</v>
      </c>
      <c r="F32" s="26" t="n">
        <f aca="false">IF(Returns!$O32=1,"",Returns!F32)</f>
        <v>-0.00354255401478265</v>
      </c>
      <c r="G32" s="26" t="n">
        <f aca="false">IF(Returns!$O32=1,"",Returns!G32)</f>
        <v>-0.00108975658954746</v>
      </c>
      <c r="H32" s="26" t="n">
        <f aca="false">IF(Returns!$O32=1,"",Returns!H32)</f>
        <v>0.00829562594268474</v>
      </c>
      <c r="I32" s="26" t="n">
        <f aca="false">IF(Returns!$O32=1,"",Returns!I32)</f>
        <v>0.00253169421450017</v>
      </c>
      <c r="J32" s="26" t="n">
        <f aca="false">IF(Returns!$O32=1,"",Returns!J32)</f>
        <v>0.034377141860177</v>
      </c>
      <c r="K32" s="26" t="str">
        <f aca="false">IF(Returns!$O32=1,Returns!B32,"")</f>
        <v/>
      </c>
      <c r="L32" s="26" t="str">
        <f aca="false">IF(Returns!$O32=1,Returns!C32,"")</f>
        <v/>
      </c>
      <c r="M32" s="26" t="str">
        <f aca="false">IF(Returns!$O32=1,Returns!D32,"")</f>
        <v/>
      </c>
      <c r="N32" s="26" t="str">
        <f aca="false">IF(Returns!$O32=1,Returns!E32,"")</f>
        <v/>
      </c>
      <c r="O32" s="26" t="str">
        <f aca="false">IF(Returns!$O32=1,Returns!F32,"")</f>
        <v/>
      </c>
      <c r="P32" s="26" t="str">
        <f aca="false">IF(Returns!$O32=1,Returns!G32,"")</f>
        <v/>
      </c>
      <c r="Q32" s="26" t="str">
        <f aca="false">IF(Returns!$O32=1,Returns!H32,"")</f>
        <v/>
      </c>
      <c r="R32" s="26" t="str">
        <f aca="false">IF(Returns!$O32=1,Returns!I32,"")</f>
        <v/>
      </c>
      <c r="S32" s="26" t="str">
        <f aca="false">IF(Returns!$O32=1,Returns!J32,"")</f>
        <v/>
      </c>
      <c r="T32" s="26" t="n">
        <f aca="false">IF(Returns!$O32=1,"",Returns!K32)</f>
        <v>0.00343661488004928</v>
      </c>
    </row>
    <row r="33" customFormat="false" ht="15" hidden="false" customHeight="false" outlineLevel="0" collapsed="false">
      <c r="A33" s="25" t="n">
        <f aca="false">Returns!A33</f>
        <v>43749</v>
      </c>
      <c r="B33" s="26" t="n">
        <f aca="false">IF(Returns!$O33=1,"",Returns!B33)</f>
        <v>0.0109130956711532</v>
      </c>
      <c r="C33" s="26" t="n">
        <f aca="false">IF(Returns!$O33=1,"",Returns!C33)</f>
        <v>0.0224693609836297</v>
      </c>
      <c r="D33" s="26" t="n">
        <f aca="false">IF(Returns!$O33=1,"",Returns!D33)</f>
        <v>0.0436860068259384</v>
      </c>
      <c r="E33" s="26" t="n">
        <f aca="false">IF(Returns!$O33=1,"",Returns!E33)</f>
        <v>0.0292369722002823</v>
      </c>
      <c r="F33" s="26" t="n">
        <f aca="false">IF(Returns!$O33=1,"",Returns!F33)</f>
        <v>0.0457084892530681</v>
      </c>
      <c r="G33" s="26" t="n">
        <f aca="false">IF(Returns!$O33=1,"",Returns!G33)</f>
        <v>0.0163636727272727</v>
      </c>
      <c r="H33" s="26" t="n">
        <f aca="false">IF(Returns!$O33=1,"",Returns!H33)</f>
        <v>0.0194465220643232</v>
      </c>
      <c r="I33" s="26" t="n">
        <f aca="false">IF(Returns!$O33=1,"",Returns!I33)</f>
        <v>0.0122054165149341</v>
      </c>
      <c r="J33" s="26" t="n">
        <f aca="false">IF(Returns!$O33=1,"",Returns!J33)</f>
        <v>0.0296358370179579</v>
      </c>
      <c r="K33" s="26" t="str">
        <f aca="false">IF(Returns!$O33=1,Returns!B33,"")</f>
        <v/>
      </c>
      <c r="L33" s="26" t="str">
        <f aca="false">IF(Returns!$O33=1,Returns!C33,"")</f>
        <v/>
      </c>
      <c r="M33" s="26" t="str">
        <f aca="false">IF(Returns!$O33=1,Returns!D33,"")</f>
        <v/>
      </c>
      <c r="N33" s="26" t="str">
        <f aca="false">IF(Returns!$O33=1,Returns!E33,"")</f>
        <v/>
      </c>
      <c r="O33" s="26" t="str">
        <f aca="false">IF(Returns!$O33=1,Returns!F33,"")</f>
        <v/>
      </c>
      <c r="P33" s="26" t="str">
        <f aca="false">IF(Returns!$O33=1,Returns!G33,"")</f>
        <v/>
      </c>
      <c r="Q33" s="26" t="str">
        <f aca="false">IF(Returns!$O33=1,Returns!H33,"")</f>
        <v/>
      </c>
      <c r="R33" s="26" t="str">
        <f aca="false">IF(Returns!$O33=1,Returns!I33,"")</f>
        <v/>
      </c>
      <c r="S33" s="26" t="str">
        <f aca="false">IF(Returns!$O33=1,Returns!J33,"")</f>
        <v/>
      </c>
      <c r="T33" s="26" t="n">
        <f aca="false">IF(Returns!$O33=1,"",Returns!K33)</f>
        <v>0.0255183748065066</v>
      </c>
    </row>
    <row r="34" customFormat="false" ht="15" hidden="false" customHeight="false" outlineLevel="0" collapsed="false">
      <c r="A34" s="25" t="n">
        <f aca="false">Returns!A34</f>
        <v>43752</v>
      </c>
      <c r="B34" s="26" t="n">
        <f aca="false">IF(Returns!$O34=1,"",Returns!B34)</f>
        <v>-0.00737682593102462</v>
      </c>
      <c r="C34" s="26" t="n">
        <f aca="false">IF(Returns!$O34=1,"",Returns!C34)</f>
        <v>0.00244175371550504</v>
      </c>
      <c r="D34" s="26" t="n">
        <f aca="false">IF(Returns!$O34=1,"",Returns!D34)</f>
        <v>0.00915631131458472</v>
      </c>
      <c r="E34" s="26" t="n">
        <f aca="false">IF(Returns!$O34=1,"",Returns!E34)</f>
        <v>0.0175519508733843</v>
      </c>
      <c r="F34" s="26" t="n">
        <f aca="false">IF(Returns!$O34=1,"",Returns!F34)</f>
        <v>0.0150558932547826</v>
      </c>
      <c r="G34" s="26" t="n">
        <f aca="false">IF(Returns!$O34=1,"",Returns!G34)</f>
        <v>0.0157423250181636</v>
      </c>
      <c r="H34" s="26" t="n">
        <f aca="false">IF(Returns!$O34=1,"",Returns!H34)</f>
        <v>0.00183415260454867</v>
      </c>
      <c r="I34" s="26" t="n">
        <f aca="false">IF(Returns!$O34=1,"",Returns!I34)</f>
        <v>0.0166319530765462</v>
      </c>
      <c r="J34" s="26" t="n">
        <f aca="false">IF(Returns!$O34=1,"",Returns!J34)</f>
        <v>-0.0133634254392153</v>
      </c>
      <c r="K34" s="26" t="str">
        <f aca="false">IF(Returns!$O34=1,Returns!B34,"")</f>
        <v/>
      </c>
      <c r="L34" s="26" t="str">
        <f aca="false">IF(Returns!$O34=1,Returns!C34,"")</f>
        <v/>
      </c>
      <c r="M34" s="26" t="str">
        <f aca="false">IF(Returns!$O34=1,Returns!D34,"")</f>
        <v/>
      </c>
      <c r="N34" s="26" t="str">
        <f aca="false">IF(Returns!$O34=1,Returns!E34,"")</f>
        <v/>
      </c>
      <c r="O34" s="26" t="str">
        <f aca="false">IF(Returns!$O34=1,Returns!F34,"")</f>
        <v/>
      </c>
      <c r="P34" s="26" t="str">
        <f aca="false">IF(Returns!$O34=1,Returns!G34,"")</f>
        <v/>
      </c>
      <c r="Q34" s="26" t="str">
        <f aca="false">IF(Returns!$O34=1,Returns!H34,"")</f>
        <v/>
      </c>
      <c r="R34" s="26" t="str">
        <f aca="false">IF(Returns!$O34=1,Returns!I34,"")</f>
        <v/>
      </c>
      <c r="S34" s="26" t="str">
        <f aca="false">IF(Returns!$O34=1,Returns!J34,"")</f>
        <v/>
      </c>
      <c r="T34" s="26" t="n">
        <f aca="false">IF(Returns!$O34=1,"",Returns!K34)</f>
        <v>0.0064082320541417</v>
      </c>
    </row>
    <row r="35" customFormat="false" ht="15" hidden="false" customHeight="false" outlineLevel="0" collapsed="false">
      <c r="A35" s="25" t="n">
        <f aca="false">Returns!A35</f>
        <v>43753</v>
      </c>
      <c r="B35" s="26" t="n">
        <f aca="false">IF(Returns!$O35=1,"",Returns!B35)</f>
        <v>-0.00960665251428861</v>
      </c>
      <c r="C35" s="26" t="n">
        <f aca="false">IF(Returns!$O35=1,"",Returns!C35)</f>
        <v>-0.0143932908413041</v>
      </c>
      <c r="D35" s="26" t="n">
        <f aca="false">IF(Returns!$O35=1,"",Returns!D35)</f>
        <v>0.015554115359689</v>
      </c>
      <c r="E35" s="26" t="n">
        <f aca="false">IF(Returns!$O35=1,"",Returns!E35)</f>
        <v>0.0192918800655919</v>
      </c>
      <c r="F35" s="26" t="n">
        <f aca="false">IF(Returns!$O35=1,"",Returns!F35)</f>
        <v>0.013875625927747</v>
      </c>
      <c r="G35" s="26" t="n">
        <f aca="false">IF(Returns!$O35=1,"",Returns!G35)</f>
        <v>0.0154984507044187</v>
      </c>
      <c r="H35" s="26" t="n">
        <f aca="false">IF(Returns!$O35=1,"",Returns!H35)</f>
        <v>0.0106188579501596</v>
      </c>
      <c r="I35" s="26" t="n">
        <f aca="false">IF(Returns!$O35=1,"",Returns!I35)</f>
        <v>-0.011042913772221</v>
      </c>
      <c r="J35" s="26" t="n">
        <f aca="false">IF(Returns!$O35=1,"",Returns!J35)</f>
        <v>-0.00166705556711588</v>
      </c>
      <c r="K35" s="26" t="str">
        <f aca="false">IF(Returns!$O35=1,Returns!B35,"")</f>
        <v/>
      </c>
      <c r="L35" s="26" t="str">
        <f aca="false">IF(Returns!$O35=1,Returns!C35,"")</f>
        <v/>
      </c>
      <c r="M35" s="26" t="str">
        <f aca="false">IF(Returns!$O35=1,Returns!D35,"")</f>
        <v/>
      </c>
      <c r="N35" s="26" t="str">
        <f aca="false">IF(Returns!$O35=1,Returns!E35,"")</f>
        <v/>
      </c>
      <c r="O35" s="26" t="str">
        <f aca="false">IF(Returns!$O35=1,Returns!F35,"")</f>
        <v/>
      </c>
      <c r="P35" s="26" t="str">
        <f aca="false">IF(Returns!$O35=1,Returns!G35,"")</f>
        <v/>
      </c>
      <c r="Q35" s="26" t="str">
        <f aca="false">IF(Returns!$O35=1,Returns!H35,"")</f>
        <v/>
      </c>
      <c r="R35" s="26" t="str">
        <f aca="false">IF(Returns!$O35=1,Returns!I35,"")</f>
        <v/>
      </c>
      <c r="S35" s="26" t="str">
        <f aca="false">IF(Returns!$O35=1,Returns!J35,"")</f>
        <v/>
      </c>
      <c r="T35" s="26" t="n">
        <f aca="false">IF(Returns!$O35=1,"",Returns!K35)</f>
        <v>0.00423655747918629</v>
      </c>
    </row>
    <row r="36" customFormat="false" ht="15" hidden="false" customHeight="false" outlineLevel="0" collapsed="false">
      <c r="A36" s="25" t="n">
        <f aca="false">Returns!A36</f>
        <v>43754</v>
      </c>
      <c r="B36" s="26" t="n">
        <f aca="false">IF(Returns!$O36=1,"",Returns!B36)</f>
        <v>0.00896782593279322</v>
      </c>
      <c r="C36" s="26" t="n">
        <f aca="false">IF(Returns!$O36=1,"",Returns!C36)</f>
        <v>0.0155021350483997</v>
      </c>
      <c r="D36" s="26" t="n">
        <f aca="false">IF(Returns!$O36=1,"",Returns!D36)</f>
        <v>0.017230376515635</v>
      </c>
      <c r="E36" s="26" t="n">
        <f aca="false">IF(Returns!$O36=1,"",Returns!E36)</f>
        <v>-0.0138054079888427</v>
      </c>
      <c r="F36" s="26" t="n">
        <f aca="false">IF(Returns!$O36=1,"",Returns!F36)</f>
        <v>0.00566307124551901</v>
      </c>
      <c r="G36" s="26" t="n">
        <f aca="false">IF(Returns!$O36=1,"",Returns!G36)</f>
        <v>0.0211585501214013</v>
      </c>
      <c r="H36" s="26" t="n">
        <f aca="false">IF(Returns!$O36=1,"",Returns!H36)</f>
        <v>0.0119565217391304</v>
      </c>
      <c r="I36" s="26" t="n">
        <f aca="false">IF(Returns!$O36=1,"",Returns!I36)</f>
        <v>-0.00930521055777878</v>
      </c>
      <c r="J36" s="26" t="n">
        <f aca="false">IF(Returns!$O36=1,"",Returns!J36)</f>
        <v>-0.023168461699019</v>
      </c>
      <c r="K36" s="26" t="str">
        <f aca="false">IF(Returns!$O36=1,Returns!B36,"")</f>
        <v/>
      </c>
      <c r="L36" s="26" t="str">
        <f aca="false">IF(Returns!$O36=1,Returns!C36,"")</f>
        <v/>
      </c>
      <c r="M36" s="26" t="str">
        <f aca="false">IF(Returns!$O36=1,Returns!D36,"")</f>
        <v/>
      </c>
      <c r="N36" s="26" t="str">
        <f aca="false">IF(Returns!$O36=1,Returns!E36,"")</f>
        <v/>
      </c>
      <c r="O36" s="26" t="str">
        <f aca="false">IF(Returns!$O36=1,Returns!F36,"")</f>
        <v/>
      </c>
      <c r="P36" s="26" t="str">
        <f aca="false">IF(Returns!$O36=1,Returns!G36,"")</f>
        <v/>
      </c>
      <c r="Q36" s="26" t="str">
        <f aca="false">IF(Returns!$O36=1,Returns!H36,"")</f>
        <v/>
      </c>
      <c r="R36" s="26" t="str">
        <f aca="false">IF(Returns!$O36=1,Returns!I36,"")</f>
        <v/>
      </c>
      <c r="S36" s="26" t="str">
        <f aca="false">IF(Returns!$O36=1,Returns!J36,"")</f>
        <v/>
      </c>
      <c r="T36" s="26" t="n">
        <f aca="false">IF(Returns!$O36=1,"",Returns!K36)</f>
        <v>0.00379993337302647</v>
      </c>
    </row>
    <row r="37" customFormat="false" ht="15" hidden="false" customHeight="false" outlineLevel="0" collapsed="false">
      <c r="A37" s="25" t="n">
        <f aca="false">Returns!A37</f>
        <v>43755</v>
      </c>
      <c r="B37" s="26" t="n">
        <f aca="false">IF(Returns!$O37=1,"",Returns!B37)</f>
        <v>0.0275712129952619</v>
      </c>
      <c r="C37" s="26" t="n">
        <f aca="false">IF(Returns!$O37=1,"",Returns!C37)</f>
        <v>0.0210177221689258</v>
      </c>
      <c r="D37" s="26" t="n">
        <f aca="false">IF(Returns!$O37=1,"",Returns!D37)</f>
        <v>-0.00564617314930993</v>
      </c>
      <c r="E37" s="26" t="n">
        <f aca="false">IF(Returns!$O37=1,"",Returns!E37)</f>
        <v>-0.00112892194225134</v>
      </c>
      <c r="F37" s="26" t="n">
        <f aca="false">IF(Returns!$O37=1,"",Returns!F37)</f>
        <v>-0.00938528674382266</v>
      </c>
      <c r="G37" s="26" t="n">
        <f aca="false">IF(Returns!$O37=1,"",Returns!G37)</f>
        <v>-0.0084918475376411</v>
      </c>
      <c r="H37" s="26" t="n">
        <f aca="false">IF(Returns!$O37=1,"",Returns!H37)</f>
        <v>-0.00966702470461867</v>
      </c>
      <c r="I37" s="26" t="n">
        <f aca="false">IF(Returns!$O37=1,"",Returns!I37)</f>
        <v>0.00542683326415538</v>
      </c>
      <c r="J37" s="26" t="n">
        <f aca="false">IF(Returns!$O37=1,"",Returns!J37)</f>
        <v>-0.00192307696416827</v>
      </c>
      <c r="K37" s="26" t="str">
        <f aca="false">IF(Returns!$O37=1,Returns!B37,"")</f>
        <v/>
      </c>
      <c r="L37" s="26" t="str">
        <f aca="false">IF(Returns!$O37=1,Returns!C37,"")</f>
        <v/>
      </c>
      <c r="M37" s="26" t="str">
        <f aca="false">IF(Returns!$O37=1,Returns!D37,"")</f>
        <v/>
      </c>
      <c r="N37" s="26" t="str">
        <f aca="false">IF(Returns!$O37=1,Returns!E37,"")</f>
        <v/>
      </c>
      <c r="O37" s="26" t="str">
        <f aca="false">IF(Returns!$O37=1,Returns!F37,"")</f>
        <v/>
      </c>
      <c r="P37" s="26" t="str">
        <f aca="false">IF(Returns!$O37=1,Returns!G37,"")</f>
        <v/>
      </c>
      <c r="Q37" s="26" t="str">
        <f aca="false">IF(Returns!$O37=1,Returns!H37,"")</f>
        <v/>
      </c>
      <c r="R37" s="26" t="str">
        <f aca="false">IF(Returns!$O37=1,Returns!I37,"")</f>
        <v/>
      </c>
      <c r="S37" s="26" t="str">
        <f aca="false">IF(Returns!$O37=1,Returns!J37,"")</f>
        <v/>
      </c>
      <c r="T37" s="26" t="n">
        <f aca="false">IF(Returns!$O37=1,"",Returns!K37)</f>
        <v>0.00197482637628124</v>
      </c>
    </row>
    <row r="38" customFormat="false" ht="15" hidden="false" customHeight="false" outlineLevel="0" collapsed="false">
      <c r="A38" s="25" t="n">
        <f aca="false">Returns!A38</f>
        <v>43756</v>
      </c>
      <c r="B38" s="26" t="n">
        <f aca="false">IF(Returns!$O38=1,"",Returns!B38)</f>
        <v>0.00953216206417795</v>
      </c>
      <c r="C38" s="26" t="n">
        <f aca="false">IF(Returns!$O38=1,"",Returns!C38)</f>
        <v>0.00628387879271686</v>
      </c>
      <c r="D38" s="26" t="n">
        <f aca="false">IF(Returns!$O38=1,"",Returns!D38)</f>
        <v>-0.00504731861198737</v>
      </c>
      <c r="E38" s="26" t="n">
        <f aca="false">IF(Returns!$O38=1,"",Returns!E38)</f>
        <v>0.0155968442181798</v>
      </c>
      <c r="F38" s="26" t="n">
        <f aca="false">IF(Returns!$O38=1,"",Returns!F38)</f>
        <v>0.00094742999394537</v>
      </c>
      <c r="G38" s="26" t="n">
        <f aca="false">IF(Returns!$O38=1,"",Returns!G38)</f>
        <v>0.00376834519464397</v>
      </c>
      <c r="H38" s="26" t="n">
        <f aca="false">IF(Returns!$O38=1,"",Returns!H38)</f>
        <v>-0.00216919739696309</v>
      </c>
      <c r="I38" s="26" t="n">
        <f aca="false">IF(Returns!$O38=1,"",Returns!I38)</f>
        <v>0.0485779650632361</v>
      </c>
      <c r="J38" s="26" t="n">
        <f aca="false">IF(Returns!$O38=1,"",Returns!J38)</f>
        <v>-0.0145579108233337</v>
      </c>
      <c r="K38" s="26" t="str">
        <f aca="false">IF(Returns!$O38=1,Returns!B38,"")</f>
        <v/>
      </c>
      <c r="L38" s="26" t="str">
        <f aca="false">IF(Returns!$O38=1,Returns!C38,"")</f>
        <v/>
      </c>
      <c r="M38" s="26" t="str">
        <f aca="false">IF(Returns!$O38=1,Returns!D38,"")</f>
        <v/>
      </c>
      <c r="N38" s="26" t="str">
        <f aca="false">IF(Returns!$O38=1,Returns!E38,"")</f>
        <v/>
      </c>
      <c r="O38" s="26" t="str">
        <f aca="false">IF(Returns!$O38=1,Returns!F38,"")</f>
        <v/>
      </c>
      <c r="P38" s="26" t="str">
        <f aca="false">IF(Returns!$O38=1,Returns!G38,"")</f>
        <v/>
      </c>
      <c r="Q38" s="26" t="str">
        <f aca="false">IF(Returns!$O38=1,Returns!H38,"")</f>
        <v/>
      </c>
      <c r="R38" s="26" t="str">
        <f aca="false">IF(Returns!$O38=1,Returns!I38,"")</f>
        <v/>
      </c>
      <c r="S38" s="26" t="str">
        <f aca="false">IF(Returns!$O38=1,Returns!J38,"")</f>
        <v/>
      </c>
      <c r="T38" s="26" t="n">
        <f aca="false">IF(Returns!$O38=1,"",Returns!K38)</f>
        <v>0.00699246649940176</v>
      </c>
    </row>
    <row r="39" customFormat="false" ht="15" hidden="false" customHeight="false" outlineLevel="0" collapsed="false">
      <c r="A39" s="25" t="n">
        <f aca="false">Returns!A39</f>
        <v>43759</v>
      </c>
      <c r="B39" s="26" t="n">
        <f aca="false">IF(Returns!$O39=1,"",Returns!B39)</f>
        <v>-0.00489594343234734</v>
      </c>
      <c r="C39" s="26" t="n">
        <f aca="false">IF(Returns!$O39=1,"",Returns!C39)</f>
        <v>0.00968992248062017</v>
      </c>
      <c r="D39" s="26" t="n">
        <f aca="false">IF(Returns!$O39=1,"",Returns!D39)</f>
        <v>-0.00253646163601773</v>
      </c>
      <c r="E39" s="26" t="n">
        <f aca="false">IF(Returns!$O39=1,"",Returns!E39)</f>
        <v>-0.00734483498875616</v>
      </c>
      <c r="F39" s="26" t="n">
        <f aca="false">IF(Returns!$O39=1,"",Returns!F39)</f>
        <v>-0.00189306643996479</v>
      </c>
      <c r="G39" s="26" t="n">
        <f aca="false">IF(Returns!$O39=1,"",Returns!G39)</f>
        <v>-0.00341290114037207</v>
      </c>
      <c r="H39" s="26" t="n">
        <f aca="false">IF(Returns!$O39=1,"",Returns!H39)</f>
        <v>0.00615942028985494</v>
      </c>
      <c r="I39" s="26" t="n">
        <f aca="false">IF(Returns!$O39=1,"",Returns!I39)</f>
        <v>0.00851311496869811</v>
      </c>
      <c r="J39" s="26" t="n">
        <f aca="false">IF(Returns!$O39=1,"",Returns!J39)</f>
        <v>0.025635455694883</v>
      </c>
      <c r="K39" s="26" t="str">
        <f aca="false">IF(Returns!$O39=1,Returns!B39,"")</f>
        <v/>
      </c>
      <c r="L39" s="26" t="str">
        <f aca="false">IF(Returns!$O39=1,Returns!C39,"")</f>
        <v/>
      </c>
      <c r="M39" s="26" t="str">
        <f aca="false">IF(Returns!$O39=1,Returns!D39,"")</f>
        <v/>
      </c>
      <c r="N39" s="26" t="str">
        <f aca="false">IF(Returns!$O39=1,Returns!E39,"")</f>
        <v/>
      </c>
      <c r="O39" s="26" t="str">
        <f aca="false">IF(Returns!$O39=1,Returns!F39,"")</f>
        <v/>
      </c>
      <c r="P39" s="26" t="str">
        <f aca="false">IF(Returns!$O39=1,Returns!G39,"")</f>
        <v/>
      </c>
      <c r="Q39" s="26" t="str">
        <f aca="false">IF(Returns!$O39=1,Returns!H39,"")</f>
        <v/>
      </c>
      <c r="R39" s="26" t="str">
        <f aca="false">IF(Returns!$O39=1,Returns!I39,"")</f>
        <v/>
      </c>
      <c r="S39" s="26" t="str">
        <f aca="false">IF(Returns!$O39=1,Returns!J39,"")</f>
        <v/>
      </c>
      <c r="T39" s="26" t="n">
        <f aca="false">IF(Returns!$O39=1,"",Returns!K39)</f>
        <v>0.00332385619962202</v>
      </c>
    </row>
    <row r="40" customFormat="false" ht="15" hidden="false" customHeight="false" outlineLevel="0" collapsed="false">
      <c r="A40" s="25" t="n">
        <f aca="false">Returns!A40</f>
        <v>43760</v>
      </c>
      <c r="B40" s="26" t="n">
        <f aca="false">IF(Returns!$O40=1,"",Returns!B40)</f>
        <v>0.0156387102442455</v>
      </c>
      <c r="C40" s="26" t="n">
        <f aca="false">IF(Returns!$O40=1,"",Returns!C40)</f>
        <v>0.0136489443378118</v>
      </c>
      <c r="D40" s="26" t="n">
        <f aca="false">IF(Returns!$O40=1,"",Returns!D40)</f>
        <v>0.0133502860775587</v>
      </c>
      <c r="E40" s="26" t="n">
        <f aca="false">IF(Returns!$O40=1,"",Returns!E40)</f>
        <v>0.00201797764860689</v>
      </c>
      <c r="F40" s="26" t="n">
        <f aca="false">IF(Returns!$O40=1,"",Returns!F40)</f>
        <v>-0.00948318953142824</v>
      </c>
      <c r="G40" s="26" t="n">
        <f aca="false">IF(Returns!$O40=1,"",Returns!G40)</f>
        <v>-0.00924660927237642</v>
      </c>
      <c r="H40" s="26" t="n">
        <f aca="false">IF(Returns!$O40=1,"",Returns!H40)</f>
        <v>0.0288080662585524</v>
      </c>
      <c r="I40" s="26" t="n">
        <f aca="false">IF(Returns!$O40=1,"",Returns!I40)</f>
        <v>-0.00510401479491962</v>
      </c>
      <c r="J40" s="26" t="n">
        <f aca="false">IF(Returns!$O40=1,"",Returns!J40)</f>
        <v>0.0019063758082265</v>
      </c>
      <c r="K40" s="26" t="str">
        <f aca="false">IF(Returns!$O40=1,Returns!B40,"")</f>
        <v/>
      </c>
      <c r="L40" s="26" t="str">
        <f aca="false">IF(Returns!$O40=1,Returns!C40,"")</f>
        <v/>
      </c>
      <c r="M40" s="26" t="str">
        <f aca="false">IF(Returns!$O40=1,Returns!D40,"")</f>
        <v/>
      </c>
      <c r="N40" s="26" t="str">
        <f aca="false">IF(Returns!$O40=1,Returns!E40,"")</f>
        <v/>
      </c>
      <c r="O40" s="26" t="str">
        <f aca="false">IF(Returns!$O40=1,Returns!F40,"")</f>
        <v/>
      </c>
      <c r="P40" s="26" t="str">
        <f aca="false">IF(Returns!$O40=1,Returns!G40,"")</f>
        <v/>
      </c>
      <c r="Q40" s="26" t="str">
        <f aca="false">IF(Returns!$O40=1,Returns!H40,"")</f>
        <v/>
      </c>
      <c r="R40" s="26" t="str">
        <f aca="false">IF(Returns!$O40=1,Returns!I40,"")</f>
        <v/>
      </c>
      <c r="S40" s="26" t="str">
        <f aca="false">IF(Returns!$O40=1,Returns!J40,"")</f>
        <v/>
      </c>
      <c r="T40" s="26" t="n">
        <f aca="false">IF(Returns!$O40=1,"",Returns!K40)</f>
        <v>0.00572628297514195</v>
      </c>
    </row>
    <row r="41" customFormat="false" ht="15" hidden="false" customHeight="false" outlineLevel="0" collapsed="false">
      <c r="A41" s="25" t="n">
        <f aca="false">Returns!A41</f>
        <v>43761</v>
      </c>
      <c r="B41" s="26" t="n">
        <f aca="false">IF(Returns!$O41=1,"",Returns!B41)</f>
        <v>-0.0129757787712073</v>
      </c>
      <c r="C41" s="26" t="n">
        <f aca="false">IF(Returns!$O41=1,"",Returns!C41)</f>
        <v>0.0149379552900895</v>
      </c>
      <c r="D41" s="26" t="n">
        <f aca="false">IF(Returns!$O41=1,"",Returns!D41)</f>
        <v>0.00752816813048951</v>
      </c>
      <c r="E41" s="26" t="n">
        <f aca="false">IF(Returns!$O41=1,"",Returns!E41)</f>
        <v>-0.00693669609008341</v>
      </c>
      <c r="F41" s="26" t="n">
        <f aca="false">IF(Returns!$O41=1,"",Returns!F41)</f>
        <v>0.00239351936978238</v>
      </c>
      <c r="G41" s="26" t="n">
        <f aca="false">IF(Returns!$O41=1,"",Returns!G41)</f>
        <v>-0.00864154856550292</v>
      </c>
      <c r="H41" s="26" t="n">
        <f aca="false">IF(Returns!$O41=1,"",Returns!H41)</f>
        <v>0.0133007000350018</v>
      </c>
      <c r="I41" s="26" t="n">
        <f aca="false">IF(Returns!$O41=1,"",Returns!I41)</f>
        <v>-0.00355174374763745</v>
      </c>
      <c r="J41" s="26" t="n">
        <f aca="false">IF(Returns!$O41=1,"",Returns!J41)</f>
        <v>-0.00401687112086413</v>
      </c>
      <c r="K41" s="26" t="str">
        <f aca="false">IF(Returns!$O41=1,Returns!B41,"")</f>
        <v/>
      </c>
      <c r="L41" s="26" t="str">
        <f aca="false">IF(Returns!$O41=1,Returns!C41,"")</f>
        <v/>
      </c>
      <c r="M41" s="26" t="str">
        <f aca="false">IF(Returns!$O41=1,Returns!D41,"")</f>
        <v/>
      </c>
      <c r="N41" s="26" t="str">
        <f aca="false">IF(Returns!$O41=1,Returns!E41,"")</f>
        <v/>
      </c>
      <c r="O41" s="26" t="str">
        <f aca="false">IF(Returns!$O41=1,Returns!F41,"")</f>
        <v/>
      </c>
      <c r="P41" s="26" t="str">
        <f aca="false">IF(Returns!$O41=1,Returns!G41,"")</f>
        <v/>
      </c>
      <c r="Q41" s="26" t="str">
        <f aca="false">IF(Returns!$O41=1,Returns!H41,"")</f>
        <v/>
      </c>
      <c r="R41" s="26" t="str">
        <f aca="false">IF(Returns!$O41=1,Returns!I41,"")</f>
        <v/>
      </c>
      <c r="S41" s="26" t="str">
        <f aca="false">IF(Returns!$O41=1,Returns!J41,"")</f>
        <v/>
      </c>
      <c r="T41" s="26" t="n">
        <f aca="false">IF(Returns!$O41=1,"",Returns!K41)</f>
        <v>0.000226411614452002</v>
      </c>
    </row>
    <row r="42" customFormat="false" ht="15" hidden="false" customHeight="false" outlineLevel="0" collapsed="false">
      <c r="A42" s="25" t="n">
        <f aca="false">Returns!A42</f>
        <v>43762</v>
      </c>
      <c r="B42" s="26" t="n">
        <f aca="false">IF(Returns!$O42=1,"",Returns!B42)</f>
        <v>-0.00438212102335012</v>
      </c>
      <c r="C42" s="26" t="n">
        <f aca="false">IF(Returns!$O42=1,"",Returns!C42)</f>
        <v>0.00787730099502504</v>
      </c>
      <c r="D42" s="26" t="n">
        <f aca="false">IF(Returns!$O42=1,"",Returns!D42)</f>
        <v>-0.000622665044997972</v>
      </c>
      <c r="E42" s="26" t="n">
        <f aca="false">IF(Returns!$O42=1,"",Returns!E42)</f>
        <v>-0.0617395041283834</v>
      </c>
      <c r="F42" s="26" t="n">
        <f aca="false">IF(Returns!$O42=1,"",Returns!F42)</f>
        <v>-0.00668580360126658</v>
      </c>
      <c r="G42" s="26" t="n">
        <f aca="false">IF(Returns!$O42=1,"",Returns!G42)</f>
        <v>-0.00174341004184098</v>
      </c>
      <c r="H42" s="26" t="n">
        <f aca="false">IF(Returns!$O42=1,"",Returns!H42)</f>
        <v>-0.0217616918217032</v>
      </c>
      <c r="I42" s="26" t="n">
        <f aca="false">IF(Returns!$O42=1,"",Returns!I42)</f>
        <v>-0.00356431801950041</v>
      </c>
      <c r="J42" s="26" t="n">
        <f aca="false">IF(Returns!$O42=1,"",Returns!J42)</f>
        <v>-0.00764171072719777</v>
      </c>
      <c r="K42" s="26" t="str">
        <f aca="false">IF(Returns!$O42=1,Returns!B42,"")</f>
        <v/>
      </c>
      <c r="L42" s="26" t="str">
        <f aca="false">IF(Returns!$O42=1,Returns!C42,"")</f>
        <v/>
      </c>
      <c r="M42" s="26" t="str">
        <f aca="false">IF(Returns!$O42=1,Returns!D42,"")</f>
        <v/>
      </c>
      <c r="N42" s="26" t="str">
        <f aca="false">IF(Returns!$O42=1,Returns!E42,"")</f>
        <v/>
      </c>
      <c r="O42" s="26" t="str">
        <f aca="false">IF(Returns!$O42=1,Returns!F42,"")</f>
        <v/>
      </c>
      <c r="P42" s="26" t="str">
        <f aca="false">IF(Returns!$O42=1,Returns!G42,"")</f>
        <v/>
      </c>
      <c r="Q42" s="26" t="str">
        <f aca="false">IF(Returns!$O42=1,Returns!H42,"")</f>
        <v/>
      </c>
      <c r="R42" s="26" t="str">
        <f aca="false">IF(Returns!$O42=1,Returns!I42,"")</f>
        <v/>
      </c>
      <c r="S42" s="26" t="str">
        <f aca="false">IF(Returns!$O42=1,Returns!J42,"")</f>
        <v/>
      </c>
      <c r="T42" s="26" t="n">
        <f aca="false">IF(Returns!$O42=1,"",Returns!K42)</f>
        <v>-0.0111404359348017</v>
      </c>
    </row>
    <row r="43" customFormat="false" ht="15" hidden="false" customHeight="false" outlineLevel="0" collapsed="false">
      <c r="A43" s="25" t="n">
        <f aca="false">Returns!A43</f>
        <v>43763</v>
      </c>
      <c r="B43" s="26" t="n">
        <f aca="false">IF(Returns!$O43=1,"",Returns!B43)</f>
        <v>0.0126760741668324</v>
      </c>
      <c r="C43" s="26" t="n">
        <f aca="false">IF(Returns!$O43=1,"",Returns!C43)</f>
        <v>-0.00431933351873026</v>
      </c>
      <c r="D43" s="26" t="n">
        <f aca="false">IF(Returns!$O43=1,"",Returns!D43)</f>
        <v>-0.0130840506594424</v>
      </c>
      <c r="E43" s="26" t="n">
        <f aca="false">IF(Returns!$O43=1,"",Returns!E43)</f>
        <v>0.00312198485907067</v>
      </c>
      <c r="F43" s="26" t="n">
        <f aca="false">IF(Returns!$O43=1,"",Returns!F43)</f>
        <v>-0.0163461152993076</v>
      </c>
      <c r="G43" s="26" t="n">
        <f aca="false">IF(Returns!$O43=1,"",Returns!G43)</f>
        <v>-0.00244498786046066</v>
      </c>
      <c r="H43" s="26" t="n">
        <f aca="false">IF(Returns!$O43=1,"",Returns!H43)</f>
        <v>0.0328389830508475</v>
      </c>
      <c r="I43" s="26" t="n">
        <f aca="false">IF(Returns!$O43=1,"",Returns!I43)</f>
        <v>0.00158983416488279</v>
      </c>
      <c r="J43" s="26" t="n">
        <f aca="false">IF(Returns!$O43=1,"",Returns!J43)</f>
        <v>0.0387165989304812</v>
      </c>
      <c r="K43" s="26" t="str">
        <f aca="false">IF(Returns!$O43=1,Returns!B43,"")</f>
        <v/>
      </c>
      <c r="L43" s="26" t="str">
        <f aca="false">IF(Returns!$O43=1,Returns!C43,"")</f>
        <v/>
      </c>
      <c r="M43" s="26" t="str">
        <f aca="false">IF(Returns!$O43=1,Returns!D43,"")</f>
        <v/>
      </c>
      <c r="N43" s="26" t="str">
        <f aca="false">IF(Returns!$O43=1,Returns!E43,"")</f>
        <v/>
      </c>
      <c r="O43" s="26" t="str">
        <f aca="false">IF(Returns!$O43=1,Returns!F43,"")</f>
        <v/>
      </c>
      <c r="P43" s="26" t="str">
        <f aca="false">IF(Returns!$O43=1,Returns!G43,"")</f>
        <v/>
      </c>
      <c r="Q43" s="26" t="str">
        <f aca="false">IF(Returns!$O43=1,Returns!H43,"")</f>
        <v/>
      </c>
      <c r="R43" s="26" t="str">
        <f aca="false">IF(Returns!$O43=1,Returns!I43,"")</f>
        <v/>
      </c>
      <c r="S43" s="26" t="str">
        <f aca="false">IF(Returns!$O43=1,Returns!J43,"")</f>
        <v/>
      </c>
      <c r="T43" s="26" t="n">
        <f aca="false">IF(Returns!$O43=1,"",Returns!K43)</f>
        <v>0.00586099864824151</v>
      </c>
    </row>
    <row r="44" customFormat="false" ht="15" hidden="false" customHeight="false" outlineLevel="0" collapsed="false">
      <c r="A44" s="25" t="n">
        <f aca="false">Returns!A44</f>
        <v>43766</v>
      </c>
      <c r="B44" s="26" t="n">
        <f aca="false">IF(Returns!$O44=1,"",Returns!B44)</f>
        <v>-0.00208619610570238</v>
      </c>
      <c r="C44" s="26" t="n">
        <f aca="false">IF(Returns!$O44=1,"",Returns!C44)</f>
        <v>0.00702344629451002</v>
      </c>
      <c r="D44" s="26" t="n">
        <f aca="false">IF(Returns!$O44=1,"",Returns!D44)</f>
        <v>-0.0170454545454545</v>
      </c>
      <c r="E44" s="26" t="n">
        <f aca="false">IF(Returns!$O44=1,"",Returns!E44)</f>
        <v>-0.00813982531137014</v>
      </c>
      <c r="F44" s="26" t="n">
        <f aca="false">IF(Returns!$O44=1,"",Returns!F44)</f>
        <v>0.000488666507374447</v>
      </c>
      <c r="G44" s="26" t="n">
        <f aca="false">IF(Returns!$O44=1,"",Returns!G44)</f>
        <v>0.0119047973356021</v>
      </c>
      <c r="H44" s="26" t="n">
        <f aca="false">IF(Returns!$O44=1,"",Returns!H44)</f>
        <v>0.0119658119658119</v>
      </c>
      <c r="I44" s="26" t="n">
        <f aca="false">IF(Returns!$O44=1,"",Returns!I44)</f>
        <v>-0.0140873360601311</v>
      </c>
      <c r="J44" s="26" t="n">
        <f aca="false">IF(Returns!$O44=1,"",Returns!J44)</f>
        <v>0.0028830312421122</v>
      </c>
      <c r="K44" s="26" t="str">
        <f aca="false">IF(Returns!$O44=1,Returns!B44,"")</f>
        <v/>
      </c>
      <c r="L44" s="26" t="str">
        <f aca="false">IF(Returns!$O44=1,Returns!C44,"")</f>
        <v/>
      </c>
      <c r="M44" s="26" t="str">
        <f aca="false">IF(Returns!$O44=1,Returns!D44,"")</f>
        <v/>
      </c>
      <c r="N44" s="26" t="str">
        <f aca="false">IF(Returns!$O44=1,Returns!E44,"")</f>
        <v/>
      </c>
      <c r="O44" s="26" t="str">
        <f aca="false">IF(Returns!$O44=1,Returns!F44,"")</f>
        <v/>
      </c>
      <c r="P44" s="26" t="str">
        <f aca="false">IF(Returns!$O44=1,Returns!G44,"")</f>
        <v/>
      </c>
      <c r="Q44" s="26" t="str">
        <f aca="false">IF(Returns!$O44=1,Returns!H44,"")</f>
        <v/>
      </c>
      <c r="R44" s="26" t="str">
        <f aca="false">IF(Returns!$O44=1,Returns!I44,"")</f>
        <v/>
      </c>
      <c r="S44" s="26" t="str">
        <f aca="false">IF(Returns!$O44=1,Returns!J44,"")</f>
        <v/>
      </c>
      <c r="T44" s="26" t="n">
        <f aca="false">IF(Returns!$O44=1,"",Returns!K44)</f>
        <v>-0.000788117630805268</v>
      </c>
    </row>
    <row r="45" customFormat="false" ht="15" hidden="false" customHeight="false" outlineLevel="0" collapsed="false">
      <c r="A45" s="25" t="n">
        <f aca="false">Returns!A45</f>
        <v>43767</v>
      </c>
      <c r="B45" s="26" t="n">
        <f aca="false">IF(Returns!$O45=1,"",Returns!B45)</f>
        <v>0.00696858860736627</v>
      </c>
      <c r="C45" s="26" t="n">
        <f aca="false">IF(Returns!$O45=1,"",Returns!C45)</f>
        <v>-0.0174359384615385</v>
      </c>
      <c r="D45" s="26" t="n">
        <f aca="false">IF(Returns!$O45=1,"",Returns!D45)</f>
        <v>-0.00706486833654463</v>
      </c>
      <c r="E45" s="26" t="n">
        <f aca="false">IF(Returns!$O45=1,"",Returns!E45)</f>
        <v>0</v>
      </c>
      <c r="F45" s="26" t="n">
        <f aca="false">IF(Returns!$O45=1,"",Returns!F45)</f>
        <v>-0.00488511161781768</v>
      </c>
      <c r="G45" s="26" t="n">
        <f aca="false">IF(Returns!$O45=1,"",Returns!G45)</f>
        <v>-0.0249134948096885</v>
      </c>
      <c r="H45" s="26" t="n">
        <f aca="false">IF(Returns!$O45=1,"",Returns!H45)</f>
        <v>0.00743243243243241</v>
      </c>
      <c r="I45" s="26" t="n">
        <f aca="false">IF(Returns!$O45=1,"",Returns!I45)</f>
        <v>-0.0092573563592766</v>
      </c>
      <c r="J45" s="26" t="n">
        <f aca="false">IF(Returns!$O45=1,"",Returns!J45)</f>
        <v>-0.00102667349021202</v>
      </c>
      <c r="K45" s="26" t="str">
        <f aca="false">IF(Returns!$O45=1,Returns!B45,"")</f>
        <v/>
      </c>
      <c r="L45" s="26" t="str">
        <f aca="false">IF(Returns!$O45=1,Returns!C45,"")</f>
        <v/>
      </c>
      <c r="M45" s="26" t="str">
        <f aca="false">IF(Returns!$O45=1,Returns!D45,"")</f>
        <v/>
      </c>
      <c r="N45" s="26" t="str">
        <f aca="false">IF(Returns!$O45=1,Returns!E45,"")</f>
        <v/>
      </c>
      <c r="O45" s="26" t="str">
        <f aca="false">IF(Returns!$O45=1,Returns!F45,"")</f>
        <v/>
      </c>
      <c r="P45" s="26" t="str">
        <f aca="false">IF(Returns!$O45=1,Returns!G45,"")</f>
        <v/>
      </c>
      <c r="Q45" s="26" t="str">
        <f aca="false">IF(Returns!$O45=1,Returns!H45,"")</f>
        <v/>
      </c>
      <c r="R45" s="26" t="str">
        <f aca="false">IF(Returns!$O45=1,Returns!I45,"")</f>
        <v/>
      </c>
      <c r="S45" s="26" t="str">
        <f aca="false">IF(Returns!$O45=1,Returns!J45,"")</f>
        <v/>
      </c>
      <c r="T45" s="26" t="n">
        <f aca="false">IF(Returns!$O45=1,"",Returns!K45)</f>
        <v>-0.00557582467058658</v>
      </c>
    </row>
    <row r="46" customFormat="false" ht="15" hidden="false" customHeight="false" outlineLevel="0" collapsed="false">
      <c r="A46" s="25" t="n">
        <f aca="false">Returns!A46</f>
        <v>43768</v>
      </c>
      <c r="B46" s="26" t="n">
        <f aca="false">IF(Returns!$O46=1,"",Returns!B46)</f>
        <v>0.012110744154165</v>
      </c>
      <c r="C46" s="26" t="n">
        <f aca="false">IF(Returns!$O46=1,"",Returns!C46)</f>
        <v>0.0125260965564131</v>
      </c>
      <c r="D46" s="26" t="n">
        <f aca="false">IF(Returns!$O46=1,"",Returns!D46)</f>
        <v>0.0109961190168175</v>
      </c>
      <c r="E46" s="26" t="n">
        <f aca="false">IF(Returns!$O46=1,"",Returns!E46)</f>
        <v>0.0362056886938238</v>
      </c>
      <c r="F46" s="26" t="n">
        <f aca="false">IF(Returns!$O46=1,"",Returns!F46)</f>
        <v>0.013745677382877</v>
      </c>
      <c r="G46" s="26" t="n">
        <f aca="false">IF(Returns!$O46=1,"",Returns!G46)</f>
        <v>0.0372604684173172</v>
      </c>
      <c r="H46" s="26" t="n">
        <f aca="false">IF(Returns!$O46=1,"",Returns!H46)</f>
        <v>0.00871898054996634</v>
      </c>
      <c r="I46" s="26" t="n">
        <f aca="false">IF(Returns!$O46=1,"",Returns!I46)</f>
        <v>-0.00162503461431041</v>
      </c>
      <c r="J46" s="26" t="n">
        <f aca="false">IF(Returns!$O46=1,"",Returns!J46)</f>
        <v>-0.00123334013429222</v>
      </c>
      <c r="K46" s="26" t="str">
        <f aca="false">IF(Returns!$O46=1,Returns!B46,"")</f>
        <v/>
      </c>
      <c r="L46" s="26" t="str">
        <f aca="false">IF(Returns!$O46=1,Returns!C46,"")</f>
        <v/>
      </c>
      <c r="M46" s="26" t="str">
        <f aca="false">IF(Returns!$O46=1,Returns!D46,"")</f>
        <v/>
      </c>
      <c r="N46" s="26" t="str">
        <f aca="false">IF(Returns!$O46=1,Returns!E46,"")</f>
        <v/>
      </c>
      <c r="O46" s="26" t="str">
        <f aca="false">IF(Returns!$O46=1,Returns!F46,"")</f>
        <v/>
      </c>
      <c r="P46" s="26" t="str">
        <f aca="false">IF(Returns!$O46=1,Returns!G46,"")</f>
        <v/>
      </c>
      <c r="Q46" s="26" t="str">
        <f aca="false">IF(Returns!$O46=1,Returns!H46,"")</f>
        <v/>
      </c>
      <c r="R46" s="26" t="str">
        <f aca="false">IF(Returns!$O46=1,Returns!I46,"")</f>
        <v/>
      </c>
      <c r="S46" s="26" t="str">
        <f aca="false">IF(Returns!$O46=1,Returns!J46,"")</f>
        <v/>
      </c>
      <c r="T46" s="26" t="n">
        <f aca="false">IF(Returns!$O46=1,"",Returns!K46)</f>
        <v>0.0143006000025308</v>
      </c>
    </row>
    <row r="47" customFormat="false" ht="15" hidden="false" customHeight="false" outlineLevel="0" collapsed="false">
      <c r="A47" s="25" t="n">
        <f aca="false">Returns!A47</f>
        <v>43769</v>
      </c>
      <c r="B47" s="26" t="n">
        <f aca="false">IF(Returns!$O47=1,"",Returns!B47)</f>
        <v>0.010256376068376</v>
      </c>
      <c r="C47" s="26" t="n">
        <f aca="false">IF(Returns!$O47=1,"",Returns!C47)</f>
        <v>-0.00247428876182632</v>
      </c>
      <c r="D47" s="26" t="n">
        <f aca="false">IF(Returns!$O47=1,"",Returns!D47)</f>
        <v>0.0191938579654509</v>
      </c>
      <c r="E47" s="26" t="n">
        <f aca="false">IF(Returns!$O47=1,"",Returns!E47)</f>
        <v>0.00582342757121901</v>
      </c>
      <c r="F47" s="26" t="n">
        <f aca="false">IF(Returns!$O47=1,"",Returns!F47)</f>
        <v>-0.0319612663745804</v>
      </c>
      <c r="G47" s="26" t="n">
        <f aca="false">IF(Returns!$O47=1,"",Returns!G47)</f>
        <v>-0.000684262743756436</v>
      </c>
      <c r="H47" s="26" t="n">
        <f aca="false">IF(Returns!$O47=1,"",Returns!H47)</f>
        <v>0.0103058178191491</v>
      </c>
      <c r="I47" s="26" t="n">
        <f aca="false">IF(Returns!$O47=1,"",Returns!I47)</f>
        <v>-0.00671415932259589</v>
      </c>
      <c r="J47" s="26" t="n">
        <f aca="false">IF(Returns!$O47=1,"",Returns!J47)</f>
        <v>-0.0286066886190575</v>
      </c>
      <c r="K47" s="26" t="str">
        <f aca="false">IF(Returns!$O47=1,Returns!B47,"")</f>
        <v/>
      </c>
      <c r="L47" s="26" t="str">
        <f aca="false">IF(Returns!$O47=1,Returns!C47,"")</f>
        <v/>
      </c>
      <c r="M47" s="26" t="str">
        <f aca="false">IF(Returns!$O47=1,Returns!D47,"")</f>
        <v/>
      </c>
      <c r="N47" s="26" t="str">
        <f aca="false">IF(Returns!$O47=1,Returns!E47,"")</f>
        <v/>
      </c>
      <c r="O47" s="26" t="str">
        <f aca="false">IF(Returns!$O47=1,Returns!F47,"")</f>
        <v/>
      </c>
      <c r="P47" s="26" t="str">
        <f aca="false">IF(Returns!$O47=1,Returns!G47,"")</f>
        <v/>
      </c>
      <c r="Q47" s="26" t="str">
        <f aca="false">IF(Returns!$O47=1,Returns!H47,"")</f>
        <v/>
      </c>
      <c r="R47" s="26" t="str">
        <f aca="false">IF(Returns!$O47=1,Returns!I47,"")</f>
        <v/>
      </c>
      <c r="S47" s="26" t="str">
        <f aca="false">IF(Returns!$O47=1,Returns!J47,"")</f>
        <v/>
      </c>
      <c r="T47" s="26" t="n">
        <f aca="false">IF(Returns!$O47=1,"",Returns!K47)</f>
        <v>-0.00276235404418016</v>
      </c>
    </row>
    <row r="48" customFormat="false" ht="15" hidden="false" customHeight="false" outlineLevel="0" collapsed="false">
      <c r="A48" s="25" t="n">
        <f aca="false">Returns!A48</f>
        <v>43770</v>
      </c>
      <c r="B48" s="26" t="n">
        <f aca="false">IF(Returns!$O48=1,"",Returns!B48)</f>
        <v>0.0510998494450035</v>
      </c>
      <c r="C48" s="26" t="n">
        <f aca="false">IF(Returns!$O48=1,"",Returns!C48)</f>
        <v>0.0169492576425441</v>
      </c>
      <c r="D48" s="26" t="n">
        <f aca="false">IF(Returns!$O48=1,"",Returns!D48)</f>
        <v>0.0138104205900815</v>
      </c>
      <c r="E48" s="26" t="n">
        <f aca="false">IF(Returns!$O48=1,"",Returns!E48)</f>
        <v>0.00277902266351293</v>
      </c>
      <c r="F48" s="26" t="n">
        <f aca="false">IF(Returns!$O48=1,"",Returns!F48)</f>
        <v>0.02000995191847</v>
      </c>
      <c r="G48" s="26" t="n">
        <f aca="false">IF(Returns!$O48=1,"",Returns!G48)</f>
        <v>-0.00581985641286742</v>
      </c>
      <c r="H48" s="26" t="n">
        <f aca="false">IF(Returns!$O48=1,"",Returns!H48)</f>
        <v>0.00131625539046576</v>
      </c>
      <c r="I48" s="26" t="n">
        <f aca="false">IF(Returns!$O48=1,"",Returns!I48)</f>
        <v>0.00307257028604124</v>
      </c>
      <c r="J48" s="26" t="n">
        <f aca="false">IF(Returns!$O48=1,"",Returns!J48)</f>
        <v>0.0262711435112046</v>
      </c>
      <c r="K48" s="26" t="str">
        <f aca="false">IF(Returns!$O48=1,Returns!B48,"")</f>
        <v/>
      </c>
      <c r="L48" s="26" t="str">
        <f aca="false">IF(Returns!$O48=1,Returns!C48,"")</f>
        <v/>
      </c>
      <c r="M48" s="26" t="str">
        <f aca="false">IF(Returns!$O48=1,Returns!D48,"")</f>
        <v/>
      </c>
      <c r="N48" s="26" t="str">
        <f aca="false">IF(Returns!$O48=1,Returns!E48,"")</f>
        <v/>
      </c>
      <c r="O48" s="26" t="str">
        <f aca="false">IF(Returns!$O48=1,Returns!F48,"")</f>
        <v/>
      </c>
      <c r="P48" s="26" t="str">
        <f aca="false">IF(Returns!$O48=1,Returns!G48,"")</f>
        <v/>
      </c>
      <c r="Q48" s="26" t="str">
        <f aca="false">IF(Returns!$O48=1,Returns!H48,"")</f>
        <v/>
      </c>
      <c r="R48" s="26" t="str">
        <f aca="false">IF(Returns!$O48=1,Returns!I48,"")</f>
        <v/>
      </c>
      <c r="S48" s="26" t="str">
        <f aca="false">IF(Returns!$O48=1,Returns!J48,"")</f>
        <v/>
      </c>
      <c r="T48" s="26" t="n">
        <f aca="false">IF(Returns!$O48=1,"",Returns!K48)</f>
        <v>0.0143876238927174</v>
      </c>
    </row>
    <row r="49" customFormat="false" ht="15" hidden="false" customHeight="false" outlineLevel="0" collapsed="false">
      <c r="A49" s="25" t="n">
        <f aca="false">Returns!A49</f>
        <v>43773</v>
      </c>
      <c r="B49" s="26" t="n">
        <f aca="false">IF(Returns!$O49=1,"",Returns!B49)</f>
        <v>-0.0188344819516175</v>
      </c>
      <c r="C49" s="26" t="n">
        <f aca="false">IF(Returns!$O49=1,"",Returns!C49)</f>
        <v>0.00142268292682934</v>
      </c>
      <c r="D49" s="26" t="n">
        <f aca="false">IF(Returns!$O49=1,"",Returns!D49)</f>
        <v>0.0328173374613003</v>
      </c>
      <c r="E49" s="26" t="n">
        <f aca="false">IF(Returns!$O49=1,"",Returns!E49)</f>
        <v>-0.0242494233608372</v>
      </c>
      <c r="F49" s="26" t="n">
        <f aca="false">IF(Returns!$O49=1,"",Returns!F49)</f>
        <v>-0.00931821245238973</v>
      </c>
      <c r="G49" s="26" t="n">
        <f aca="false">IF(Returns!$O49=1,"",Returns!G49)</f>
        <v>0.00964183851095601</v>
      </c>
      <c r="H49" s="26" t="n">
        <f aca="false">IF(Returns!$O49=1,"",Returns!H49)</f>
        <v>-0.00230032862306928</v>
      </c>
      <c r="I49" s="26" t="n">
        <f aca="false">IF(Returns!$O49=1,"",Returns!I49)</f>
        <v>-0.00245054887546958</v>
      </c>
      <c r="J49" s="26" t="n">
        <f aca="false">IF(Returns!$O49=1,"",Returns!J49)</f>
        <v>0.0284888734204969</v>
      </c>
      <c r="K49" s="26" t="str">
        <f aca="false">IF(Returns!$O49=1,Returns!B49,"")</f>
        <v/>
      </c>
      <c r="L49" s="26" t="str">
        <f aca="false">IF(Returns!$O49=1,Returns!C49,"")</f>
        <v/>
      </c>
      <c r="M49" s="26" t="str">
        <f aca="false">IF(Returns!$O49=1,Returns!D49,"")</f>
        <v/>
      </c>
      <c r="N49" s="26" t="str">
        <f aca="false">IF(Returns!$O49=1,Returns!E49,"")</f>
        <v/>
      </c>
      <c r="O49" s="26" t="str">
        <f aca="false">IF(Returns!$O49=1,Returns!F49,"")</f>
        <v/>
      </c>
      <c r="P49" s="26" t="str">
        <f aca="false">IF(Returns!$O49=1,Returns!G49,"")</f>
        <v/>
      </c>
      <c r="Q49" s="26" t="str">
        <f aca="false">IF(Returns!$O49=1,Returns!H49,"")</f>
        <v/>
      </c>
      <c r="R49" s="26" t="str">
        <f aca="false">IF(Returns!$O49=1,Returns!I49,"")</f>
        <v/>
      </c>
      <c r="S49" s="26" t="str">
        <f aca="false">IF(Returns!$O49=1,Returns!J49,"")</f>
        <v/>
      </c>
      <c r="T49" s="26" t="n">
        <f aca="false">IF(Returns!$O49=1,"",Returns!K49)</f>
        <v>0.00169085967291102</v>
      </c>
    </row>
    <row r="50" customFormat="false" ht="15" hidden="false" customHeight="false" outlineLevel="0" collapsed="false">
      <c r="A50" s="25" t="n">
        <f aca="false">Returns!A50</f>
        <v>43774</v>
      </c>
      <c r="B50" s="26" t="n">
        <f aca="false">IF(Returns!$O50=1,"",Returns!B50)</f>
        <v>-0.0106645117200245</v>
      </c>
      <c r="C50" s="26" t="n">
        <f aca="false">IF(Returns!$O50=1,"",Returns!C50)</f>
        <v>0.000608889840380877</v>
      </c>
      <c r="D50" s="26" t="n">
        <f aca="false">IF(Returns!$O50=1,"",Returns!D50)</f>
        <v>0.0323740407673863</v>
      </c>
      <c r="E50" s="26" t="n">
        <f aca="false">IF(Returns!$O50=1,"",Returns!E50)</f>
        <v>-0.00165676336458664</v>
      </c>
      <c r="F50" s="26" t="n">
        <f aca="false">IF(Returns!$O50=1,"",Returns!F50)</f>
        <v>-0.00841584633028214</v>
      </c>
      <c r="G50" s="26" t="n">
        <f aca="false">IF(Returns!$O50=1,"",Returns!G50)</f>
        <v>-0.0266029672578445</v>
      </c>
      <c r="H50" s="26" t="n">
        <f aca="false">IF(Returns!$O50=1,"",Returns!H50)</f>
        <v>-0.0233860664233839</v>
      </c>
      <c r="I50" s="26" t="n">
        <f aca="false">IF(Returns!$O50=1,"",Returns!I50)</f>
        <v>-0.0112588848611174</v>
      </c>
      <c r="J50" s="26" t="n">
        <f aca="false">IF(Returns!$O50=1,"",Returns!J50)</f>
        <v>0.00100359293456442</v>
      </c>
      <c r="K50" s="26" t="str">
        <f aca="false">IF(Returns!$O50=1,Returns!B50,"")</f>
        <v/>
      </c>
      <c r="L50" s="26" t="str">
        <f aca="false">IF(Returns!$O50=1,Returns!C50,"")</f>
        <v/>
      </c>
      <c r="M50" s="26" t="str">
        <f aca="false">IF(Returns!$O50=1,Returns!D50,"")</f>
        <v/>
      </c>
      <c r="N50" s="26" t="str">
        <f aca="false">IF(Returns!$O50=1,Returns!E50,"")</f>
        <v/>
      </c>
      <c r="O50" s="26" t="str">
        <f aca="false">IF(Returns!$O50=1,Returns!F50,"")</f>
        <v/>
      </c>
      <c r="P50" s="26" t="str">
        <f aca="false">IF(Returns!$O50=1,Returns!G50,"")</f>
        <v/>
      </c>
      <c r="Q50" s="26" t="str">
        <f aca="false">IF(Returns!$O50=1,Returns!H50,"")</f>
        <v/>
      </c>
      <c r="R50" s="26" t="str">
        <f aca="false">IF(Returns!$O50=1,Returns!I50,"")</f>
        <v/>
      </c>
      <c r="S50" s="26" t="str">
        <f aca="false">IF(Returns!$O50=1,Returns!J50,"")</f>
        <v/>
      </c>
      <c r="T50" s="26" t="n">
        <f aca="false">IF(Returns!$O50=1,"",Returns!K50)</f>
        <v>-0.00533316849054528</v>
      </c>
    </row>
    <row r="51" customFormat="false" ht="15" hidden="false" customHeight="false" outlineLevel="0" collapsed="false">
      <c r="A51" s="25" t="n">
        <f aca="false">Returns!A51</f>
        <v>43775</v>
      </c>
      <c r="B51" s="26" t="n">
        <f aca="false">IF(Returns!$O51=1,"",Returns!B51)</f>
        <v>0.00630184090052799</v>
      </c>
      <c r="C51" s="26" t="n">
        <f aca="false">IF(Returns!$O51=1,"",Returns!C51)</f>
        <v>-0.00811357063801788</v>
      </c>
      <c r="D51" s="26" t="n">
        <f aca="false">IF(Returns!$O51=1,"",Returns!D51)</f>
        <v>-0.00696858344765294</v>
      </c>
      <c r="E51" s="26" t="n">
        <f aca="false">IF(Returns!$O51=1,"",Returns!E51)</f>
        <v>0.000237009243559738</v>
      </c>
      <c r="F51" s="26" t="n">
        <f aca="false">IF(Returns!$O51=1,"",Returns!F51)</f>
        <v>0.0229654851695382</v>
      </c>
      <c r="G51" s="26" t="n">
        <f aca="false">IF(Returns!$O51=1,"",Returns!G51)</f>
        <v>0.0224246313095784</v>
      </c>
      <c r="H51" s="26" t="n">
        <f aca="false">IF(Returns!$O51=1,"",Returns!H51)</f>
        <v>0.00202357504215867</v>
      </c>
      <c r="I51" s="26" t="n">
        <f aca="false">IF(Returns!$O51=1,"",Returns!I51)</f>
        <v>0.0163560629418795</v>
      </c>
      <c r="J51" s="26" t="n">
        <f aca="false">IF(Returns!$O51=1,"",Returns!J51)</f>
        <v>-0.00360938447181436</v>
      </c>
      <c r="K51" s="26" t="str">
        <f aca="false">IF(Returns!$O51=1,Returns!B51,"")</f>
        <v/>
      </c>
      <c r="L51" s="26" t="str">
        <f aca="false">IF(Returns!$O51=1,Returns!C51,"")</f>
        <v/>
      </c>
      <c r="M51" s="26" t="str">
        <f aca="false">IF(Returns!$O51=1,Returns!D51,"")</f>
        <v/>
      </c>
      <c r="N51" s="26" t="str">
        <f aca="false">IF(Returns!$O51=1,Returns!E51,"")</f>
        <v/>
      </c>
      <c r="O51" s="26" t="str">
        <f aca="false">IF(Returns!$O51=1,Returns!F51,"")</f>
        <v/>
      </c>
      <c r="P51" s="26" t="str">
        <f aca="false">IF(Returns!$O51=1,Returns!G51,"")</f>
        <v/>
      </c>
      <c r="Q51" s="26" t="str">
        <f aca="false">IF(Returns!$O51=1,Returns!H51,"")</f>
        <v/>
      </c>
      <c r="R51" s="26" t="str">
        <f aca="false">IF(Returns!$O51=1,Returns!I51,"")</f>
        <v/>
      </c>
      <c r="S51" s="26" t="str">
        <f aca="false">IF(Returns!$O51=1,Returns!J51,"")</f>
        <v/>
      </c>
      <c r="T51" s="26" t="n">
        <f aca="false">IF(Returns!$O51=1,"",Returns!K51)</f>
        <v>0.00573522956108415</v>
      </c>
    </row>
    <row r="52" customFormat="false" ht="15" hidden="false" customHeight="false" outlineLevel="0" collapsed="false">
      <c r="A52" s="25" t="n">
        <f aca="false">Returns!A52</f>
        <v>43776</v>
      </c>
      <c r="B52" s="26" t="n">
        <f aca="false">IF(Returns!$O52=1,"",Returns!B52)</f>
        <v>-0.0120303065260382</v>
      </c>
      <c r="C52" s="26" t="n">
        <f aca="false">IF(Returns!$O52=1,"",Returns!C52)</f>
        <v>0.010224908602755</v>
      </c>
      <c r="D52" s="26" t="n">
        <f aca="false">IF(Returns!$O52=1,"",Returns!D52)</f>
        <v>0.0421052631578946</v>
      </c>
      <c r="E52" s="26" t="n">
        <f aca="false">IF(Returns!$O52=1,"",Returns!E52)</f>
        <v>0.00379239415693244</v>
      </c>
      <c r="F52" s="26" t="n">
        <f aca="false">IF(Returns!$O52=1,"",Returns!F52)</f>
        <v>-0.00780858840905607</v>
      </c>
      <c r="G52" s="26" t="n">
        <f aca="false">IF(Returns!$O52=1,"",Returns!G52)</f>
        <v>0.00993827964359162</v>
      </c>
      <c r="H52" s="26" t="n">
        <f aca="false">IF(Returns!$O52=1,"",Returns!H52)</f>
        <v>0.0400538889281012</v>
      </c>
      <c r="I52" s="26" t="n">
        <f aca="false">IF(Returns!$O52=1,"",Returns!I52)</f>
        <v>0.0162966247294705</v>
      </c>
      <c r="J52" s="26" t="n">
        <f aca="false">IF(Returns!$O52=1,"",Returns!J52)</f>
        <v>0.00845244533009537</v>
      </c>
      <c r="K52" s="26" t="str">
        <f aca="false">IF(Returns!$O52=1,Returns!B52,"")</f>
        <v/>
      </c>
      <c r="L52" s="26" t="str">
        <f aca="false">IF(Returns!$O52=1,Returns!C52,"")</f>
        <v/>
      </c>
      <c r="M52" s="26" t="str">
        <f aca="false">IF(Returns!$O52=1,Returns!D52,"")</f>
        <v/>
      </c>
      <c r="N52" s="26" t="str">
        <f aca="false">IF(Returns!$O52=1,Returns!E52,"")</f>
        <v/>
      </c>
      <c r="O52" s="26" t="str">
        <f aca="false">IF(Returns!$O52=1,Returns!F52,"")</f>
        <v/>
      </c>
      <c r="P52" s="26" t="str">
        <f aca="false">IF(Returns!$O52=1,Returns!G52,"")</f>
        <v/>
      </c>
      <c r="Q52" s="26" t="str">
        <f aca="false">IF(Returns!$O52=1,Returns!H52,"")</f>
        <v/>
      </c>
      <c r="R52" s="26" t="str">
        <f aca="false">IF(Returns!$O52=1,Returns!I52,"")</f>
        <v/>
      </c>
      <c r="S52" s="26" t="str">
        <f aca="false">IF(Returns!$O52=1,Returns!J52,"")</f>
        <v/>
      </c>
      <c r="T52" s="26" t="n">
        <f aca="false">IF(Returns!$O52=1,"",Returns!K52)</f>
        <v>0.0123361010681941</v>
      </c>
    </row>
    <row r="53" customFormat="false" ht="15" hidden="false" customHeight="false" outlineLevel="0" collapsed="false">
      <c r="A53" s="25" t="n">
        <f aca="false">Returns!A53</f>
        <v>43777</v>
      </c>
      <c r="B53" s="26" t="n">
        <f aca="false">IF(Returns!$O53=1,"",Returns!B53)</f>
        <v>-0.00750627176803553</v>
      </c>
      <c r="C53" s="26" t="n">
        <f aca="false">IF(Returns!$O53=1,"",Returns!C53)</f>
        <v>-0.0141699002196255</v>
      </c>
      <c r="D53" s="26" t="n">
        <f aca="false">IF(Returns!$O53=1,"",Returns!D53)</f>
        <v>-0.0134680134680136</v>
      </c>
      <c r="E53" s="26" t="n">
        <f aca="false">IF(Returns!$O53=1,"",Returns!E53)</f>
        <v>-0.0188902320294291</v>
      </c>
      <c r="F53" s="26" t="n">
        <f aca="false">IF(Returns!$O53=1,"",Returns!F53)</f>
        <v>-0.0442696544253219</v>
      </c>
      <c r="G53" s="26" t="n">
        <f aca="false">IF(Returns!$O53=1,"",Returns!G53)</f>
        <v>-0.0240922641361474</v>
      </c>
      <c r="H53" s="26" t="n">
        <f aca="false">IF(Returns!$O53=1,"",Returns!H53)</f>
        <v>-0.0284789644012945</v>
      </c>
      <c r="I53" s="26" t="n">
        <f aca="false">IF(Returns!$O53=1,"",Returns!I53)</f>
        <v>0.018039686556808</v>
      </c>
      <c r="J53" s="26" t="n">
        <f aca="false">IF(Returns!$O53=1,"",Returns!J53)</f>
        <v>-0.0185591894121095</v>
      </c>
      <c r="K53" s="26" t="str">
        <f aca="false">IF(Returns!$O53=1,Returns!B53,"")</f>
        <v/>
      </c>
      <c r="L53" s="26" t="str">
        <f aca="false">IF(Returns!$O53=1,Returns!C53,"")</f>
        <v/>
      </c>
      <c r="M53" s="26" t="str">
        <f aca="false">IF(Returns!$O53=1,Returns!D53,"")</f>
        <v/>
      </c>
      <c r="N53" s="26" t="str">
        <f aca="false">IF(Returns!$O53=1,Returns!E53,"")</f>
        <v/>
      </c>
      <c r="O53" s="26" t="str">
        <f aca="false">IF(Returns!$O53=1,Returns!F53,"")</f>
        <v/>
      </c>
      <c r="P53" s="26" t="str">
        <f aca="false">IF(Returns!$O53=1,Returns!G53,"")</f>
        <v/>
      </c>
      <c r="Q53" s="26" t="str">
        <f aca="false">IF(Returns!$O53=1,Returns!H53,"")</f>
        <v/>
      </c>
      <c r="R53" s="26" t="str">
        <f aca="false">IF(Returns!$O53=1,Returns!I53,"")</f>
        <v/>
      </c>
      <c r="S53" s="26" t="str">
        <f aca="false">IF(Returns!$O53=1,Returns!J53,"")</f>
        <v/>
      </c>
      <c r="T53" s="26" t="n">
        <f aca="false">IF(Returns!$O53=1,"",Returns!K53)</f>
        <v>-0.0168216448114632</v>
      </c>
    </row>
    <row r="54" customFormat="false" ht="15" hidden="false" customHeight="false" outlineLevel="0" collapsed="false">
      <c r="A54" s="25" t="n">
        <f aca="false">Returns!A54</f>
        <v>43780</v>
      </c>
      <c r="B54" s="26" t="n">
        <f aca="false">IF(Returns!$O54=1,"",Returns!B54)</f>
        <v>0.00672272268907559</v>
      </c>
      <c r="C54" s="26" t="n">
        <f aca="false">IF(Returns!$O54=1,"",Returns!C54)</f>
        <v>0.0287474526181746</v>
      </c>
      <c r="D54" s="26" t="n">
        <f aca="false">IF(Returns!$O54=1,"",Returns!D54)</f>
        <v>0.0244596131968147</v>
      </c>
      <c r="E54" s="26" t="n">
        <f aca="false">IF(Returns!$O54=1,"",Returns!E54)</f>
        <v>0.0139591633619671</v>
      </c>
      <c r="F54" s="26" t="n">
        <f aca="false">IF(Returns!$O54=1,"",Returns!F54)</f>
        <v>0.0226454689928273</v>
      </c>
      <c r="G54" s="26" t="n">
        <f aca="false">IF(Returns!$O54=1,"",Returns!G54)</f>
        <v>0.0125174200278162</v>
      </c>
      <c r="H54" s="26" t="n">
        <f aca="false">IF(Returns!$O54=1,"",Returns!H54)</f>
        <v>0.01432381745503</v>
      </c>
      <c r="I54" s="26" t="n">
        <f aca="false">IF(Returns!$O54=1,"",Returns!I54)</f>
        <v>0.0127977635890739</v>
      </c>
      <c r="J54" s="26" t="n">
        <f aca="false">IF(Returns!$O54=1,"",Returns!J54)</f>
        <v>-0.0213501220008133</v>
      </c>
      <c r="K54" s="26" t="str">
        <f aca="false">IF(Returns!$O54=1,Returns!B54,"")</f>
        <v/>
      </c>
      <c r="L54" s="26" t="str">
        <f aca="false">IF(Returns!$O54=1,Returns!C54,"")</f>
        <v/>
      </c>
      <c r="M54" s="26" t="str">
        <f aca="false">IF(Returns!$O54=1,Returns!D54,"")</f>
        <v/>
      </c>
      <c r="N54" s="26" t="str">
        <f aca="false">IF(Returns!$O54=1,Returns!E54,"")</f>
        <v/>
      </c>
      <c r="O54" s="26" t="str">
        <f aca="false">IF(Returns!$O54=1,Returns!F54,"")</f>
        <v/>
      </c>
      <c r="P54" s="26" t="str">
        <f aca="false">IF(Returns!$O54=1,Returns!G54,"")</f>
        <v/>
      </c>
      <c r="Q54" s="26" t="str">
        <f aca="false">IF(Returns!$O54=1,Returns!H54,"")</f>
        <v/>
      </c>
      <c r="R54" s="26" t="str">
        <f aca="false">IF(Returns!$O54=1,Returns!I54,"")</f>
        <v/>
      </c>
      <c r="S54" s="26" t="str">
        <f aca="false">IF(Returns!$O54=1,Returns!J54,"")</f>
        <v/>
      </c>
      <c r="T54" s="26" t="n">
        <f aca="false">IF(Returns!$O54=1,"",Returns!K54)</f>
        <v>0.0127581444366629</v>
      </c>
    </row>
    <row r="55" customFormat="false" ht="15" hidden="false" customHeight="false" outlineLevel="0" collapsed="false">
      <c r="A55" s="25" t="n">
        <f aca="false">Returns!A55</f>
        <v>43781</v>
      </c>
      <c r="B55" s="26" t="n">
        <f aca="false">IF(Returns!$O55=1,"",Returns!B55)</f>
        <v>-0.0158597824420774</v>
      </c>
      <c r="C55" s="26" t="n">
        <f aca="false">IF(Returns!$O55=1,"",Returns!C55)</f>
        <v>-0.0179641306608306</v>
      </c>
      <c r="D55" s="26" t="n">
        <f aca="false">IF(Returns!$O55=1,"",Returns!D55)</f>
        <v>-0.00888395335924486</v>
      </c>
      <c r="E55" s="26" t="n">
        <f aca="false">IF(Returns!$O55=1,"",Returns!E55)</f>
        <v>-0.0199382610973384</v>
      </c>
      <c r="F55" s="26" t="n">
        <f aca="false">IF(Returns!$O55=1,"",Returns!F55)</f>
        <v>-0.0186211156267154</v>
      </c>
      <c r="G55" s="26" t="n">
        <f aca="false">IF(Returns!$O55=1,"",Returns!G55)</f>
        <v>-0.0113324171932548</v>
      </c>
      <c r="H55" s="26" t="n">
        <f aca="false">IF(Returns!$O55=1,"",Returns!H55)</f>
        <v>-0.0141215430501956</v>
      </c>
      <c r="I55" s="26" t="n">
        <f aca="false">IF(Returns!$O55=1,"",Returns!I55)</f>
        <v>-0.0103032747030944</v>
      </c>
      <c r="J55" s="26" t="n">
        <f aca="false">IF(Returns!$O55=1,"",Returns!J55)</f>
        <v>-0.00477870341203612</v>
      </c>
      <c r="K55" s="26" t="str">
        <f aca="false">IF(Returns!$O55=1,Returns!B55,"")</f>
        <v/>
      </c>
      <c r="L55" s="26" t="str">
        <f aca="false">IF(Returns!$O55=1,Returns!C55,"")</f>
        <v/>
      </c>
      <c r="M55" s="26" t="str">
        <f aca="false">IF(Returns!$O55=1,Returns!D55,"")</f>
        <v/>
      </c>
      <c r="N55" s="26" t="str">
        <f aca="false">IF(Returns!$O55=1,Returns!E55,"")</f>
        <v/>
      </c>
      <c r="O55" s="26" t="str">
        <f aca="false">IF(Returns!$O55=1,Returns!F55,"")</f>
        <v/>
      </c>
      <c r="P55" s="26" t="str">
        <f aca="false">IF(Returns!$O55=1,Returns!G55,"")</f>
        <v/>
      </c>
      <c r="Q55" s="26" t="str">
        <f aca="false">IF(Returns!$O55=1,Returns!H55,"")</f>
        <v/>
      </c>
      <c r="R55" s="26" t="str">
        <f aca="false">IF(Returns!$O55=1,Returns!I55,"")</f>
        <v/>
      </c>
      <c r="S55" s="26" t="str">
        <f aca="false">IF(Returns!$O55=1,Returns!J55,"")</f>
        <v/>
      </c>
      <c r="T55" s="26" t="n">
        <f aca="false">IF(Returns!$O55=1,"",Returns!K55)</f>
        <v>-0.0135336868383098</v>
      </c>
    </row>
    <row r="56" customFormat="false" ht="15" hidden="false" customHeight="false" outlineLevel="0" collapsed="false">
      <c r="A56" s="25" t="n">
        <f aca="false">Returns!A56</f>
        <v>43782</v>
      </c>
      <c r="B56" s="26" t="n">
        <f aca="false">IF(Returns!$O56=1,"",Returns!B56)</f>
        <v>0.00763360462029517</v>
      </c>
      <c r="C56" s="26" t="n">
        <f aca="false">IF(Returns!$O56=1,"",Returns!C56)</f>
        <v>0.00670731707317085</v>
      </c>
      <c r="D56" s="26" t="n">
        <f aca="false">IF(Returns!$O56=1,"",Returns!D56)</f>
        <v>-0.0196078431372549</v>
      </c>
      <c r="E56" s="26" t="n">
        <f aca="false">IF(Returns!$O56=1,"",Returns!E56)</f>
        <v>-0.00314847408863805</v>
      </c>
      <c r="F56" s="26" t="n">
        <f aca="false">IF(Returns!$O56=1,"",Returns!F56)</f>
        <v>0.00307706430836952</v>
      </c>
      <c r="G56" s="26" t="n">
        <f aca="false">IF(Returns!$O56=1,"",Returns!G56)</f>
        <v>-0.00764157667101162</v>
      </c>
      <c r="H56" s="26" t="n">
        <f aca="false">IF(Returns!$O56=1,"",Returns!H56)</f>
        <v>-0.00399733510992673</v>
      </c>
      <c r="I56" s="26" t="n">
        <f aca="false">IF(Returns!$O56=1,"",Returns!I56)</f>
        <v>-0.0106069237217552</v>
      </c>
      <c r="J56" s="26" t="n">
        <f aca="false">IF(Returns!$O56=1,"",Returns!J56)</f>
        <v>-0.016283986793988</v>
      </c>
      <c r="K56" s="26" t="str">
        <f aca="false">IF(Returns!$O56=1,Returns!B56,"")</f>
        <v/>
      </c>
      <c r="L56" s="26" t="str">
        <f aca="false">IF(Returns!$O56=1,Returns!C56,"")</f>
        <v/>
      </c>
      <c r="M56" s="26" t="str">
        <f aca="false">IF(Returns!$O56=1,Returns!D56,"")</f>
        <v/>
      </c>
      <c r="N56" s="26" t="str">
        <f aca="false">IF(Returns!$O56=1,Returns!E56,"")</f>
        <v/>
      </c>
      <c r="O56" s="26" t="str">
        <f aca="false">IF(Returns!$O56=1,Returns!F56,"")</f>
        <v/>
      </c>
      <c r="P56" s="26" t="str">
        <f aca="false">IF(Returns!$O56=1,Returns!G56,"")</f>
        <v/>
      </c>
      <c r="Q56" s="26" t="str">
        <f aca="false">IF(Returns!$O56=1,Returns!H56,"")</f>
        <v/>
      </c>
      <c r="R56" s="26" t="str">
        <f aca="false">IF(Returns!$O56=1,Returns!I56,"")</f>
        <v/>
      </c>
      <c r="S56" s="26" t="str">
        <f aca="false">IF(Returns!$O56=1,Returns!J56,"")</f>
        <v/>
      </c>
      <c r="T56" s="26" t="n">
        <f aca="false">IF(Returns!$O56=1,"",Returns!K56)</f>
        <v>-0.00487423928008211</v>
      </c>
    </row>
    <row r="57" customFormat="false" ht="15" hidden="false" customHeight="false" outlineLevel="0" collapsed="false">
      <c r="A57" s="25" t="n">
        <f aca="false">Returns!A57</f>
        <v>43783</v>
      </c>
      <c r="B57" s="26" t="n">
        <f aca="false">IF(Returns!$O57=1,"",Returns!B57)</f>
        <v>0.0213804033205252</v>
      </c>
      <c r="C57" s="26" t="n">
        <f aca="false">IF(Returns!$O57=1,"",Returns!C57)</f>
        <v>0.00545124167171407</v>
      </c>
      <c r="D57" s="26" t="n">
        <f aca="false">IF(Returns!$O57=1,"",Returns!D57)</f>
        <v>0.00342851428571445</v>
      </c>
      <c r="E57" s="26" t="n">
        <f aca="false">IF(Returns!$O57=1,"",Returns!E57)</f>
        <v>0.0143343108588188</v>
      </c>
      <c r="F57" s="26" t="n">
        <f aca="false">IF(Returns!$O57=1,"",Returns!F57)</f>
        <v>0.0219835516447329</v>
      </c>
      <c r="G57" s="26" t="n">
        <f aca="false">IF(Returns!$O57=1,"",Returns!G57)</f>
        <v>0.0276514175708786</v>
      </c>
      <c r="H57" s="26" t="n">
        <f aca="false">IF(Returns!$O57=1,"",Returns!H57)</f>
        <v>-0.020066923076923</v>
      </c>
      <c r="I57" s="26" t="n">
        <f aca="false">IF(Returns!$O57=1,"",Returns!I57)</f>
        <v>0.0136985710779673</v>
      </c>
      <c r="J57" s="26" t="n">
        <f aca="false">IF(Returns!$O57=1,"",Returns!J57)</f>
        <v>-0.0025466681355405</v>
      </c>
      <c r="K57" s="26" t="str">
        <f aca="false">IF(Returns!$O57=1,Returns!B57,"")</f>
        <v/>
      </c>
      <c r="L57" s="26" t="str">
        <f aca="false">IF(Returns!$O57=1,Returns!C57,"")</f>
        <v/>
      </c>
      <c r="M57" s="26" t="str">
        <f aca="false">IF(Returns!$O57=1,Returns!D57,"")</f>
        <v/>
      </c>
      <c r="N57" s="26" t="str">
        <f aca="false">IF(Returns!$O57=1,Returns!E57,"")</f>
        <v/>
      </c>
      <c r="O57" s="26" t="str">
        <f aca="false">IF(Returns!$O57=1,Returns!F57,"")</f>
        <v/>
      </c>
      <c r="P57" s="26" t="str">
        <f aca="false">IF(Returns!$O57=1,Returns!G57,"")</f>
        <v/>
      </c>
      <c r="Q57" s="26" t="str">
        <f aca="false">IF(Returns!$O57=1,Returns!H57,"")</f>
        <v/>
      </c>
      <c r="R57" s="26" t="str">
        <f aca="false">IF(Returns!$O57=1,Returns!I57,"")</f>
        <v/>
      </c>
      <c r="S57" s="26" t="str">
        <f aca="false">IF(Returns!$O57=1,Returns!J57,"")</f>
        <v/>
      </c>
      <c r="T57" s="26" t="n">
        <f aca="false">IF(Returns!$O57=1,"",Returns!K57)</f>
        <v>0.00947937991309864</v>
      </c>
    </row>
    <row r="58" customFormat="false" ht="15" hidden="false" customHeight="false" outlineLevel="0" collapsed="false">
      <c r="A58" s="25" t="n">
        <f aca="false">Returns!A58</f>
        <v>43787</v>
      </c>
      <c r="B58" s="26" t="n">
        <f aca="false">IF(Returns!$O58=1,"",Returns!B58)</f>
        <v>-0.00642820195906391</v>
      </c>
      <c r="C58" s="26" t="n">
        <f aca="false">IF(Returns!$O58=1,"",Returns!C58)</f>
        <v>-0.0152610843373495</v>
      </c>
      <c r="D58" s="26" t="n">
        <f aca="false">IF(Returns!$O58=1,"",Returns!D58)</f>
        <v>0.00911161783095782</v>
      </c>
      <c r="E58" s="26" t="n">
        <f aca="false">IF(Returns!$O58=1,"",Returns!E58)</f>
        <v>-0.0143713181153842</v>
      </c>
      <c r="F58" s="26" t="n">
        <f aca="false">IF(Returns!$O58=1,"",Returns!F58)</f>
        <v>-0.0155077955607095</v>
      </c>
      <c r="G58" s="26" t="n">
        <f aca="false">IF(Returns!$O58=1,"",Returns!G58)</f>
        <v>-0.00170306533708908</v>
      </c>
      <c r="H58" s="26" t="n">
        <f aca="false">IF(Returns!$O58=1,"",Returns!H58)</f>
        <v>-0.0075084985497782</v>
      </c>
      <c r="I58" s="26" t="n">
        <f aca="false">IF(Returns!$O58=1,"",Returns!I58)</f>
        <v>-0.00744217754180487</v>
      </c>
      <c r="J58" s="26" t="n">
        <f aca="false">IF(Returns!$O58=1,"",Returns!J58)</f>
        <v>0.0129787446808509</v>
      </c>
      <c r="K58" s="26" t="str">
        <f aca="false">IF(Returns!$O58=1,Returns!B58,"")</f>
        <v/>
      </c>
      <c r="L58" s="26" t="str">
        <f aca="false">IF(Returns!$O58=1,Returns!C58,"")</f>
        <v/>
      </c>
      <c r="M58" s="26" t="str">
        <f aca="false">IF(Returns!$O58=1,Returns!D58,"")</f>
        <v/>
      </c>
      <c r="N58" s="26" t="str">
        <f aca="false">IF(Returns!$O58=1,Returns!E58,"")</f>
        <v/>
      </c>
      <c r="O58" s="26" t="str">
        <f aca="false">IF(Returns!$O58=1,Returns!F58,"")</f>
        <v/>
      </c>
      <c r="P58" s="26" t="str">
        <f aca="false">IF(Returns!$O58=1,Returns!G58,"")</f>
        <v/>
      </c>
      <c r="Q58" s="26" t="str">
        <f aca="false">IF(Returns!$O58=1,Returns!H58,"")</f>
        <v/>
      </c>
      <c r="R58" s="26" t="str">
        <f aca="false">IF(Returns!$O58=1,Returns!I58,"")</f>
        <v/>
      </c>
      <c r="S58" s="26" t="str">
        <f aca="false">IF(Returns!$O58=1,Returns!J58,"")</f>
        <v/>
      </c>
      <c r="T58" s="26" t="n">
        <f aca="false">IF(Returns!$O58=1,"",Returns!K58)</f>
        <v>-0.00512575320993005</v>
      </c>
    </row>
    <row r="59" customFormat="false" ht="15" hidden="false" customHeight="false" outlineLevel="0" collapsed="false">
      <c r="A59" s="25" t="n">
        <f aca="false">Returns!A59</f>
        <v>43788</v>
      </c>
      <c r="B59" s="26" t="n">
        <f aca="false">IF(Returns!$O59=1,"",Returns!B59)</f>
        <v>-0.00447911420834612</v>
      </c>
      <c r="C59" s="26" t="n">
        <f aca="false">IF(Returns!$O59=1,"",Returns!C59)</f>
        <v>-0.0224306289735166</v>
      </c>
      <c r="D59" s="26" t="n">
        <f aca="false">IF(Returns!$O59=1,"",Returns!D59)</f>
        <v>-0.0107222353680722</v>
      </c>
      <c r="E59" s="26" t="n">
        <f aca="false">IF(Returns!$O59=1,"",Returns!E59)</f>
        <v>-0.00315916048478615</v>
      </c>
      <c r="F59" s="26" t="n">
        <f aca="false">IF(Returns!$O59=1,"",Returns!F59)</f>
        <v>0.0147358027219306</v>
      </c>
      <c r="G59" s="26" t="n">
        <f aca="false">IF(Returns!$O59=1,"",Returns!G59)</f>
        <v>-0.0204708297670021</v>
      </c>
      <c r="H59" s="26" t="n">
        <f aca="false">IF(Returns!$O59=1,"",Returns!H59)</f>
        <v>-0.0103163342503438</v>
      </c>
      <c r="I59" s="26" t="n">
        <f aca="false">IF(Returns!$O59=1,"",Returns!I59)</f>
        <v>0.0157853453791368</v>
      </c>
      <c r="J59" s="26" t="n">
        <f aca="false">IF(Returns!$O59=1,"",Returns!J59)</f>
        <v>0.011762171565592</v>
      </c>
      <c r="K59" s="26" t="str">
        <f aca="false">IF(Returns!$O59=1,Returns!B59,"")</f>
        <v/>
      </c>
      <c r="L59" s="26" t="str">
        <f aca="false">IF(Returns!$O59=1,Returns!C59,"")</f>
        <v/>
      </c>
      <c r="M59" s="26" t="str">
        <f aca="false">IF(Returns!$O59=1,Returns!D59,"")</f>
        <v/>
      </c>
      <c r="N59" s="26" t="str">
        <f aca="false">IF(Returns!$O59=1,Returns!E59,"")</f>
        <v/>
      </c>
      <c r="O59" s="26" t="str">
        <f aca="false">IF(Returns!$O59=1,Returns!F59,"")</f>
        <v/>
      </c>
      <c r="P59" s="26" t="str">
        <f aca="false">IF(Returns!$O59=1,Returns!G59,"")</f>
        <v/>
      </c>
      <c r="Q59" s="26" t="str">
        <f aca="false">IF(Returns!$O59=1,Returns!H59,"")</f>
        <v/>
      </c>
      <c r="R59" s="26" t="str">
        <f aca="false">IF(Returns!$O59=1,Returns!I59,"")</f>
        <v/>
      </c>
      <c r="S59" s="26" t="str">
        <f aca="false">IF(Returns!$O59=1,Returns!J59,"")</f>
        <v/>
      </c>
      <c r="T59" s="26" t="n">
        <f aca="false">IF(Returns!$O59=1,"",Returns!K59)</f>
        <v>-0.00325499815393416</v>
      </c>
    </row>
    <row r="60" customFormat="false" ht="15" hidden="false" customHeight="false" outlineLevel="0" collapsed="false">
      <c r="A60" s="25" t="n">
        <f aca="false">Returns!A60</f>
        <v>43790</v>
      </c>
      <c r="B60" s="26" t="n">
        <f aca="false">IF(Returns!$O60=1,"",Returns!B60)</f>
        <v>0.0521579920732542</v>
      </c>
      <c r="C60" s="26" t="n">
        <f aca="false">IF(Returns!$O60=1,"",Returns!C60)</f>
        <v>0.0196078222778473</v>
      </c>
      <c r="D60" s="26" t="n">
        <f aca="false">IF(Returns!$O60=1,"",Returns!D60)</f>
        <v>0.00399309731927588</v>
      </c>
      <c r="E60" s="26" t="n">
        <f aca="false">IF(Returns!$O60=1,"",Returns!E60)</f>
        <v>0.0560701801377164</v>
      </c>
      <c r="F60" s="26" t="n">
        <f aca="false">IF(Returns!$O60=1,"",Returns!F60)</f>
        <v>0.0215322642035127</v>
      </c>
      <c r="G60" s="26" t="n">
        <f aca="false">IF(Returns!$O60=1,"",Returns!G60)</f>
        <v>0.0292580992427063</v>
      </c>
      <c r="H60" s="26" t="n">
        <f aca="false">IF(Returns!$O60=1,"",Returns!H60)</f>
        <v>0.0371785602092232</v>
      </c>
      <c r="I60" s="26" t="n">
        <f aca="false">IF(Returns!$O60=1,"",Returns!I60)</f>
        <v>-0.0122377868569051</v>
      </c>
      <c r="J60" s="26" t="n">
        <f aca="false">IF(Returns!$O60=1,"",Returns!J60)</f>
        <v>0.0051899524679242</v>
      </c>
      <c r="K60" s="26" t="str">
        <f aca="false">IF(Returns!$O60=1,Returns!B60,"")</f>
        <v/>
      </c>
      <c r="L60" s="26" t="str">
        <f aca="false">IF(Returns!$O60=1,Returns!C60,"")</f>
        <v/>
      </c>
      <c r="M60" s="26" t="str">
        <f aca="false">IF(Returns!$O60=1,Returns!D60,"")</f>
        <v/>
      </c>
      <c r="N60" s="26" t="str">
        <f aca="false">IF(Returns!$O60=1,Returns!E60,"")</f>
        <v/>
      </c>
      <c r="O60" s="26" t="str">
        <f aca="false">IF(Returns!$O60=1,Returns!F60,"")</f>
        <v/>
      </c>
      <c r="P60" s="26" t="str">
        <f aca="false">IF(Returns!$O60=1,Returns!G60,"")</f>
        <v/>
      </c>
      <c r="Q60" s="26" t="str">
        <f aca="false">IF(Returns!$O60=1,Returns!H60,"")</f>
        <v/>
      </c>
      <c r="R60" s="26" t="str">
        <f aca="false">IF(Returns!$O60=1,Returns!I60,"")</f>
        <v/>
      </c>
      <c r="S60" s="26" t="str">
        <f aca="false">IF(Returns!$O60=1,Returns!J60,"")</f>
        <v/>
      </c>
      <c r="T60" s="26" t="n">
        <f aca="false">IF(Returns!$O60=1,"",Returns!K60)</f>
        <v>0.0236389090082839</v>
      </c>
    </row>
    <row r="61" customFormat="false" ht="15" hidden="false" customHeight="false" outlineLevel="0" collapsed="false">
      <c r="A61" s="25" t="n">
        <f aca="false">Returns!A61</f>
        <v>43791</v>
      </c>
      <c r="B61" s="26" t="n">
        <f aca="false">IF(Returns!$O61=1,"",Returns!B61)</f>
        <v>0.0247069690324193</v>
      </c>
      <c r="C61" s="26" t="n">
        <f aca="false">IF(Returns!$O61=1,"",Returns!C61)</f>
        <v>0.0124795215319051</v>
      </c>
      <c r="D61" s="26" t="n">
        <f aca="false">IF(Returns!$O61=1,"",Returns!D61)</f>
        <v>-0.00170454545454557</v>
      </c>
      <c r="E61" s="26" t="n">
        <f aca="false">IF(Returns!$O61=1,"",Returns!E61)</f>
        <v>0.0219298278569522</v>
      </c>
      <c r="F61" s="26" t="n">
        <f aca="false">IF(Returns!$O61=1,"",Returns!F61)</f>
        <v>-0.00294106550947615</v>
      </c>
      <c r="G61" s="26" t="n">
        <f aca="false">IF(Returns!$O61=1,"",Returns!G61)</f>
        <v>-0.00169201359363835</v>
      </c>
      <c r="H61" s="26" t="n">
        <f aca="false">IF(Returns!$O61=1,"",Returns!H61)</f>
        <v>0.00435510887772184</v>
      </c>
      <c r="I61" s="26" t="n">
        <f aca="false">IF(Returns!$O61=1,"",Returns!I61)</f>
        <v>0.0129793875845075</v>
      </c>
      <c r="J61" s="26" t="n">
        <f aca="false">IF(Returns!$O61=1,"",Returns!J61)</f>
        <v>0.0332507448678538</v>
      </c>
      <c r="K61" s="26" t="str">
        <f aca="false">IF(Returns!$O61=1,Returns!B61,"")</f>
        <v/>
      </c>
      <c r="L61" s="26" t="str">
        <f aca="false">IF(Returns!$O61=1,Returns!C61,"")</f>
        <v/>
      </c>
      <c r="M61" s="26" t="str">
        <f aca="false">IF(Returns!$O61=1,Returns!D61,"")</f>
        <v/>
      </c>
      <c r="N61" s="26" t="str">
        <f aca="false">IF(Returns!$O61=1,Returns!E61,"")</f>
        <v/>
      </c>
      <c r="O61" s="26" t="str">
        <f aca="false">IF(Returns!$O61=1,Returns!F61,"")</f>
        <v/>
      </c>
      <c r="P61" s="26" t="str">
        <f aca="false">IF(Returns!$O61=1,Returns!G61,"")</f>
        <v/>
      </c>
      <c r="Q61" s="26" t="str">
        <f aca="false">IF(Returns!$O61=1,Returns!H61,"")</f>
        <v/>
      </c>
      <c r="R61" s="26" t="str">
        <f aca="false">IF(Returns!$O61=1,Returns!I61,"")</f>
        <v/>
      </c>
      <c r="S61" s="26" t="str">
        <f aca="false">IF(Returns!$O61=1,Returns!J61,"")</f>
        <v/>
      </c>
      <c r="T61" s="26" t="n">
        <f aca="false">IF(Returns!$O61=1,"",Returns!K61)</f>
        <v>0.0114848816881889</v>
      </c>
    </row>
    <row r="62" customFormat="false" ht="15" hidden="false" customHeight="false" outlineLevel="0" collapsed="false">
      <c r="A62" s="25" t="n">
        <f aca="false">Returns!A62</f>
        <v>43794</v>
      </c>
      <c r="B62" s="26" t="n">
        <f aca="false">IF(Returns!$O62=1,"",Returns!B62)</f>
        <v>-0.0262750707700959</v>
      </c>
      <c r="C62" s="26" t="n">
        <f aca="false">IF(Returns!$O62=1,"",Returns!C62)</f>
        <v>-0.034754477056152</v>
      </c>
      <c r="D62" s="26" t="n">
        <f aca="false">IF(Returns!$O62=1,"",Returns!D62)</f>
        <v>0.0022766647694934</v>
      </c>
      <c r="E62" s="26" t="n">
        <f aca="false">IF(Returns!$O62=1,"",Returns!E62)</f>
        <v>-0.0047436189016421</v>
      </c>
      <c r="F62" s="26" t="n">
        <f aca="false">IF(Returns!$O62=1,"",Returns!F62)</f>
        <v>0.0127826051866069</v>
      </c>
      <c r="G62" s="26" t="n">
        <f aca="false">IF(Returns!$O62=1,"",Returns!G62)</f>
        <v>-0.00881355932203398</v>
      </c>
      <c r="H62" s="26" t="n">
        <f aca="false">IF(Returns!$O62=1,"",Returns!H62)</f>
        <v>-0.00833889259506337</v>
      </c>
      <c r="I62" s="26" t="n">
        <f aca="false">IF(Returns!$O62=1,"",Returns!I62)</f>
        <v>0.0205785239985876</v>
      </c>
      <c r="J62" s="26" t="n">
        <f aca="false">IF(Returns!$O62=1,"",Returns!J62)</f>
        <v>0.0165900862800337</v>
      </c>
      <c r="K62" s="26" t="str">
        <f aca="false">IF(Returns!$O62=1,Returns!B62,"")</f>
        <v/>
      </c>
      <c r="L62" s="26" t="str">
        <f aca="false">IF(Returns!$O62=1,Returns!C62,"")</f>
        <v/>
      </c>
      <c r="M62" s="26" t="str">
        <f aca="false">IF(Returns!$O62=1,Returns!D62,"")</f>
        <v/>
      </c>
      <c r="N62" s="26" t="str">
        <f aca="false">IF(Returns!$O62=1,Returns!E62,"")</f>
        <v/>
      </c>
      <c r="O62" s="26" t="str">
        <f aca="false">IF(Returns!$O62=1,Returns!F62,"")</f>
        <v/>
      </c>
      <c r="P62" s="26" t="str">
        <f aca="false">IF(Returns!$O62=1,Returns!G62,"")</f>
        <v/>
      </c>
      <c r="Q62" s="26" t="str">
        <f aca="false">IF(Returns!$O62=1,Returns!H62,"")</f>
        <v/>
      </c>
      <c r="R62" s="26" t="str">
        <f aca="false">IF(Returns!$O62=1,Returns!I62,"")</f>
        <v/>
      </c>
      <c r="S62" s="26" t="str">
        <f aca="false">IF(Returns!$O62=1,Returns!J62,"")</f>
        <v/>
      </c>
      <c r="T62" s="26" t="n">
        <f aca="false">IF(Returns!$O62=1,"",Returns!K62)</f>
        <v>-0.00341085982336287</v>
      </c>
    </row>
    <row r="63" customFormat="false" ht="15" hidden="false" customHeight="false" outlineLevel="0" collapsed="false">
      <c r="A63" s="25" t="n">
        <f aca="false">Returns!A63</f>
        <v>43795</v>
      </c>
      <c r="B63" s="26" t="n">
        <f aca="false">IF(Returns!$O63=1,"",Returns!B63)</f>
        <v>-0.00476188888888884</v>
      </c>
      <c r="C63" s="26" t="n">
        <f aca="false">IF(Returns!$O63=1,"",Returns!C63)</f>
        <v>-0.0265857028801696</v>
      </c>
      <c r="D63" s="26" t="n">
        <f aca="false">IF(Returns!$O63=1,"",Returns!D63)</f>
        <v>-0.0102215212821397</v>
      </c>
      <c r="E63" s="26" t="n">
        <f aca="false">IF(Returns!$O63=1,"",Returns!E63)</f>
        <v>-0.012255950355731</v>
      </c>
      <c r="F63" s="26" t="n">
        <f aca="false">IF(Returns!$O63=1,"",Returns!F63)</f>
        <v>-0.00631070928686006</v>
      </c>
      <c r="G63" s="26" t="n">
        <f aca="false">IF(Returns!$O63=1,"",Returns!G63)</f>
        <v>-0.0253077975376197</v>
      </c>
      <c r="H63" s="26" t="n">
        <f aca="false">IF(Returns!$O63=1,"",Returns!H63)</f>
        <v>-0.0181634376051127</v>
      </c>
      <c r="I63" s="26" t="n">
        <f aca="false">IF(Returns!$O63=1,"",Returns!I63)</f>
        <v>-0.00836980911203245</v>
      </c>
      <c r="J63" s="26" t="n">
        <f aca="false">IF(Returns!$O63=1,"",Returns!J63)</f>
        <v>0.0070782538915013</v>
      </c>
      <c r="K63" s="26" t="str">
        <f aca="false">IF(Returns!$O63=1,Returns!B63,"")</f>
        <v/>
      </c>
      <c r="L63" s="26" t="str">
        <f aca="false">IF(Returns!$O63=1,Returns!C63,"")</f>
        <v/>
      </c>
      <c r="M63" s="26" t="str">
        <f aca="false">IF(Returns!$O63=1,Returns!D63,"")</f>
        <v/>
      </c>
      <c r="N63" s="26" t="str">
        <f aca="false">IF(Returns!$O63=1,Returns!E63,"")</f>
        <v/>
      </c>
      <c r="O63" s="26" t="str">
        <f aca="false">IF(Returns!$O63=1,Returns!F63,"")</f>
        <v/>
      </c>
      <c r="P63" s="26" t="str">
        <f aca="false">IF(Returns!$O63=1,Returns!G63,"")</f>
        <v/>
      </c>
      <c r="Q63" s="26" t="str">
        <f aca="false">IF(Returns!$O63=1,Returns!H63,"")</f>
        <v/>
      </c>
      <c r="R63" s="26" t="str">
        <f aca="false">IF(Returns!$O63=1,Returns!I63,"")</f>
        <v/>
      </c>
      <c r="S63" s="26" t="str">
        <f aca="false">IF(Returns!$O63=1,Returns!J63,"")</f>
        <v/>
      </c>
      <c r="T63" s="26" t="n">
        <f aca="false">IF(Returns!$O63=1,"",Returns!K63)</f>
        <v>-0.0116553958952281</v>
      </c>
    </row>
    <row r="64" customFormat="false" ht="15" hidden="false" customHeight="false" outlineLevel="0" collapsed="false">
      <c r="A64" s="25" t="n">
        <f aca="false">Returns!A64</f>
        <v>43796</v>
      </c>
      <c r="B64" s="26" t="n">
        <f aca="false">IF(Returns!$O64=1,"",Returns!B64)</f>
        <v>-0.00797448153150748</v>
      </c>
      <c r="C64" s="26" t="n">
        <f aca="false">IF(Returns!$O64=1,"",Returns!C64)</f>
        <v>0.0204300645161291</v>
      </c>
      <c r="D64" s="26" t="n">
        <f aca="false">IF(Returns!$O64=1,"",Returns!D64)</f>
        <v>0.0258174985656914</v>
      </c>
      <c r="E64" s="26" t="n">
        <f aca="false">IF(Returns!$O64=1,"",Returns!E64)</f>
        <v>-0.00574455179814914</v>
      </c>
      <c r="F64" s="26" t="n">
        <f aca="false">IF(Returns!$O64=1,"",Returns!F64)</f>
        <v>0.0410357807208064</v>
      </c>
      <c r="G64" s="26" t="n">
        <f aca="false">IF(Returns!$O64=1,"",Returns!G64)</f>
        <v>0</v>
      </c>
      <c r="H64" s="26" t="n">
        <f aca="false">IF(Returns!$O64=1,"",Returns!H64)</f>
        <v>0.00479612864692935</v>
      </c>
      <c r="I64" s="26" t="n">
        <f aca="false">IF(Returns!$O64=1,"",Returns!I64)</f>
        <v>0.00498750243598001</v>
      </c>
      <c r="J64" s="26" t="n">
        <f aca="false">IF(Returns!$O64=1,"",Returns!J64)</f>
        <v>-0.0124950993265307</v>
      </c>
      <c r="K64" s="26" t="str">
        <f aca="false">IF(Returns!$O64=1,Returns!B64,"")</f>
        <v/>
      </c>
      <c r="L64" s="26" t="str">
        <f aca="false">IF(Returns!$O64=1,Returns!C64,"")</f>
        <v/>
      </c>
      <c r="M64" s="26" t="str">
        <f aca="false">IF(Returns!$O64=1,Returns!D64,"")</f>
        <v/>
      </c>
      <c r="N64" s="26" t="str">
        <f aca="false">IF(Returns!$O64=1,Returns!E64,"")</f>
        <v/>
      </c>
      <c r="O64" s="26" t="str">
        <f aca="false">IF(Returns!$O64=1,Returns!F64,"")</f>
        <v/>
      </c>
      <c r="P64" s="26" t="str">
        <f aca="false">IF(Returns!$O64=1,Returns!G64,"")</f>
        <v/>
      </c>
      <c r="Q64" s="26" t="str">
        <f aca="false">IF(Returns!$O64=1,Returns!H64,"")</f>
        <v/>
      </c>
      <c r="R64" s="26" t="str">
        <f aca="false">IF(Returns!$O64=1,Returns!I64,"")</f>
        <v/>
      </c>
      <c r="S64" s="26" t="str">
        <f aca="false">IF(Returns!$O64=1,Returns!J64,"")</f>
        <v/>
      </c>
      <c r="T64" s="26" t="n">
        <f aca="false">IF(Returns!$O64=1,"",Returns!K64)</f>
        <v>0.0078725380254832</v>
      </c>
    </row>
    <row r="65" customFormat="false" ht="15" hidden="false" customHeight="false" outlineLevel="0" collapsed="false">
      <c r="A65" s="25" t="n">
        <f aca="false">Returns!A65</f>
        <v>43797</v>
      </c>
      <c r="B65" s="26" t="n">
        <f aca="false">IF(Returns!$O65=1,"",Returns!B65)</f>
        <v>0.00128614145842221</v>
      </c>
      <c r="C65" s="26" t="n">
        <f aca="false">IF(Returns!$O65=1,"",Returns!C65)</f>
        <v>0.014752350463745</v>
      </c>
      <c r="D65" s="26" t="n">
        <f aca="false">IF(Returns!$O65=1,"",Returns!D65)</f>
        <v>-0.0128634794666377</v>
      </c>
      <c r="E65" s="26" t="n">
        <f aca="false">IF(Returns!$O65=1,"",Returns!E65)</f>
        <v>0.0342038182340481</v>
      </c>
      <c r="F65" s="26" t="n">
        <f aca="false">IF(Returns!$O65=1,"",Returns!F65)</f>
        <v>0.0314406022917055</v>
      </c>
      <c r="G65" s="26" t="n">
        <f aca="false">IF(Returns!$O65=1,"",Returns!G65)</f>
        <v>0.018947403508772</v>
      </c>
      <c r="H65" s="26" t="n">
        <f aca="false">IF(Returns!$O65=1,"",Returns!H65)</f>
        <v>0.00681899079440851</v>
      </c>
      <c r="I65" s="26" t="n">
        <f aca="false">IF(Returns!$O65=1,"",Returns!I65)</f>
        <v>0.0162245137282799</v>
      </c>
      <c r="J65" s="26" t="n">
        <f aca="false">IF(Returns!$O65=1,"",Returns!J65)</f>
        <v>-0.0041518978192211</v>
      </c>
      <c r="K65" s="26" t="str">
        <f aca="false">IF(Returns!$O65=1,Returns!B65,"")</f>
        <v/>
      </c>
      <c r="L65" s="26" t="str">
        <f aca="false">IF(Returns!$O65=1,Returns!C65,"")</f>
        <v/>
      </c>
      <c r="M65" s="26" t="str">
        <f aca="false">IF(Returns!$O65=1,Returns!D65,"")</f>
        <v/>
      </c>
      <c r="N65" s="26" t="str">
        <f aca="false">IF(Returns!$O65=1,Returns!E65,"")</f>
        <v/>
      </c>
      <c r="O65" s="26" t="str">
        <f aca="false">IF(Returns!$O65=1,Returns!F65,"")</f>
        <v/>
      </c>
      <c r="P65" s="26" t="str">
        <f aca="false">IF(Returns!$O65=1,Returns!G65,"")</f>
        <v/>
      </c>
      <c r="Q65" s="26" t="str">
        <f aca="false">IF(Returns!$O65=1,Returns!H65,"")</f>
        <v/>
      </c>
      <c r="R65" s="26" t="str">
        <f aca="false">IF(Returns!$O65=1,Returns!I65,"")</f>
        <v/>
      </c>
      <c r="S65" s="26" t="str">
        <f aca="false">IF(Returns!$O65=1,Returns!J65,"")</f>
        <v/>
      </c>
      <c r="T65" s="26" t="n">
        <f aca="false">IF(Returns!$O65=1,"",Returns!K65)</f>
        <v>0.0118509381326136</v>
      </c>
    </row>
    <row r="66" customFormat="false" ht="15" hidden="false" customHeight="false" outlineLevel="0" collapsed="false">
      <c r="A66" s="25" t="n">
        <f aca="false">Returns!A66</f>
        <v>43798</v>
      </c>
      <c r="B66" s="26" t="n">
        <f aca="false">IF(Returns!$O66=1,"",Returns!B66)</f>
        <v>0.00353245028151017</v>
      </c>
      <c r="C66" s="26" t="n">
        <f aca="false">IF(Returns!$O66=1,"",Returns!C66)</f>
        <v>-0.00893040554083524</v>
      </c>
      <c r="D66" s="26" t="n">
        <f aca="false">IF(Returns!$O66=1,"",Returns!D66)</f>
        <v>-0.00623223796033989</v>
      </c>
      <c r="E66" s="26" t="n">
        <f aca="false">IF(Returns!$O66=1,"",Returns!E66)</f>
        <v>0.0064804830798062</v>
      </c>
      <c r="F66" s="26" t="n">
        <f aca="false">IF(Returns!$O66=1,"",Returns!F66)</f>
        <v>0.0136488035127327</v>
      </c>
      <c r="G66" s="26" t="n">
        <f aca="false">IF(Returns!$O66=1,"",Returns!G66)</f>
        <v>-0.00413226569792469</v>
      </c>
      <c r="H66" s="26" t="n">
        <f aca="false">IF(Returns!$O66=1,"",Returns!H66)</f>
        <v>-0.0128683029844801</v>
      </c>
      <c r="I66" s="26" t="n">
        <f aca="false">IF(Returns!$O66=1,"",Returns!I66)</f>
        <v>-0.00864016396769352</v>
      </c>
      <c r="J66" s="26" t="n">
        <f aca="false">IF(Returns!$O66=1,"",Returns!J66)</f>
        <v>-0.00774268429109959</v>
      </c>
      <c r="K66" s="26" t="str">
        <f aca="false">IF(Returns!$O66=1,Returns!B66,"")</f>
        <v/>
      </c>
      <c r="L66" s="26" t="str">
        <f aca="false">IF(Returns!$O66=1,Returns!C66,"")</f>
        <v/>
      </c>
      <c r="M66" s="26" t="str">
        <f aca="false">IF(Returns!$O66=1,Returns!D66,"")</f>
        <v/>
      </c>
      <c r="N66" s="26" t="str">
        <f aca="false">IF(Returns!$O66=1,Returns!E66,"")</f>
        <v/>
      </c>
      <c r="O66" s="26" t="str">
        <f aca="false">IF(Returns!$O66=1,Returns!F66,"")</f>
        <v/>
      </c>
      <c r="P66" s="26" t="str">
        <f aca="false">IF(Returns!$O66=1,Returns!G66,"")</f>
        <v/>
      </c>
      <c r="Q66" s="26" t="str">
        <f aca="false">IF(Returns!$O66=1,Returns!H66,"")</f>
        <v/>
      </c>
      <c r="R66" s="26" t="str">
        <f aca="false">IF(Returns!$O66=1,Returns!I66,"")</f>
        <v/>
      </c>
      <c r="S66" s="26" t="str">
        <f aca="false">IF(Returns!$O66=1,Returns!J66,"")</f>
        <v/>
      </c>
      <c r="T66" s="26" t="n">
        <f aca="false">IF(Returns!$O66=1,"",Returns!K66)</f>
        <v>-0.00276492484092488</v>
      </c>
    </row>
    <row r="67" customFormat="false" ht="15" hidden="false" customHeight="false" outlineLevel="0" collapsed="false">
      <c r="A67" s="25" t="n">
        <f aca="false">Returns!A67</f>
        <v>43801</v>
      </c>
      <c r="B67" s="26" t="n">
        <f aca="false">IF(Returns!$O67=1,"",Returns!B67)</f>
        <v>0.00159996800000006</v>
      </c>
      <c r="C67" s="26" t="n">
        <f aca="false">IF(Returns!$O67=1,"",Returns!C67)</f>
        <v>-0.00251466900732056</v>
      </c>
      <c r="D67" s="26" t="n">
        <f aca="false">IF(Returns!$O67=1,"",Returns!D67)</f>
        <v>0.0256555857665002</v>
      </c>
      <c r="E67" s="26" t="n">
        <f aca="false">IF(Returns!$O67=1,"",Returns!E67)</f>
        <v>-0.0106571738955541</v>
      </c>
      <c r="F67" s="26" t="n">
        <f aca="false">IF(Returns!$O67=1,"",Returns!F67)</f>
        <v>0.0201974205158051</v>
      </c>
      <c r="G67" s="26" t="n">
        <f aca="false">IF(Returns!$O67=1,"",Returns!G67)</f>
        <v>0.0145228215767634</v>
      </c>
      <c r="H67" s="26" t="n">
        <f aca="false">IF(Returns!$O67=1,"",Returns!H67)</f>
        <v>-0.00274442538593478</v>
      </c>
      <c r="I67" s="26" t="n">
        <f aca="false">IF(Returns!$O67=1,"",Returns!I67)</f>
        <v>0.0227358914833571</v>
      </c>
      <c r="J67" s="26" t="n">
        <f aca="false">IF(Returns!$O67=1,"",Returns!J67)</f>
        <v>0.0272108843537415</v>
      </c>
      <c r="K67" s="26" t="str">
        <f aca="false">IF(Returns!$O67=1,Returns!B67,"")</f>
        <v/>
      </c>
      <c r="L67" s="26" t="str">
        <f aca="false">IF(Returns!$O67=1,Returns!C67,"")</f>
        <v/>
      </c>
      <c r="M67" s="26" t="str">
        <f aca="false">IF(Returns!$O67=1,Returns!D67,"")</f>
        <v/>
      </c>
      <c r="N67" s="26" t="str">
        <f aca="false">IF(Returns!$O67=1,Returns!E67,"")</f>
        <v/>
      </c>
      <c r="O67" s="26" t="str">
        <f aca="false">IF(Returns!$O67=1,Returns!F67,"")</f>
        <v/>
      </c>
      <c r="P67" s="26" t="str">
        <f aca="false">IF(Returns!$O67=1,Returns!G67,"")</f>
        <v/>
      </c>
      <c r="Q67" s="26" t="str">
        <f aca="false">IF(Returns!$O67=1,Returns!H67,"")</f>
        <v/>
      </c>
      <c r="R67" s="26" t="str">
        <f aca="false">IF(Returns!$O67=1,Returns!I67,"")</f>
        <v/>
      </c>
      <c r="S67" s="26" t="str">
        <f aca="false">IF(Returns!$O67=1,Returns!J67,"")</f>
        <v/>
      </c>
      <c r="T67" s="26" t="n">
        <f aca="false">IF(Returns!$O67=1,"",Returns!K67)</f>
        <v>0.010667367045262</v>
      </c>
    </row>
    <row r="68" customFormat="false" ht="15" hidden="false" customHeight="false" outlineLevel="0" collapsed="false">
      <c r="A68" s="25" t="n">
        <f aca="false">Returns!A68</f>
        <v>43802</v>
      </c>
      <c r="B68" s="26" t="n">
        <f aca="false">IF(Returns!$O68=1,"",Returns!B68)</f>
        <v>0.0292332597199125</v>
      </c>
      <c r="C68" s="26" t="n">
        <f aca="false">IF(Returns!$O68=1,"",Returns!C68)</f>
        <v>0.0107143491896786</v>
      </c>
      <c r="D68" s="26" t="n">
        <f aca="false">IF(Returns!$O68=1,"",Returns!D68)</f>
        <v>0.00444691495275174</v>
      </c>
      <c r="E68" s="26" t="n">
        <f aca="false">IF(Returns!$O68=1,"",Returns!E68)</f>
        <v>0.00628367036739053</v>
      </c>
      <c r="F68" s="26" t="n">
        <f aca="false">IF(Returns!$O68=1,"",Returns!F68)</f>
        <v>0.0118785894868618</v>
      </c>
      <c r="G68" s="26" t="n">
        <f aca="false">IF(Returns!$O68=1,"",Returns!G68)</f>
        <v>-0.00409001363326511</v>
      </c>
      <c r="H68" s="26" t="n">
        <f aca="false">IF(Returns!$O68=1,"",Returns!H68)</f>
        <v>-0.00309597523219818</v>
      </c>
      <c r="I68" s="26" t="n">
        <f aca="false">IF(Returns!$O68=1,"",Returns!I68)</f>
        <v>0.00463133376347891</v>
      </c>
      <c r="J68" s="26" t="n">
        <f aca="false">IF(Returns!$O68=1,"",Returns!J68)</f>
        <v>-0.0179197896377095</v>
      </c>
      <c r="K68" s="26" t="str">
        <f aca="false">IF(Returns!$O68=1,Returns!B68,"")</f>
        <v/>
      </c>
      <c r="L68" s="26" t="str">
        <f aca="false">IF(Returns!$O68=1,Returns!C68,"")</f>
        <v/>
      </c>
      <c r="M68" s="26" t="str">
        <f aca="false">IF(Returns!$O68=1,Returns!D68,"")</f>
        <v/>
      </c>
      <c r="N68" s="26" t="str">
        <f aca="false">IF(Returns!$O68=1,Returns!E68,"")</f>
        <v/>
      </c>
      <c r="O68" s="26" t="str">
        <f aca="false">IF(Returns!$O68=1,Returns!F68,"")</f>
        <v/>
      </c>
      <c r="P68" s="26" t="str">
        <f aca="false">IF(Returns!$O68=1,Returns!G68,"")</f>
        <v/>
      </c>
      <c r="Q68" s="26" t="str">
        <f aca="false">IF(Returns!$O68=1,Returns!H68,"")</f>
        <v/>
      </c>
      <c r="R68" s="26" t="str">
        <f aca="false">IF(Returns!$O68=1,Returns!I68,"")</f>
        <v/>
      </c>
      <c r="S68" s="26" t="str">
        <f aca="false">IF(Returns!$O68=1,Returns!J68,"")</f>
        <v/>
      </c>
      <c r="T68" s="26" t="n">
        <f aca="false">IF(Returns!$O68=1,"",Returns!K68)</f>
        <v>0.00467581544187793</v>
      </c>
    </row>
    <row r="69" customFormat="false" ht="15" hidden="false" customHeight="false" outlineLevel="0" collapsed="false">
      <c r="A69" s="25" t="n">
        <f aca="false">Returns!A69</f>
        <v>43803</v>
      </c>
      <c r="B69" s="26" t="n">
        <f aca="false">IF(Returns!$O69=1,"",Returns!B69)</f>
        <v>0.00263849138600025</v>
      </c>
      <c r="C69" s="26" t="n">
        <f aca="false">IF(Returns!$O69=1,"",Returns!C69)</f>
        <v>0.0263977545957648</v>
      </c>
      <c r="D69" s="26" t="n">
        <f aca="false">IF(Returns!$O69=1,"",Returns!D69)</f>
        <v>-0.00553408965135582</v>
      </c>
      <c r="E69" s="26" t="n">
        <f aca="false">IF(Returns!$O69=1,"",Returns!E69)</f>
        <v>-0.00981269957668896</v>
      </c>
      <c r="F69" s="26" t="n">
        <f aca="false">IF(Returns!$O69=1,"",Returns!F69)</f>
        <v>0.00521741232124429</v>
      </c>
      <c r="G69" s="26" t="n">
        <f aca="false">IF(Returns!$O69=1,"",Returns!G69)</f>
        <v>0.0191650246120816</v>
      </c>
      <c r="H69" s="26" t="n">
        <f aca="false">IF(Returns!$O69=1,"",Returns!H69)</f>
        <v>0.0234644582470669</v>
      </c>
      <c r="I69" s="26" t="n">
        <f aca="false">IF(Returns!$O69=1,"",Returns!I69)</f>
        <v>-0.0121703202935853</v>
      </c>
      <c r="J69" s="26" t="n">
        <f aca="false">IF(Returns!$O69=1,"",Returns!J69)</f>
        <v>0.00991670011569612</v>
      </c>
      <c r="K69" s="26" t="str">
        <f aca="false">IF(Returns!$O69=1,Returns!B69,"")</f>
        <v/>
      </c>
      <c r="L69" s="26" t="str">
        <f aca="false">IF(Returns!$O69=1,Returns!C69,"")</f>
        <v/>
      </c>
      <c r="M69" s="26" t="str">
        <f aca="false">IF(Returns!$O69=1,Returns!D69,"")</f>
        <v/>
      </c>
      <c r="N69" s="26" t="str">
        <f aca="false">IF(Returns!$O69=1,Returns!E69,"")</f>
        <v/>
      </c>
      <c r="O69" s="26" t="str">
        <f aca="false">IF(Returns!$O69=1,Returns!F69,"")</f>
        <v/>
      </c>
      <c r="P69" s="26" t="str">
        <f aca="false">IF(Returns!$O69=1,Returns!G69,"")</f>
        <v/>
      </c>
      <c r="Q69" s="26" t="str">
        <f aca="false">IF(Returns!$O69=1,Returns!H69,"")</f>
        <v/>
      </c>
      <c r="R69" s="26" t="str">
        <f aca="false">IF(Returns!$O69=1,Returns!I69,"")</f>
        <v/>
      </c>
      <c r="S69" s="26" t="str">
        <f aca="false">IF(Returns!$O69=1,Returns!J69,"")</f>
        <v/>
      </c>
      <c r="T69" s="26" t="n">
        <f aca="false">IF(Returns!$O69=1,"",Returns!K69)</f>
        <v>0.00658697019513598</v>
      </c>
    </row>
    <row r="70" customFormat="false" ht="15" hidden="false" customHeight="false" outlineLevel="0" collapsed="false">
      <c r="A70" s="25" t="n">
        <f aca="false">Returns!A70</f>
        <v>43804</v>
      </c>
      <c r="B70" s="26" t="n">
        <f aca="false">IF(Returns!$O70=1,"",Returns!B70)</f>
        <v>0.0123839632317018</v>
      </c>
      <c r="C70" s="26" t="n">
        <f aca="false">IF(Returns!$O70=1,"",Returns!C70)</f>
        <v>-0.00263262470429071</v>
      </c>
      <c r="D70" s="26" t="n">
        <f aca="false">IF(Returns!$O70=1,"",Returns!D70)</f>
        <v>0.0127992216360167</v>
      </c>
      <c r="E70" s="26" t="n">
        <f aca="false">IF(Returns!$O70=1,"",Returns!E70)</f>
        <v>0.0144144193571951</v>
      </c>
      <c r="F70" s="26" t="n">
        <f aca="false">IF(Returns!$O70=1,"",Returns!F70)</f>
        <v>-0.0034602070117552</v>
      </c>
      <c r="G70" s="26" t="n">
        <f aca="false">IF(Returns!$O70=1,"",Returns!G70)</f>
        <v>0.0144391533096322</v>
      </c>
      <c r="H70" s="26" t="n">
        <f aca="false">IF(Returns!$O70=1,"",Returns!H70)</f>
        <v>0.0131489885367497</v>
      </c>
      <c r="I70" s="26" t="n">
        <f aca="false">IF(Returns!$O70=1,"",Returns!I70)</f>
        <v>-0.0169871624283938</v>
      </c>
      <c r="J70" s="26" t="n">
        <f aca="false">IF(Returns!$O70=1,"",Returns!J70)</f>
        <v>0.000589218404918324</v>
      </c>
      <c r="K70" s="26" t="str">
        <f aca="false">IF(Returns!$O70=1,Returns!B70,"")</f>
        <v/>
      </c>
      <c r="L70" s="26" t="str">
        <f aca="false">IF(Returns!$O70=1,Returns!C70,"")</f>
        <v/>
      </c>
      <c r="M70" s="26" t="str">
        <f aca="false">IF(Returns!$O70=1,Returns!D70,"")</f>
        <v/>
      </c>
      <c r="N70" s="26" t="str">
        <f aca="false">IF(Returns!$O70=1,Returns!E70,"")</f>
        <v/>
      </c>
      <c r="O70" s="26" t="str">
        <f aca="false">IF(Returns!$O70=1,Returns!F70,"")</f>
        <v/>
      </c>
      <c r="P70" s="26" t="str">
        <f aca="false">IF(Returns!$O70=1,Returns!G70,"")</f>
        <v/>
      </c>
      <c r="Q70" s="26" t="str">
        <f aca="false">IF(Returns!$O70=1,Returns!H70,"")</f>
        <v/>
      </c>
      <c r="R70" s="26" t="str">
        <f aca="false">IF(Returns!$O70=1,Returns!I70,"")</f>
        <v/>
      </c>
      <c r="S70" s="26" t="str">
        <f aca="false">IF(Returns!$O70=1,Returns!J70,"")</f>
        <v/>
      </c>
      <c r="T70" s="26" t="n">
        <f aca="false">IF(Returns!$O70=1,"",Returns!K70)</f>
        <v>0.00496610781464156</v>
      </c>
    </row>
    <row r="71" customFormat="false" ht="15" hidden="false" customHeight="false" outlineLevel="0" collapsed="false">
      <c r="A71" s="25" t="n">
        <f aca="false">Returns!A71</f>
        <v>43805</v>
      </c>
      <c r="B71" s="26" t="n">
        <f aca="false">IF(Returns!$O71=1,"",Returns!B71)</f>
        <v>0.0412843412451271</v>
      </c>
      <c r="C71" s="26" t="n">
        <f aca="false">IF(Returns!$O71=1,"",Returns!C71)</f>
        <v>-0.00304562448916235</v>
      </c>
      <c r="D71" s="26" t="n">
        <f aca="false">IF(Returns!$O71=1,"",Returns!D71)</f>
        <v>0.0104394499758544</v>
      </c>
      <c r="E71" s="26" t="n">
        <f aca="false">IF(Returns!$O71=1,"",Returns!E71)</f>
        <v>0.0146536315908454</v>
      </c>
      <c r="F71" s="26" t="n">
        <f aca="false">IF(Returns!$O71=1,"",Returns!F71)</f>
        <v>0.0707464882337212</v>
      </c>
      <c r="G71" s="26" t="n">
        <f aca="false">IF(Returns!$O71=1,"",Returns!G71)</f>
        <v>0.0105925855873084</v>
      </c>
      <c r="H71" s="26" t="n">
        <f aca="false">IF(Returns!$O71=1,"",Returns!H71)</f>
        <v>0.00998339467498832</v>
      </c>
      <c r="I71" s="26" t="n">
        <f aca="false">IF(Returns!$O71=1,"",Returns!I71)</f>
        <v>0.0172807127019401</v>
      </c>
      <c r="J71" s="26" t="n">
        <f aca="false">IF(Returns!$O71=1,"",Returns!J71)</f>
        <v>0.00785077511578458</v>
      </c>
      <c r="K71" s="26" t="str">
        <f aca="false">IF(Returns!$O71=1,Returns!B71,"")</f>
        <v/>
      </c>
      <c r="L71" s="26" t="str">
        <f aca="false">IF(Returns!$O71=1,Returns!C71,"")</f>
        <v/>
      </c>
      <c r="M71" s="26" t="str">
        <f aca="false">IF(Returns!$O71=1,Returns!D71,"")</f>
        <v/>
      </c>
      <c r="N71" s="26" t="str">
        <f aca="false">IF(Returns!$O71=1,Returns!E71,"")</f>
        <v/>
      </c>
      <c r="O71" s="26" t="str">
        <f aca="false">IF(Returns!$O71=1,Returns!F71,"")</f>
        <v/>
      </c>
      <c r="P71" s="26" t="str">
        <f aca="false">IF(Returns!$O71=1,Returns!G71,"")</f>
        <v/>
      </c>
      <c r="Q71" s="26" t="str">
        <f aca="false">IF(Returns!$O71=1,Returns!H71,"")</f>
        <v/>
      </c>
      <c r="R71" s="26" t="str">
        <f aca="false">IF(Returns!$O71=1,Returns!I71,"")</f>
        <v/>
      </c>
      <c r="S71" s="26" t="str">
        <f aca="false">IF(Returns!$O71=1,Returns!J71,"")</f>
        <v/>
      </c>
      <c r="T71" s="26" t="n">
        <f aca="false">IF(Returns!$O71=1,"",Returns!K71)</f>
        <v>0.0199761949596008</v>
      </c>
    </row>
    <row r="72" customFormat="false" ht="15" hidden="false" customHeight="false" outlineLevel="0" collapsed="false">
      <c r="A72" s="25" t="n">
        <f aca="false">Returns!A72</f>
        <v>43808</v>
      </c>
      <c r="B72" s="26" t="n">
        <f aca="false">IF(Returns!$O72=1,"",Returns!B72)</f>
        <v>0.00587374466589563</v>
      </c>
      <c r="C72" s="26" t="n">
        <f aca="false">IF(Returns!$O72=1,"",Returns!C72)</f>
        <v>-0.029531608359845</v>
      </c>
      <c r="D72" s="26" t="n">
        <f aca="false">IF(Returns!$O72=1,"",Returns!D72)</f>
        <v>-0.0168569340324598</v>
      </c>
      <c r="E72" s="26" t="n">
        <f aca="false">IF(Returns!$O72=1,"",Returns!E72)</f>
        <v>-0.0122538220920375</v>
      </c>
      <c r="F72" s="26" t="n">
        <f aca="false">IF(Returns!$O72=1,"",Returns!F72)</f>
        <v>0.0162140635798274</v>
      </c>
      <c r="G72" s="26" t="n">
        <f aca="false">IF(Returns!$O72=1,"",Returns!G72)</f>
        <v>-0.00131021941335674</v>
      </c>
      <c r="H72" s="26" t="n">
        <f aca="false">IF(Returns!$O72=1,"",Returns!H72)</f>
        <v>-0.00461288303130158</v>
      </c>
      <c r="I72" s="26" t="n">
        <f aca="false">IF(Returns!$O72=1,"",Returns!I72)</f>
        <v>-0.0188538944340756</v>
      </c>
      <c r="J72" s="26" t="n">
        <f aca="false">IF(Returns!$O72=1,"",Returns!J72)</f>
        <v>0.00175269724450633</v>
      </c>
      <c r="K72" s="26" t="str">
        <f aca="false">IF(Returns!$O72=1,Returns!B72,"")</f>
        <v/>
      </c>
      <c r="L72" s="26" t="str">
        <f aca="false">IF(Returns!$O72=1,Returns!C72,"")</f>
        <v/>
      </c>
      <c r="M72" s="26" t="str">
        <f aca="false">IF(Returns!$O72=1,Returns!D72,"")</f>
        <v/>
      </c>
      <c r="N72" s="26" t="str">
        <f aca="false">IF(Returns!$O72=1,Returns!E72,"")</f>
        <v/>
      </c>
      <c r="O72" s="26" t="str">
        <f aca="false">IF(Returns!$O72=1,Returns!F72,"")</f>
        <v/>
      </c>
      <c r="P72" s="26" t="str">
        <f aca="false">IF(Returns!$O72=1,Returns!G72,"")</f>
        <v/>
      </c>
      <c r="Q72" s="26" t="str">
        <f aca="false">IF(Returns!$O72=1,Returns!H72,"")</f>
        <v/>
      </c>
      <c r="R72" s="26" t="str">
        <f aca="false">IF(Returns!$O72=1,Returns!I72,"")</f>
        <v/>
      </c>
      <c r="S72" s="26" t="str">
        <f aca="false">IF(Returns!$O72=1,Returns!J72,"")</f>
        <v/>
      </c>
      <c r="T72" s="26" t="n">
        <f aca="false">IF(Returns!$O72=1,"",Returns!K72)</f>
        <v>-0.00661987287476077</v>
      </c>
    </row>
    <row r="73" customFormat="false" ht="15" hidden="false" customHeight="false" outlineLevel="0" collapsed="false">
      <c r="A73" s="25" t="n">
        <f aca="false">Returns!A73</f>
        <v>43809</v>
      </c>
      <c r="B73" s="26" t="n">
        <f aca="false">IF(Returns!$O73=1,"",Returns!B73)</f>
        <v>-0.0277372554744526</v>
      </c>
      <c r="C73" s="26" t="n">
        <f aca="false">IF(Returns!$O73=1,"",Returns!C73)</f>
        <v>-0.0180482899905202</v>
      </c>
      <c r="D73" s="26" t="n">
        <f aca="false">IF(Returns!$O73=1,"",Returns!D73)</f>
        <v>0.0110620022123895</v>
      </c>
      <c r="E73" s="26" t="n">
        <f aca="false">IF(Returns!$O73=1,"",Returns!E73)</f>
        <v>-0.015285781327143</v>
      </c>
      <c r="F73" s="26" t="n">
        <f aca="false">IF(Returns!$O73=1,"",Returns!F73)</f>
        <v>-0.00538146662646555</v>
      </c>
      <c r="G73" s="26" t="n">
        <f aca="false">IF(Returns!$O73=1,"",Returns!G73)</f>
        <v>0.00196782551656294</v>
      </c>
      <c r="H73" s="26" t="n">
        <f aca="false">IF(Returns!$O73=1,"",Returns!H73)</f>
        <v>0.00761343951054072</v>
      </c>
      <c r="I73" s="26" t="n">
        <f aca="false">IF(Returns!$O73=1,"",Returns!I73)</f>
        <v>-0.0251141440816737</v>
      </c>
      <c r="J73" s="26" t="n">
        <f aca="false">IF(Returns!$O73=1,"",Returns!J73)</f>
        <v>-0.00466559107048192</v>
      </c>
      <c r="K73" s="26" t="str">
        <f aca="false">IF(Returns!$O73=1,Returns!B73,"")</f>
        <v/>
      </c>
      <c r="L73" s="26" t="str">
        <f aca="false">IF(Returns!$O73=1,Returns!C73,"")</f>
        <v/>
      </c>
      <c r="M73" s="26" t="str">
        <f aca="false">IF(Returns!$O73=1,Returns!D73,"")</f>
        <v/>
      </c>
      <c r="N73" s="26" t="str">
        <f aca="false">IF(Returns!$O73=1,Returns!E73,"")</f>
        <v/>
      </c>
      <c r="O73" s="26" t="str">
        <f aca="false">IF(Returns!$O73=1,Returns!F73,"")</f>
        <v/>
      </c>
      <c r="P73" s="26" t="str">
        <f aca="false">IF(Returns!$O73=1,Returns!G73,"")</f>
        <v/>
      </c>
      <c r="Q73" s="26" t="str">
        <f aca="false">IF(Returns!$O73=1,Returns!H73,"")</f>
        <v/>
      </c>
      <c r="R73" s="26" t="str">
        <f aca="false">IF(Returns!$O73=1,Returns!I73,"")</f>
        <v/>
      </c>
      <c r="S73" s="26" t="str">
        <f aca="false">IF(Returns!$O73=1,Returns!J73,"")</f>
        <v/>
      </c>
      <c r="T73" s="26" t="n">
        <f aca="false">IF(Returns!$O73=1,"",Returns!K73)</f>
        <v>-0.00839880681458264</v>
      </c>
    </row>
    <row r="74" customFormat="false" ht="15" hidden="false" customHeight="false" outlineLevel="0" collapsed="false">
      <c r="A74" s="25" t="n">
        <f aca="false">Returns!A74</f>
        <v>43810</v>
      </c>
      <c r="B74" s="26" t="n">
        <f aca="false">IF(Returns!$O74=1,"",Returns!B74)</f>
        <v>-0.00900897924951893</v>
      </c>
      <c r="C74" s="26" t="n">
        <f aca="false">IF(Returns!$O74=1,"",Returns!C74)</f>
        <v>-0.0126094897460778</v>
      </c>
      <c r="D74" s="26" t="n">
        <f aca="false">IF(Returns!$O74=1,"",Returns!D74)</f>
        <v>0.0153171764049687</v>
      </c>
      <c r="E74" s="26" t="n">
        <f aca="false">IF(Returns!$O74=1,"",Returns!E74)</f>
        <v>0.0260967646014729</v>
      </c>
      <c r="F74" s="26" t="n">
        <f aca="false">IF(Returns!$O74=1,"",Returns!F74)</f>
        <v>-0.00603617706237425</v>
      </c>
      <c r="G74" s="26" t="n">
        <f aca="false">IF(Returns!$O74=1,"",Returns!G74)</f>
        <v>-0.00327325706295434</v>
      </c>
      <c r="H74" s="26" t="n">
        <f aca="false">IF(Returns!$O74=1,"",Returns!H74)</f>
        <v>-0.00131409325512177</v>
      </c>
      <c r="I74" s="26" t="n">
        <f aca="false">IF(Returns!$O74=1,"",Returns!I74)</f>
        <v>0.0202966320712026</v>
      </c>
      <c r="J74" s="26" t="n">
        <f aca="false">IF(Returns!$O74=1,"",Returns!J74)</f>
        <v>0.0123047067909237</v>
      </c>
      <c r="K74" s="26" t="str">
        <f aca="false">IF(Returns!$O74=1,Returns!B74,"")</f>
        <v/>
      </c>
      <c r="L74" s="26" t="str">
        <f aca="false">IF(Returns!$O74=1,Returns!C74,"")</f>
        <v/>
      </c>
      <c r="M74" s="26" t="str">
        <f aca="false">IF(Returns!$O74=1,Returns!D74,"")</f>
        <v/>
      </c>
      <c r="N74" s="26" t="str">
        <f aca="false">IF(Returns!$O74=1,Returns!E74,"")</f>
        <v/>
      </c>
      <c r="O74" s="26" t="str">
        <f aca="false">IF(Returns!$O74=1,Returns!F74,"")</f>
        <v/>
      </c>
      <c r="P74" s="26" t="str">
        <f aca="false">IF(Returns!$O74=1,Returns!G74,"")</f>
        <v/>
      </c>
      <c r="Q74" s="26" t="str">
        <f aca="false">IF(Returns!$O74=1,Returns!H74,"")</f>
        <v/>
      </c>
      <c r="R74" s="26" t="str">
        <f aca="false">IF(Returns!$O74=1,Returns!I74,"")</f>
        <v/>
      </c>
      <c r="S74" s="26" t="str">
        <f aca="false">IF(Returns!$O74=1,Returns!J74,"")</f>
        <v/>
      </c>
      <c r="T74" s="26" t="n">
        <f aca="false">IF(Returns!$O74=1,"",Returns!K74)</f>
        <v>0.00464147594361342</v>
      </c>
    </row>
    <row r="75" customFormat="false" ht="15" hidden="false" customHeight="false" outlineLevel="0" collapsed="false">
      <c r="A75" s="25" t="n">
        <f aca="false">Returns!A75</f>
        <v>43811</v>
      </c>
      <c r="B75" s="26" t="n">
        <f aca="false">IF(Returns!$O75=1,"",Returns!B75)</f>
        <v>-0.00560610606060596</v>
      </c>
      <c r="C75" s="26" t="n">
        <f aca="false">IF(Returns!$O75=1,"",Returns!C75)</f>
        <v>0.010606038961039</v>
      </c>
      <c r="D75" s="26" t="n">
        <f aca="false">IF(Returns!$O75=1,"",Returns!D75)</f>
        <v>0.0102371233963967</v>
      </c>
      <c r="E75" s="26" t="n">
        <f aca="false">IF(Returns!$O75=1,"",Returns!E75)</f>
        <v>0.0256522529360461</v>
      </c>
      <c r="F75" s="26" t="n">
        <f aca="false">IF(Returns!$O75=1,"",Returns!F75)</f>
        <v>0.0603238841974136</v>
      </c>
      <c r="G75" s="26" t="n">
        <f aca="false">IF(Returns!$O75=1,"",Returns!G75)</f>
        <v>0.0114941868146408</v>
      </c>
      <c r="H75" s="26" t="n">
        <f aca="false">IF(Returns!$O75=1,"",Returns!H75)</f>
        <v>0.0187499671052633</v>
      </c>
      <c r="I75" s="26" t="n">
        <f aca="false">IF(Returns!$O75=1,"",Returns!I75)</f>
        <v>0.0233358977358675</v>
      </c>
      <c r="J75" s="26" t="n">
        <f aca="false">IF(Returns!$O75=1,"",Returns!J75)</f>
        <v>0.0216090865672742</v>
      </c>
      <c r="K75" s="26" t="str">
        <f aca="false">IF(Returns!$O75=1,Returns!B75,"")</f>
        <v/>
      </c>
      <c r="L75" s="26" t="str">
        <f aca="false">IF(Returns!$O75=1,Returns!C75,"")</f>
        <v/>
      </c>
      <c r="M75" s="26" t="str">
        <f aca="false">IF(Returns!$O75=1,Returns!D75,"")</f>
        <v/>
      </c>
      <c r="N75" s="26" t="str">
        <f aca="false">IF(Returns!$O75=1,Returns!E75,"")</f>
        <v/>
      </c>
      <c r="O75" s="26" t="str">
        <f aca="false">IF(Returns!$O75=1,Returns!F75,"")</f>
        <v/>
      </c>
      <c r="P75" s="26" t="str">
        <f aca="false">IF(Returns!$O75=1,Returns!G75,"")</f>
        <v/>
      </c>
      <c r="Q75" s="26" t="str">
        <f aca="false">IF(Returns!$O75=1,Returns!H75,"")</f>
        <v/>
      </c>
      <c r="R75" s="26" t="str">
        <f aca="false">IF(Returns!$O75=1,Returns!I75,"")</f>
        <v/>
      </c>
      <c r="S75" s="26" t="str">
        <f aca="false">IF(Returns!$O75=1,Returns!J75,"")</f>
        <v/>
      </c>
      <c r="T75" s="26" t="n">
        <f aca="false">IF(Returns!$O75=1,"",Returns!K75)</f>
        <v>0.0196002590725928</v>
      </c>
    </row>
    <row r="76" customFormat="false" ht="15" hidden="false" customHeight="false" outlineLevel="0" collapsed="false">
      <c r="A76" s="25" t="n">
        <f aca="false">Returns!A76</f>
        <v>43812</v>
      </c>
      <c r="B76" s="26" t="n">
        <f aca="false">IF(Returns!$O76=1,"",Returns!B76)</f>
        <v>-0.000457092813824223</v>
      </c>
      <c r="C76" s="26" t="n">
        <f aca="false">IF(Returns!$O76=1,"",Returns!C76)</f>
        <v>-0.0062112016751168</v>
      </c>
      <c r="D76" s="26" t="n">
        <f aca="false">IF(Returns!$O76=1,"",Returns!D76)</f>
        <v>0.00479999999999992</v>
      </c>
      <c r="E76" s="26" t="n">
        <f aca="false">IF(Returns!$O76=1,"",Returns!E76)</f>
        <v>0.00106880934306997</v>
      </c>
      <c r="F76" s="26" t="n">
        <f aca="false">IF(Returns!$O76=1,"",Returns!F76)</f>
        <v>0.0210003428407659</v>
      </c>
      <c r="G76" s="26" t="n">
        <f aca="false">IF(Returns!$O76=1,"",Returns!G76)</f>
        <v>0.00162340914361714</v>
      </c>
      <c r="H76" s="26" t="n">
        <f aca="false">IF(Returns!$O76=1,"",Returns!H76)</f>
        <v>-0.0319663878581333</v>
      </c>
      <c r="I76" s="26" t="n">
        <f aca="false">IF(Returns!$O76=1,"",Returns!I76)</f>
        <v>0.000560738226910384</v>
      </c>
      <c r="J76" s="26" t="n">
        <f aca="false">IF(Returns!$O76=1,"",Returns!J76)</f>
        <v>0.0152973934788028</v>
      </c>
      <c r="K76" s="26" t="str">
        <f aca="false">IF(Returns!$O76=1,Returns!B76,"")</f>
        <v/>
      </c>
      <c r="L76" s="26" t="str">
        <f aca="false">IF(Returns!$O76=1,Returns!C76,"")</f>
        <v/>
      </c>
      <c r="M76" s="26" t="str">
        <f aca="false">IF(Returns!$O76=1,Returns!D76,"")</f>
        <v/>
      </c>
      <c r="N76" s="26" t="str">
        <f aca="false">IF(Returns!$O76=1,Returns!E76,"")</f>
        <v/>
      </c>
      <c r="O76" s="26" t="str">
        <f aca="false">IF(Returns!$O76=1,Returns!F76,"")</f>
        <v/>
      </c>
      <c r="P76" s="26" t="str">
        <f aca="false">IF(Returns!$O76=1,Returns!G76,"")</f>
        <v/>
      </c>
      <c r="Q76" s="26" t="str">
        <f aca="false">IF(Returns!$O76=1,Returns!H76,"")</f>
        <v/>
      </c>
      <c r="R76" s="26" t="str">
        <f aca="false">IF(Returns!$O76=1,Returns!I76,"")</f>
        <v/>
      </c>
      <c r="S76" s="26" t="str">
        <f aca="false">IF(Returns!$O76=1,Returns!J76,"")</f>
        <v/>
      </c>
      <c r="T76" s="26" t="n">
        <f aca="false">IF(Returns!$O76=1,"",Returns!K76)</f>
        <v>0.000635112298454637</v>
      </c>
    </row>
    <row r="77" customFormat="false" ht="15" hidden="false" customHeight="false" outlineLevel="0" collapsed="false">
      <c r="A77" s="25" t="n">
        <f aca="false">Returns!A77</f>
        <v>43815</v>
      </c>
      <c r="B77" s="26" t="n">
        <f aca="false">IF(Returns!$O77=1,"",Returns!B77)</f>
        <v>-0.0137195278573027</v>
      </c>
      <c r="C77" s="26" t="n">
        <f aca="false">IF(Returns!$O77=1,"",Returns!C77)</f>
        <v>-0.00387931051203927</v>
      </c>
      <c r="D77" s="26" t="n">
        <f aca="false">IF(Returns!$O77=1,"",Returns!D77)</f>
        <v>-0.00955414012738853</v>
      </c>
      <c r="E77" s="26" t="n">
        <f aca="false">IF(Returns!$O77=1,"",Returns!E77)</f>
        <v>0.0143070858433669</v>
      </c>
      <c r="F77" s="26" t="n">
        <f aca="false">IF(Returns!$O77=1,"",Returns!F77)</f>
        <v>-0.00897531787584138</v>
      </c>
      <c r="G77" s="26" t="n">
        <f aca="false">IF(Returns!$O77=1,"",Returns!G77)</f>
        <v>0.00745542949756883</v>
      </c>
      <c r="H77" s="26" t="n">
        <f aca="false">IF(Returns!$O77=1,"",Returns!H77)</f>
        <v>-0.0190126751167445</v>
      </c>
      <c r="I77" s="26" t="n">
        <f aca="false">IF(Returns!$O77=1,"",Returns!I77)</f>
        <v>0.0162525576773795</v>
      </c>
      <c r="J77" s="26" t="n">
        <f aca="false">IF(Returns!$O77=1,"",Returns!J77)</f>
        <v>-0.00781246308826122</v>
      </c>
      <c r="K77" s="26" t="str">
        <f aca="false">IF(Returns!$O77=1,Returns!B77,"")</f>
        <v/>
      </c>
      <c r="L77" s="26" t="str">
        <f aca="false">IF(Returns!$O77=1,Returns!C77,"")</f>
        <v/>
      </c>
      <c r="M77" s="26" t="str">
        <f aca="false">IF(Returns!$O77=1,Returns!D77,"")</f>
        <v/>
      </c>
      <c r="N77" s="26" t="str">
        <f aca="false">IF(Returns!$O77=1,Returns!E77,"")</f>
        <v/>
      </c>
      <c r="O77" s="26" t="str">
        <f aca="false">IF(Returns!$O77=1,Returns!F77,"")</f>
        <v/>
      </c>
      <c r="P77" s="26" t="str">
        <f aca="false">IF(Returns!$O77=1,Returns!G77,"")</f>
        <v/>
      </c>
      <c r="Q77" s="26" t="str">
        <f aca="false">IF(Returns!$O77=1,Returns!H77,"")</f>
        <v/>
      </c>
      <c r="R77" s="26" t="str">
        <f aca="false">IF(Returns!$O77=1,Returns!I77,"")</f>
        <v/>
      </c>
      <c r="S77" s="26" t="str">
        <f aca="false">IF(Returns!$O77=1,Returns!J77,"")</f>
        <v/>
      </c>
      <c r="T77" s="26" t="n">
        <f aca="false">IF(Returns!$O77=1,"",Returns!K77)</f>
        <v>-0.00277092906214026</v>
      </c>
    </row>
    <row r="78" customFormat="false" ht="15" hidden="false" customHeight="false" outlineLevel="0" collapsed="false">
      <c r="A78" s="25" t="n">
        <f aca="false">Returns!A78</f>
        <v>43816</v>
      </c>
      <c r="B78" s="26" t="n">
        <f aca="false">IF(Returns!$O78=1,"",Returns!B78)</f>
        <v>-0.00309114388366971</v>
      </c>
      <c r="C78" s="26" t="n">
        <f aca="false">IF(Returns!$O78=1,"",Returns!C78)</f>
        <v>0.0339680239709228</v>
      </c>
      <c r="D78" s="26" t="n">
        <f aca="false">IF(Returns!$O78=1,"",Returns!D78)</f>
        <v>0.00803853161843526</v>
      </c>
      <c r="E78" s="26" t="n">
        <f aca="false">IF(Returns!$O78=1,"",Returns!E78)</f>
        <v>-0.00421050011523472</v>
      </c>
      <c r="F78" s="26" t="n">
        <f aca="false">IF(Returns!$O78=1,"",Returns!F78)</f>
        <v>-0.0237735471698114</v>
      </c>
      <c r="G78" s="26" t="n">
        <f aca="false">IF(Returns!$O78=1,"",Returns!G78)</f>
        <v>-0.0112612612612611</v>
      </c>
      <c r="H78" s="26" t="n">
        <f aca="false">IF(Returns!$O78=1,"",Returns!H78)</f>
        <v>0.0149608976538593</v>
      </c>
      <c r="I78" s="26" t="n">
        <f aca="false">IF(Returns!$O78=1,"",Returns!I78)</f>
        <v>0.00294119323502917</v>
      </c>
      <c r="J78" s="26" t="n">
        <f aca="false">IF(Returns!$O78=1,"",Returns!J78)</f>
        <v>0.00149977502812138</v>
      </c>
      <c r="K78" s="26" t="str">
        <f aca="false">IF(Returns!$O78=1,Returns!B78,"")</f>
        <v/>
      </c>
      <c r="L78" s="26" t="str">
        <f aca="false">IF(Returns!$O78=1,Returns!C78,"")</f>
        <v/>
      </c>
      <c r="M78" s="26" t="str">
        <f aca="false">IF(Returns!$O78=1,Returns!D78,"")</f>
        <v/>
      </c>
      <c r="N78" s="26" t="str">
        <f aca="false">IF(Returns!$O78=1,Returns!E78,"")</f>
        <v/>
      </c>
      <c r="O78" s="26" t="str">
        <f aca="false">IF(Returns!$O78=1,Returns!F78,"")</f>
        <v/>
      </c>
      <c r="P78" s="26" t="str">
        <f aca="false">IF(Returns!$O78=1,Returns!G78,"")</f>
        <v/>
      </c>
      <c r="Q78" s="26" t="str">
        <f aca="false">IF(Returns!$O78=1,Returns!H78,"")</f>
        <v/>
      </c>
      <c r="R78" s="26" t="str">
        <f aca="false">IF(Returns!$O78=1,Returns!I78,"")</f>
        <v/>
      </c>
      <c r="S78" s="26" t="str">
        <f aca="false">IF(Returns!$O78=1,Returns!J78,"")</f>
        <v/>
      </c>
      <c r="T78" s="26" t="n">
        <f aca="false">IF(Returns!$O78=1,"",Returns!K78)</f>
        <v>0.00211910767515455</v>
      </c>
    </row>
    <row r="79" customFormat="false" ht="15" hidden="false" customHeight="false" outlineLevel="0" collapsed="false">
      <c r="A79" s="25" t="n">
        <f aca="false">Returns!A79</f>
        <v>43817</v>
      </c>
      <c r="B79" s="26" t="n">
        <f aca="false">IF(Returns!$O79=1,"",Returns!B79)</f>
        <v>-0.00775193798449614</v>
      </c>
      <c r="C79" s="26" t="n">
        <f aca="false">IF(Returns!$O79=1,"",Returns!C79)</f>
        <v>0.0161121155053359</v>
      </c>
      <c r="D79" s="26" t="n">
        <f aca="false">IF(Returns!$O79=1,"",Returns!D79)</f>
        <v>-0.00106315795125778</v>
      </c>
      <c r="E79" s="26" t="n">
        <f aca="false">IF(Returns!$O79=1,"",Returns!E79)</f>
        <v>0.0217759122851753</v>
      </c>
      <c r="F79" s="26" t="n">
        <f aca="false">IF(Returns!$O79=1,"",Returns!F79)</f>
        <v>-0.00657131787509391</v>
      </c>
      <c r="G79" s="26" t="n">
        <f aca="false">IF(Returns!$O79=1,"",Returns!G79)</f>
        <v>0.0120403514480965</v>
      </c>
      <c r="H79" s="26" t="n">
        <f aca="false">IF(Returns!$O79=1,"",Returns!H79)</f>
        <v>0.0231156113902846</v>
      </c>
      <c r="I79" s="26" t="n">
        <f aca="false">IF(Returns!$O79=1,"",Returns!I79)</f>
        <v>0.00421552440034034</v>
      </c>
      <c r="J79" s="26" t="n">
        <f aca="false">IF(Returns!$O79=1,"",Returns!J79)</f>
        <v>0.000936035227856236</v>
      </c>
      <c r="K79" s="26" t="str">
        <f aca="false">IF(Returns!$O79=1,Returns!B79,"")</f>
        <v/>
      </c>
      <c r="L79" s="26" t="str">
        <f aca="false">IF(Returns!$O79=1,Returns!C79,"")</f>
        <v/>
      </c>
      <c r="M79" s="26" t="str">
        <f aca="false">IF(Returns!$O79=1,Returns!D79,"")</f>
        <v/>
      </c>
      <c r="N79" s="26" t="str">
        <f aca="false">IF(Returns!$O79=1,Returns!E79,"")</f>
        <v/>
      </c>
      <c r="O79" s="26" t="str">
        <f aca="false">IF(Returns!$O79=1,Returns!F79,"")</f>
        <v/>
      </c>
      <c r="P79" s="26" t="str">
        <f aca="false">IF(Returns!$O79=1,Returns!G79,"")</f>
        <v/>
      </c>
      <c r="Q79" s="26" t="str">
        <f aca="false">IF(Returns!$O79=1,Returns!H79,"")</f>
        <v/>
      </c>
      <c r="R79" s="26" t="str">
        <f aca="false">IF(Returns!$O79=1,Returns!I79,"")</f>
        <v/>
      </c>
      <c r="S79" s="26" t="str">
        <f aca="false">IF(Returns!$O79=1,Returns!J79,"")</f>
        <v/>
      </c>
      <c r="T79" s="26" t="n">
        <f aca="false">IF(Returns!$O79=1,"",Returns!K79)</f>
        <v>0.00697879293847122</v>
      </c>
    </row>
    <row r="80" customFormat="false" ht="15" hidden="false" customHeight="false" outlineLevel="0" collapsed="false">
      <c r="A80" s="25" t="n">
        <f aca="false">Returns!A80</f>
        <v>43818</v>
      </c>
      <c r="B80" s="26" t="n">
        <f aca="false">IF(Returns!$O80=1,"",Returns!B80)</f>
        <v>0.01156246875</v>
      </c>
      <c r="C80" s="26" t="n">
        <f aca="false">IF(Returns!$O80=1,"",Returns!C80)</f>
        <v>0</v>
      </c>
      <c r="D80" s="26" t="n">
        <f aca="false">IF(Returns!$O80=1,"",Returns!D80)</f>
        <v>0.0117083016653379</v>
      </c>
      <c r="E80" s="26" t="n">
        <f aca="false">IF(Returns!$O80=1,"",Returns!E80)</f>
        <v>0.0117938483948623</v>
      </c>
      <c r="F80" s="26" t="n">
        <f aca="false">IF(Returns!$O80=1,"",Returns!F80)</f>
        <v>0.0058365367378781</v>
      </c>
      <c r="G80" s="26" t="n">
        <f aca="false">IF(Returns!$O80=1,"",Returns!G80)</f>
        <v>0.0180064308681671</v>
      </c>
      <c r="H80" s="26" t="n">
        <f aca="false">IF(Returns!$O80=1,"",Returns!H80)</f>
        <v>0.00229207589089464</v>
      </c>
      <c r="I80" s="26" t="n">
        <f aca="false">IF(Returns!$O80=1,"",Returns!I80)</f>
        <v>0.0260996418053485</v>
      </c>
      <c r="J80" s="26" t="n">
        <f aca="false">IF(Returns!$O80=1,"",Returns!J80)</f>
        <v>0.00991208135567456</v>
      </c>
      <c r="K80" s="26" t="str">
        <f aca="false">IF(Returns!$O80=1,Returns!B80,"")</f>
        <v/>
      </c>
      <c r="L80" s="26" t="str">
        <f aca="false">IF(Returns!$O80=1,Returns!C80,"")</f>
        <v/>
      </c>
      <c r="M80" s="26" t="str">
        <f aca="false">IF(Returns!$O80=1,Returns!D80,"")</f>
        <v/>
      </c>
      <c r="N80" s="26" t="str">
        <f aca="false">IF(Returns!$O80=1,Returns!E80,"")</f>
        <v/>
      </c>
      <c r="O80" s="26" t="str">
        <f aca="false">IF(Returns!$O80=1,Returns!F80,"")</f>
        <v/>
      </c>
      <c r="P80" s="26" t="str">
        <f aca="false">IF(Returns!$O80=1,Returns!G80,"")</f>
        <v/>
      </c>
      <c r="Q80" s="26" t="str">
        <f aca="false">IF(Returns!$O80=1,Returns!H80,"")</f>
        <v/>
      </c>
      <c r="R80" s="26" t="str">
        <f aca="false">IF(Returns!$O80=1,Returns!I80,"")</f>
        <v/>
      </c>
      <c r="S80" s="26" t="str">
        <f aca="false">IF(Returns!$O80=1,Returns!J80,"")</f>
        <v/>
      </c>
      <c r="T80" s="26" t="n">
        <f aca="false">IF(Returns!$O80=1,"",Returns!K80)</f>
        <v>0.0108012650520181</v>
      </c>
    </row>
    <row r="81" customFormat="false" ht="15" hidden="false" customHeight="false" outlineLevel="0" collapsed="false">
      <c r="A81" s="25" t="n">
        <f aca="false">Returns!A81</f>
        <v>43819</v>
      </c>
      <c r="B81" s="26" t="n">
        <f aca="false">IF(Returns!$O81=1,"",Returns!B81)</f>
        <v>0</v>
      </c>
      <c r="C81" s="26" t="n">
        <f aca="false">IF(Returns!$O81=1,"",Returns!C81)</f>
        <v>0.0111203258286789</v>
      </c>
      <c r="D81" s="26" t="n">
        <f aca="false">IF(Returns!$O81=1,"",Returns!D81)</f>
        <v>-0.0142030510257761</v>
      </c>
      <c r="E81" s="26" t="n">
        <f aca="false">IF(Returns!$O81=1,"",Returns!E81)</f>
        <v>-0.0220858171703825</v>
      </c>
      <c r="F81" s="26" t="n">
        <f aca="false">IF(Returns!$O81=1,"",Returns!F81)</f>
        <v>0.0112185299806575</v>
      </c>
      <c r="G81" s="26" t="n">
        <f aca="false">IF(Returns!$O81=1,"",Returns!G81)</f>
        <v>0.01105489576753</v>
      </c>
      <c r="H81" s="26" t="n">
        <f aca="false">IF(Returns!$O81=1,"",Returns!H81)</f>
        <v>-0.0114342041347858</v>
      </c>
      <c r="I81" s="26" t="n">
        <f aca="false">IF(Returns!$O81=1,"",Returns!I81)</f>
        <v>0.00426896782226671</v>
      </c>
      <c r="J81" s="26" t="n">
        <f aca="false">IF(Returns!$O81=1,"",Returns!J81)</f>
        <v>0.014629648148148</v>
      </c>
      <c r="K81" s="26" t="str">
        <f aca="false">IF(Returns!$O81=1,Returns!B81,"")</f>
        <v/>
      </c>
      <c r="L81" s="26" t="str">
        <f aca="false">IF(Returns!$O81=1,Returns!C81,"")</f>
        <v/>
      </c>
      <c r="M81" s="26" t="str">
        <f aca="false">IF(Returns!$O81=1,Returns!D81,"")</f>
        <v/>
      </c>
      <c r="N81" s="26" t="str">
        <f aca="false">IF(Returns!$O81=1,Returns!E81,"")</f>
        <v/>
      </c>
      <c r="O81" s="26" t="str">
        <f aca="false">IF(Returns!$O81=1,Returns!F81,"")</f>
        <v/>
      </c>
      <c r="P81" s="26" t="str">
        <f aca="false">IF(Returns!$O81=1,Returns!G81,"")</f>
        <v/>
      </c>
      <c r="Q81" s="26" t="str">
        <f aca="false">IF(Returns!$O81=1,Returns!H81,"")</f>
        <v/>
      </c>
      <c r="R81" s="26" t="str">
        <f aca="false">IF(Returns!$O81=1,Returns!I81,"")</f>
        <v/>
      </c>
      <c r="S81" s="26" t="str">
        <f aca="false">IF(Returns!$O81=1,Returns!J81,"")</f>
        <v/>
      </c>
      <c r="T81" s="26" t="n">
        <f aca="false">IF(Returns!$O81=1,"",Returns!K81)</f>
        <v>0.000507699468481874</v>
      </c>
    </row>
    <row r="82" customFormat="false" ht="15" hidden="false" customHeight="false" outlineLevel="0" collapsed="false">
      <c r="A82" s="25" t="n">
        <f aca="false">Returns!A82</f>
        <v>43822</v>
      </c>
      <c r="B82" s="26" t="n">
        <f aca="false">IF(Returns!$O82=1,"",Returns!B82)</f>
        <v>0.0163732627857047</v>
      </c>
      <c r="C82" s="26" t="n">
        <f aca="false">IF(Returns!$O82=1,"",Returns!C82)</f>
        <v>-0.0454175550831455</v>
      </c>
      <c r="D82" s="26" t="n">
        <f aca="false">IF(Returns!$O82=1,"",Returns!D82)</f>
        <v>-0.0181430096051227</v>
      </c>
      <c r="E82" s="26" t="n">
        <f aca="false">IF(Returns!$O82=1,"",Returns!E82)</f>
        <v>0.0276034718769735</v>
      </c>
      <c r="F82" s="26" t="n">
        <f aca="false">IF(Returns!$O82=1,"",Returns!F82)</f>
        <v>0.00994648087017902</v>
      </c>
      <c r="G82" s="26" t="n">
        <f aca="false">IF(Returns!$O82=1,"",Returns!G82)</f>
        <v>0.00499843830043334</v>
      </c>
      <c r="H82" s="26" t="n">
        <f aca="false">IF(Returns!$O82=1,"",Returns!H82)</f>
        <v>0.00793126239259734</v>
      </c>
      <c r="I82" s="26" t="n">
        <f aca="false">IF(Returns!$O82=1,"",Returns!I82)</f>
        <v>0.0108041251112045</v>
      </c>
      <c r="J82" s="26" t="n">
        <f aca="false">IF(Returns!$O82=1,"",Returns!J82)</f>
        <v>-0.00383279788587698</v>
      </c>
      <c r="K82" s="26" t="str">
        <f aca="false">IF(Returns!$O82=1,Returns!B82,"")</f>
        <v/>
      </c>
      <c r="L82" s="26" t="str">
        <f aca="false">IF(Returns!$O82=1,Returns!C82,"")</f>
        <v/>
      </c>
      <c r="M82" s="26" t="str">
        <f aca="false">IF(Returns!$O82=1,Returns!D82,"")</f>
        <v/>
      </c>
      <c r="N82" s="26" t="str">
        <f aca="false">IF(Returns!$O82=1,Returns!E82,"")</f>
        <v/>
      </c>
      <c r="O82" s="26" t="str">
        <f aca="false">IF(Returns!$O82=1,Returns!F82,"")</f>
        <v/>
      </c>
      <c r="P82" s="26" t="str">
        <f aca="false">IF(Returns!$O82=1,Returns!G82,"")</f>
        <v/>
      </c>
      <c r="Q82" s="26" t="str">
        <f aca="false">IF(Returns!$O82=1,Returns!H82,"")</f>
        <v/>
      </c>
      <c r="R82" s="26" t="str">
        <f aca="false">IF(Returns!$O82=1,Returns!I82,"")</f>
        <v/>
      </c>
      <c r="S82" s="26" t="str">
        <f aca="false">IF(Returns!$O82=1,Returns!J82,"")</f>
        <v/>
      </c>
      <c r="T82" s="26" t="n">
        <f aca="false">IF(Returns!$O82=1,"",Returns!K82)</f>
        <v>0.00114040875143859</v>
      </c>
    </row>
    <row r="83" customFormat="false" ht="15" hidden="false" customHeight="false" outlineLevel="0" collapsed="false">
      <c r="A83" s="25" t="n">
        <f aca="false">Returns!A83</f>
        <v>43825</v>
      </c>
      <c r="B83" s="26" t="n">
        <f aca="false">IF(Returns!$O83=1,"",Returns!B83)</f>
        <v>-0.0156535859124505</v>
      </c>
      <c r="C83" s="26" t="n">
        <f aca="false">IF(Returns!$O83=1,"",Returns!C83)</f>
        <v>-0.00469381277349712</v>
      </c>
      <c r="D83" s="26" t="n">
        <f aca="false">IF(Returns!$O83=1,"",Returns!D83)</f>
        <v>0.00652173913043486</v>
      </c>
      <c r="E83" s="26" t="n">
        <f aca="false">IF(Returns!$O83=1,"",Returns!E83)</f>
        <v>0.031196560495653</v>
      </c>
      <c r="F83" s="26" t="n">
        <f aca="false">IF(Returns!$O83=1,"",Returns!F83)</f>
        <v>0.00946969696969702</v>
      </c>
      <c r="G83" s="26" t="n">
        <f aca="false">IF(Returns!$O83=1,"",Returns!G83)</f>
        <v>0.0341934121351206</v>
      </c>
      <c r="H83" s="26" t="n">
        <f aca="false">IF(Returns!$O83=1,"",Returns!H83)</f>
        <v>0.0134426229508198</v>
      </c>
      <c r="I83" s="26" t="n">
        <f aca="false">IF(Returns!$O83=1,"",Returns!I83)</f>
        <v>0.0162957488633877</v>
      </c>
      <c r="J83" s="26" t="n">
        <f aca="false">IF(Returns!$O83=1,"",Returns!J83)</f>
        <v>0.00384754474725013</v>
      </c>
      <c r="K83" s="26" t="str">
        <f aca="false">IF(Returns!$O83=1,Returns!B83,"")</f>
        <v/>
      </c>
      <c r="L83" s="26" t="str">
        <f aca="false">IF(Returns!$O83=1,Returns!C83,"")</f>
        <v/>
      </c>
      <c r="M83" s="26" t="str">
        <f aca="false">IF(Returns!$O83=1,Returns!D83,"")</f>
        <v/>
      </c>
      <c r="N83" s="26" t="str">
        <f aca="false">IF(Returns!$O83=1,Returns!E83,"")</f>
        <v/>
      </c>
      <c r="O83" s="26" t="str">
        <f aca="false">IF(Returns!$O83=1,Returns!F83,"")</f>
        <v/>
      </c>
      <c r="P83" s="26" t="str">
        <f aca="false">IF(Returns!$O83=1,Returns!G83,"")</f>
        <v/>
      </c>
      <c r="Q83" s="26" t="str">
        <f aca="false">IF(Returns!$O83=1,Returns!H83,"")</f>
        <v/>
      </c>
      <c r="R83" s="26" t="str">
        <f aca="false">IF(Returns!$O83=1,Returns!I83,"")</f>
        <v/>
      </c>
      <c r="S83" s="26" t="str">
        <f aca="false">IF(Returns!$O83=1,Returns!J83,"")</f>
        <v/>
      </c>
      <c r="T83" s="26" t="n">
        <f aca="false">IF(Returns!$O83=1,"",Returns!K83)</f>
        <v>0.0105133251784906</v>
      </c>
    </row>
    <row r="84" customFormat="false" ht="15" hidden="false" customHeight="false" outlineLevel="0" collapsed="false">
      <c r="A84" s="25" t="n">
        <f aca="false">Returns!A84</f>
        <v>43826</v>
      </c>
      <c r="B84" s="26" t="n">
        <f aca="false">IF(Returns!$O84=1,"",Returns!B84)</f>
        <v>-0.0121969590333624</v>
      </c>
      <c r="C84" s="26" t="n">
        <f aca="false">IF(Returns!$O84=1,"",Returns!C84)</f>
        <v>-0.0523044372990354</v>
      </c>
      <c r="D84" s="26" t="n">
        <f aca="false">IF(Returns!$O84=1,"",Returns!D84)</f>
        <v>-0.0129589092872571</v>
      </c>
      <c r="E84" s="26" t="n">
        <f aca="false">IF(Returns!$O84=1,"",Returns!E84)</f>
        <v>-0.00621630775865345</v>
      </c>
      <c r="F84" s="26" t="n">
        <f aca="false">IF(Returns!$O84=1,"",Returns!F84)</f>
        <v>-0.0210131332082552</v>
      </c>
      <c r="G84" s="26" t="n">
        <f aca="false">IF(Returns!$O84=1,"",Returns!G84)</f>
        <v>-0.00691310489930885</v>
      </c>
      <c r="H84" s="26" t="n">
        <f aca="false">IF(Returns!$O84=1,"",Returns!H84)</f>
        <v>-0.0126172759624718</v>
      </c>
      <c r="I84" s="26" t="n">
        <f aca="false">IF(Returns!$O84=1,"",Returns!I84)</f>
        <v>0.00362072193552576</v>
      </c>
      <c r="J84" s="26" t="n">
        <f aca="false">IF(Returns!$O84=1,"",Returns!J84)</f>
        <v>-0.0217193461996834</v>
      </c>
      <c r="K84" s="26" t="str">
        <f aca="false">IF(Returns!$O84=1,Returns!B84,"")</f>
        <v/>
      </c>
      <c r="L84" s="26" t="str">
        <f aca="false">IF(Returns!$O84=1,Returns!C84,"")</f>
        <v/>
      </c>
      <c r="M84" s="26" t="str">
        <f aca="false">IF(Returns!$O84=1,Returns!D84,"")</f>
        <v/>
      </c>
      <c r="N84" s="26" t="str">
        <f aca="false">IF(Returns!$O84=1,Returns!E84,"")</f>
        <v/>
      </c>
      <c r="O84" s="26" t="str">
        <f aca="false">IF(Returns!$O84=1,Returns!F84,"")</f>
        <v/>
      </c>
      <c r="P84" s="26" t="str">
        <f aca="false">IF(Returns!$O84=1,Returns!G84,"")</f>
        <v/>
      </c>
      <c r="Q84" s="26" t="str">
        <f aca="false">IF(Returns!$O84=1,Returns!H84,"")</f>
        <v/>
      </c>
      <c r="R84" s="26" t="str">
        <f aca="false">IF(Returns!$O84=1,Returns!I84,"")</f>
        <v/>
      </c>
      <c r="S84" s="26" t="str">
        <f aca="false">IF(Returns!$O84=1,Returns!J84,"")</f>
        <v/>
      </c>
      <c r="T84" s="26" t="n">
        <f aca="false">IF(Returns!$O84=1,"",Returns!K84)</f>
        <v>-0.0158131946347224</v>
      </c>
    </row>
    <row r="85" customFormat="false" ht="15" hidden="false" customHeight="false" outlineLevel="0" collapsed="false">
      <c r="A85" s="25" t="n">
        <f aca="false">Returns!A85</f>
        <v>43829</v>
      </c>
      <c r="B85" s="26" t="n">
        <f aca="false">IF(Returns!$O85=1,"",Returns!B85)</f>
        <v>0.000312597686777272</v>
      </c>
      <c r="C85" s="26" t="n">
        <f aca="false">IF(Returns!$O85=1,"",Returns!C85)</f>
        <v>-0.028047931601354</v>
      </c>
      <c r="D85" s="26" t="n">
        <f aca="false">IF(Returns!$O85=1,"",Returns!D85)</f>
        <v>0.0114879096560225</v>
      </c>
      <c r="E85" s="26" t="n">
        <f aca="false">IF(Returns!$O85=1,"",Returns!E85)</f>
        <v>-0.0114678692966613</v>
      </c>
      <c r="F85" s="26" t="n">
        <f aca="false">IF(Returns!$O85=1,"",Returns!F85)</f>
        <v>-0.00689919509390569</v>
      </c>
      <c r="G85" s="26" t="n">
        <f aca="false">IF(Returns!$O85=1,"",Returns!G85)</f>
        <v>0.00181588977554825</v>
      </c>
      <c r="H85" s="26" t="n">
        <f aca="false">IF(Returns!$O85=1,"",Returns!H85)</f>
        <v>-0.0111402359108781</v>
      </c>
      <c r="I85" s="26" t="n">
        <f aca="false">IF(Returns!$O85=1,"",Returns!I85)</f>
        <v>0.0365916286312986</v>
      </c>
      <c r="J85" s="26" t="n">
        <f aca="false">IF(Returns!$O85=1,"",Returns!J85)</f>
        <v>-0.00559699647749989</v>
      </c>
      <c r="K85" s="26" t="str">
        <f aca="false">IF(Returns!$O85=1,Returns!B85,"")</f>
        <v/>
      </c>
      <c r="L85" s="26" t="str">
        <f aca="false">IF(Returns!$O85=1,Returns!C85,"")</f>
        <v/>
      </c>
      <c r="M85" s="26" t="str">
        <f aca="false">IF(Returns!$O85=1,Returns!D85,"")</f>
        <v/>
      </c>
      <c r="N85" s="26" t="str">
        <f aca="false">IF(Returns!$O85=1,Returns!E85,"")</f>
        <v/>
      </c>
      <c r="O85" s="26" t="str">
        <f aca="false">IF(Returns!$O85=1,Returns!F85,"")</f>
        <v/>
      </c>
      <c r="P85" s="26" t="str">
        <f aca="false">IF(Returns!$O85=1,Returns!G85,"")</f>
        <v/>
      </c>
      <c r="Q85" s="26" t="str">
        <f aca="false">IF(Returns!$O85=1,Returns!H85,"")</f>
        <v/>
      </c>
      <c r="R85" s="26" t="str">
        <f aca="false">IF(Returns!$O85=1,Returns!I85,"")</f>
        <v/>
      </c>
      <c r="S85" s="26" t="str">
        <f aca="false">IF(Returns!$O85=1,Returns!J85,"")</f>
        <v/>
      </c>
      <c r="T85" s="26" t="n">
        <f aca="false">IF(Returns!$O85=1,"",Returns!K85)</f>
        <v>-0.00143824473673915</v>
      </c>
    </row>
    <row r="86" customFormat="false" ht="15" hidden="false" customHeight="false" outlineLevel="0" collapsed="false">
      <c r="A86" s="25" t="n">
        <f aca="false">Returns!A86</f>
        <v>43832</v>
      </c>
      <c r="B86" s="26" t="n">
        <f aca="false">IF(Returns!$O86=1,"",Returns!B86)</f>
        <v>-0.00140625000000005</v>
      </c>
      <c r="C86" s="26" t="n">
        <f aca="false">IF(Returns!$O86=1,"",Returns!C86)</f>
        <v>0.0498021654596734</v>
      </c>
      <c r="D86" s="26" t="n">
        <f aca="false">IF(Returns!$O86=1,"",Returns!D86)</f>
        <v>0</v>
      </c>
      <c r="E86" s="26" t="n">
        <f aca="false">IF(Returns!$O86=1,"",Returns!E86)</f>
        <v>0.0466146171693735</v>
      </c>
      <c r="F86" s="26" t="n">
        <f aca="false">IF(Returns!$O86=1,"",Returns!F86)</f>
        <v>0.0343496333461983</v>
      </c>
      <c r="G86" s="26" t="n">
        <f aca="false">IF(Returns!$O86=1,"",Returns!G86)</f>
        <v>0.0135951971960844</v>
      </c>
      <c r="H86" s="26" t="n">
        <f aca="false">IF(Returns!$O86=1,"",Returns!H86)</f>
        <v>0.0172299867461896</v>
      </c>
      <c r="I86" s="26" t="n">
        <f aca="false">IF(Returns!$O86=1,"",Returns!I86)</f>
        <v>0.0228704461293496</v>
      </c>
      <c r="J86" s="26" t="n">
        <f aca="false">IF(Returns!$O86=1,"",Returns!J86)</f>
        <v>0.0193246345089049</v>
      </c>
      <c r="K86" s="26" t="str">
        <f aca="false">IF(Returns!$O86=1,Returns!B86,"")</f>
        <v/>
      </c>
      <c r="L86" s="26" t="str">
        <f aca="false">IF(Returns!$O86=1,Returns!C86,"")</f>
        <v/>
      </c>
      <c r="M86" s="26" t="str">
        <f aca="false">IF(Returns!$O86=1,Returns!D86,"")</f>
        <v/>
      </c>
      <c r="N86" s="26" t="str">
        <f aca="false">IF(Returns!$O86=1,Returns!E86,"")</f>
        <v/>
      </c>
      <c r="O86" s="26" t="str">
        <f aca="false">IF(Returns!$O86=1,Returns!F86,"")</f>
        <v/>
      </c>
      <c r="P86" s="26" t="str">
        <f aca="false">IF(Returns!$O86=1,Returns!G86,"")</f>
        <v/>
      </c>
      <c r="Q86" s="26" t="str">
        <f aca="false">IF(Returns!$O86=1,Returns!H86,"")</f>
        <v/>
      </c>
      <c r="R86" s="26" t="str">
        <f aca="false">IF(Returns!$O86=1,Returns!I86,"")</f>
        <v/>
      </c>
      <c r="S86" s="26" t="str">
        <f aca="false">IF(Returns!$O86=1,Returns!J86,"")</f>
        <v/>
      </c>
      <c r="T86" s="26" t="n">
        <f aca="false">IF(Returns!$O86=1,"",Returns!K86)</f>
        <v>0.0224867145061971</v>
      </c>
    </row>
    <row r="87" customFormat="false" ht="15" hidden="false" customHeight="false" outlineLevel="0" collapsed="false">
      <c r="A87" s="25" t="n">
        <f aca="false">Returns!A87</f>
        <v>43833</v>
      </c>
      <c r="B87" s="26" t="n">
        <f aca="false">IF(Returns!$O87=1,"",Returns!B87)</f>
        <v>-0.0142387732749178</v>
      </c>
      <c r="C87" s="26" t="n">
        <f aca="false">IF(Returns!$O87=1,"",Returns!C87)</f>
        <v>-0.0288184229136965</v>
      </c>
      <c r="D87" s="26" t="n">
        <f aca="false">IF(Returns!$O87=1,"",Returns!D87)</f>
        <v>0.0243375338020553</v>
      </c>
      <c r="E87" s="26" t="n">
        <f aca="false">IF(Returns!$O87=1,"",Returns!E87)</f>
        <v>-0.0145102179465985</v>
      </c>
      <c r="F87" s="26" t="n">
        <f aca="false">IF(Returns!$O87=1,"",Returns!F87)</f>
        <v>0.00186570902483996</v>
      </c>
      <c r="G87" s="26" t="n">
        <f aca="false">IF(Returns!$O87=1,"",Returns!G87)</f>
        <v>0</v>
      </c>
      <c r="H87" s="26" t="n">
        <f aca="false">IF(Returns!$O87=1,"",Returns!H87)</f>
        <v>-0.00814332221031522</v>
      </c>
      <c r="I87" s="26" t="n">
        <f aca="false">IF(Returns!$O87=1,"",Returns!I87)</f>
        <v>0.0371029688305715</v>
      </c>
      <c r="J87" s="26" t="n">
        <f aca="false">IF(Returns!$O87=1,"",Returns!J87)</f>
        <v>-0.0073624514131253</v>
      </c>
      <c r="K87" s="26" t="str">
        <f aca="false">IF(Returns!$O87=1,Returns!B87,"")</f>
        <v/>
      </c>
      <c r="L87" s="26" t="str">
        <f aca="false">IF(Returns!$O87=1,Returns!C87,"")</f>
        <v/>
      </c>
      <c r="M87" s="26" t="str">
        <f aca="false">IF(Returns!$O87=1,Returns!D87,"")</f>
        <v/>
      </c>
      <c r="N87" s="26" t="str">
        <f aca="false">IF(Returns!$O87=1,Returns!E87,"")</f>
        <v/>
      </c>
      <c r="O87" s="26" t="str">
        <f aca="false">IF(Returns!$O87=1,Returns!F87,"")</f>
        <v/>
      </c>
      <c r="P87" s="26" t="str">
        <f aca="false">IF(Returns!$O87=1,Returns!G87,"")</f>
        <v/>
      </c>
      <c r="Q87" s="26" t="str">
        <f aca="false">IF(Returns!$O87=1,Returns!H87,"")</f>
        <v/>
      </c>
      <c r="R87" s="26" t="str">
        <f aca="false">IF(Returns!$O87=1,Returns!I87,"")</f>
        <v/>
      </c>
      <c r="S87" s="26" t="str">
        <f aca="false">IF(Returns!$O87=1,Returns!J87,"")</f>
        <v/>
      </c>
      <c r="T87" s="26" t="n">
        <f aca="false">IF(Returns!$O87=1,"",Returns!K87)</f>
        <v>-0.00108521956679851</v>
      </c>
    </row>
    <row r="88" customFormat="false" ht="15" hidden="false" customHeight="false" outlineLevel="0" collapsed="false">
      <c r="A88" s="25" t="n">
        <f aca="false">Returns!A88</f>
        <v>43836</v>
      </c>
      <c r="B88" s="26" t="n">
        <f aca="false">IF(Returns!$O88=1,"",Returns!B88)</f>
        <v>-0.0061904603174604</v>
      </c>
      <c r="C88" s="26" t="n">
        <f aca="false">IF(Returns!$O88=1,"",Returns!C88)</f>
        <v>-0.0095868525356505</v>
      </c>
      <c r="D88" s="26" t="n">
        <f aca="false">IF(Returns!$O88=1,"",Returns!D88)</f>
        <v>0.00897571230328875</v>
      </c>
      <c r="E88" s="26" t="n">
        <f aca="false">IF(Returns!$O88=1,"",Returns!E88)</f>
        <v>-0.0116564412410454</v>
      </c>
      <c r="F88" s="26" t="n">
        <f aca="false">IF(Returns!$O88=1,"",Returns!F88)</f>
        <v>-0.0115455865921789</v>
      </c>
      <c r="G88" s="26" t="n">
        <f aca="false">IF(Returns!$O88=1,"",Returns!G88)</f>
        <v>-0.00178828619339166</v>
      </c>
      <c r="H88" s="26" t="n">
        <f aca="false">IF(Returns!$O88=1,"",Returns!H88)</f>
        <v>0.0118225940288146</v>
      </c>
      <c r="I88" s="26" t="n">
        <f aca="false">IF(Returns!$O88=1,"",Returns!I88)</f>
        <v>0.00406190966466435</v>
      </c>
      <c r="J88" s="26" t="n">
        <f aca="false">IF(Returns!$O88=1,"",Returns!J88)</f>
        <v>-0.00593359910995739</v>
      </c>
      <c r="K88" s="26" t="str">
        <f aca="false">IF(Returns!$O88=1,Returns!B88,"")</f>
        <v/>
      </c>
      <c r="L88" s="26" t="str">
        <f aca="false">IF(Returns!$O88=1,Returns!C88,"")</f>
        <v/>
      </c>
      <c r="M88" s="26" t="str">
        <f aca="false">IF(Returns!$O88=1,Returns!D88,"")</f>
        <v/>
      </c>
      <c r="N88" s="26" t="str">
        <f aca="false">IF(Returns!$O88=1,Returns!E88,"")</f>
        <v/>
      </c>
      <c r="O88" s="26" t="str">
        <f aca="false">IF(Returns!$O88=1,Returns!F88,"")</f>
        <v/>
      </c>
      <c r="P88" s="26" t="str">
        <f aca="false">IF(Returns!$O88=1,Returns!G88,"")</f>
        <v/>
      </c>
      <c r="Q88" s="26" t="str">
        <f aca="false">IF(Returns!$O88=1,Returns!H88,"")</f>
        <v/>
      </c>
      <c r="R88" s="26" t="str">
        <f aca="false">IF(Returns!$O88=1,Returns!I88,"")</f>
        <v/>
      </c>
      <c r="S88" s="26" t="str">
        <f aca="false">IF(Returns!$O88=1,Returns!J88,"")</f>
        <v/>
      </c>
      <c r="T88" s="26" t="n">
        <f aca="false">IF(Returns!$O88=1,"",Returns!K88)</f>
        <v>-0.00242677888810183</v>
      </c>
    </row>
    <row r="89" customFormat="false" ht="15" hidden="false" customHeight="false" outlineLevel="0" collapsed="false">
      <c r="A89" s="25" t="n">
        <f aca="false">Returns!A89</f>
        <v>43837</v>
      </c>
      <c r="B89" s="26" t="n">
        <f aca="false">IF(Returns!$O89=1,"",Returns!B89)</f>
        <v>0.00463186384552206</v>
      </c>
      <c r="C89" s="26" t="n">
        <f aca="false">IF(Returns!$O89=1,"",Returns!C89)</f>
        <v>0.0322655227532962</v>
      </c>
      <c r="D89" s="26" t="n">
        <f aca="false">IF(Returns!$O89=1,"",Returns!D89)</f>
        <v>0.00313966493251372</v>
      </c>
      <c r="E89" s="26" t="n">
        <f aca="false">IF(Returns!$O89=1,"",Returns!E89)</f>
        <v>0.00972474613181262</v>
      </c>
      <c r="F89" s="26" t="n">
        <f aca="false">IF(Returns!$O89=1,"",Returns!F89)</f>
        <v>-0.0199698937464244</v>
      </c>
      <c r="G89" s="26" t="n">
        <f aca="false">IF(Returns!$O89=1,"",Returns!G89)</f>
        <v>0.00268736920350143</v>
      </c>
      <c r="H89" s="26" t="n">
        <f aca="false">IF(Returns!$O89=1,"",Returns!H89)</f>
        <v>-0.00389477455030107</v>
      </c>
      <c r="I89" s="26" t="n">
        <f aca="false">IF(Returns!$O89=1,"",Returns!I89)</f>
        <v>-0.0196047816763718</v>
      </c>
      <c r="J89" s="26" t="n">
        <f aca="false">IF(Returns!$O89=1,"",Returns!J89)</f>
        <v>0.00727474338230283</v>
      </c>
      <c r="K89" s="26" t="str">
        <f aca="false">IF(Returns!$O89=1,Returns!B89,"")</f>
        <v/>
      </c>
      <c r="L89" s="26" t="str">
        <f aca="false">IF(Returns!$O89=1,Returns!C89,"")</f>
        <v/>
      </c>
      <c r="M89" s="26" t="str">
        <f aca="false">IF(Returns!$O89=1,Returns!D89,"")</f>
        <v/>
      </c>
      <c r="N89" s="26" t="str">
        <f aca="false">IF(Returns!$O89=1,Returns!E89,"")</f>
        <v/>
      </c>
      <c r="O89" s="26" t="str">
        <f aca="false">IF(Returns!$O89=1,Returns!F89,"")</f>
        <v/>
      </c>
      <c r="P89" s="26" t="str">
        <f aca="false">IF(Returns!$O89=1,Returns!G89,"")</f>
        <v/>
      </c>
      <c r="Q89" s="26" t="str">
        <f aca="false">IF(Returns!$O89=1,Returns!H89,"")</f>
        <v/>
      </c>
      <c r="R89" s="26" t="str">
        <f aca="false">IF(Returns!$O89=1,Returns!I89,"")</f>
        <v/>
      </c>
      <c r="S89" s="26" t="str">
        <f aca="false">IF(Returns!$O89=1,Returns!J89,"")</f>
        <v/>
      </c>
      <c r="T89" s="26" t="n">
        <f aca="false">IF(Returns!$O89=1,"",Returns!K89)</f>
        <v>0.00180605114176128</v>
      </c>
    </row>
    <row r="90" customFormat="false" ht="15" hidden="false" customHeight="false" outlineLevel="0" collapsed="false">
      <c r="A90" s="25" t="n">
        <f aca="false">Returns!A90</f>
        <v>43838</v>
      </c>
      <c r="B90" s="26" t="n">
        <f aca="false">IF(Returns!$O90=1,"",Returns!B90)</f>
        <v>-0.0143084574146755</v>
      </c>
      <c r="C90" s="26" t="n">
        <f aca="false">IF(Returns!$O90=1,"",Returns!C90)</f>
        <v>-0.00267916945746816</v>
      </c>
      <c r="D90" s="26" t="n">
        <f aca="false">IF(Returns!$O90=1,"",Returns!D90)</f>
        <v>0.0109545644235785</v>
      </c>
      <c r="E90" s="26" t="n">
        <f aca="false">IF(Returns!$O90=1,"",Returns!E90)</f>
        <v>-0.00491799190405717</v>
      </c>
      <c r="F90" s="26" t="n">
        <f aca="false">IF(Returns!$O90=1,"",Returns!F90)</f>
        <v>-0.0073048827374087</v>
      </c>
      <c r="G90" s="26" t="n">
        <f aca="false">IF(Returns!$O90=1,"",Returns!G90)</f>
        <v>0.00387126242577351</v>
      </c>
      <c r="H90" s="26" t="n">
        <f aca="false">IF(Returns!$O90=1,"",Returns!H90)</f>
        <v>-0.0061909740569901</v>
      </c>
      <c r="I90" s="26" t="n">
        <f aca="false">IF(Returns!$O90=1,"",Returns!I90)</f>
        <v>-0.00714170612276499</v>
      </c>
      <c r="J90" s="26" t="n">
        <f aca="false">IF(Returns!$O90=1,"",Returns!J90)</f>
        <v>0.000185148148148295</v>
      </c>
      <c r="K90" s="26" t="str">
        <f aca="false">IF(Returns!$O90=1,Returns!B90,"")</f>
        <v/>
      </c>
      <c r="L90" s="26" t="str">
        <f aca="false">IF(Returns!$O90=1,Returns!C90,"")</f>
        <v/>
      </c>
      <c r="M90" s="26" t="str">
        <f aca="false">IF(Returns!$O90=1,Returns!D90,"")</f>
        <v/>
      </c>
      <c r="N90" s="26" t="str">
        <f aca="false">IF(Returns!$O90=1,Returns!E90,"")</f>
        <v/>
      </c>
      <c r="O90" s="26" t="str">
        <f aca="false">IF(Returns!$O90=1,Returns!F90,"")</f>
        <v/>
      </c>
      <c r="P90" s="26" t="str">
        <f aca="false">IF(Returns!$O90=1,Returns!G90,"")</f>
        <v/>
      </c>
      <c r="Q90" s="26" t="str">
        <f aca="false">IF(Returns!$O90=1,Returns!H90,"")</f>
        <v/>
      </c>
      <c r="R90" s="26" t="str">
        <f aca="false">IF(Returns!$O90=1,Returns!I90,"")</f>
        <v/>
      </c>
      <c r="S90" s="26" t="str">
        <f aca="false">IF(Returns!$O90=1,Returns!J90,"")</f>
        <v/>
      </c>
      <c r="T90" s="26" t="n">
        <f aca="false">IF(Returns!$O90=1,"",Returns!K90)</f>
        <v>-0.00305913407731826</v>
      </c>
    </row>
    <row r="91" customFormat="false" ht="15" hidden="false" customHeight="false" outlineLevel="0" collapsed="false">
      <c r="A91" s="25" t="n">
        <f aca="false">Returns!A91</f>
        <v>43839</v>
      </c>
      <c r="B91" s="26" t="n">
        <f aca="false">IF(Returns!$O91=1,"",Returns!B91)</f>
        <v>-0.0112903387096774</v>
      </c>
      <c r="C91" s="26" t="n">
        <f aca="false">IF(Returns!$O91=1,"",Returns!C91)</f>
        <v>-0.000447750167897887</v>
      </c>
      <c r="D91" s="26" t="n">
        <f aca="false">IF(Returns!$O91=1,"",Returns!D91)</f>
        <v>-0.00619189918430851</v>
      </c>
      <c r="E91" s="26" t="n">
        <f aca="false">IF(Returns!$O91=1,"",Returns!E91)</f>
        <v>0.00535418028512802</v>
      </c>
      <c r="F91" s="26" t="n">
        <f aca="false">IF(Returns!$O91=1,"",Returns!F91)</f>
        <v>0.0271107668474051</v>
      </c>
      <c r="G91" s="26" t="n">
        <f aca="false">IF(Returns!$O91=1,"",Returns!G91)</f>
        <v>-0.00622957597833218</v>
      </c>
      <c r="H91" s="26" t="n">
        <f aca="false">IF(Returns!$O91=1,"",Returns!H91)</f>
        <v>-0.00327868852459023</v>
      </c>
      <c r="I91" s="26" t="n">
        <f aca="false">IF(Returns!$O91=1,"",Returns!I91)</f>
        <v>0.0337275766497094</v>
      </c>
      <c r="J91" s="26" t="n">
        <f aca="false">IF(Returns!$O91=1,"",Returns!J91)</f>
        <v>-0.0131456957284095</v>
      </c>
      <c r="K91" s="26" t="str">
        <f aca="false">IF(Returns!$O91=1,Returns!B91,"")</f>
        <v/>
      </c>
      <c r="L91" s="26" t="str">
        <f aca="false">IF(Returns!$O91=1,Returns!C91,"")</f>
        <v/>
      </c>
      <c r="M91" s="26" t="str">
        <f aca="false">IF(Returns!$O91=1,Returns!D91,"")</f>
        <v/>
      </c>
      <c r="N91" s="26" t="str">
        <f aca="false">IF(Returns!$O91=1,Returns!E91,"")</f>
        <v/>
      </c>
      <c r="O91" s="26" t="str">
        <f aca="false">IF(Returns!$O91=1,Returns!F91,"")</f>
        <v/>
      </c>
      <c r="P91" s="26" t="str">
        <f aca="false">IF(Returns!$O91=1,Returns!G91,"")</f>
        <v/>
      </c>
      <c r="Q91" s="26" t="str">
        <f aca="false">IF(Returns!$O91=1,Returns!H91,"")</f>
        <v/>
      </c>
      <c r="R91" s="26" t="str">
        <f aca="false">IF(Returns!$O91=1,Returns!I91,"")</f>
        <v/>
      </c>
      <c r="S91" s="26" t="str">
        <f aca="false">IF(Returns!$O91=1,Returns!J91,"")</f>
        <v/>
      </c>
      <c r="T91" s="26" t="n">
        <f aca="false">IF(Returns!$O91=1,"",Returns!K91)</f>
        <v>0.00284539727655853</v>
      </c>
    </row>
    <row r="92" customFormat="false" ht="15" hidden="false" customHeight="false" outlineLevel="0" collapsed="false">
      <c r="A92" s="25" t="n">
        <f aca="false">Returns!A92</f>
        <v>43840</v>
      </c>
      <c r="B92" s="26" t="n">
        <f aca="false">IF(Returns!$O92=1,"",Returns!B92)</f>
        <v>-0.00717778152002913</v>
      </c>
      <c r="C92" s="26" t="n">
        <f aca="false">IF(Returns!$O92=1,"",Returns!C92)</f>
        <v>-0.00783876837264874</v>
      </c>
      <c r="D92" s="26" t="n">
        <f aca="false">IF(Returns!$O92=1,"",Returns!D92)</f>
        <v>0.0259605399792315</v>
      </c>
      <c r="E92" s="26" t="n">
        <f aca="false">IF(Returns!$O92=1,"",Returns!E92)</f>
        <v>-0.0198689471528063</v>
      </c>
      <c r="F92" s="26" t="n">
        <f aca="false">IF(Returns!$O92=1,"",Returns!F92)</f>
        <v>-0.00188540723981889</v>
      </c>
      <c r="G92" s="26" t="n">
        <f aca="false">IF(Returns!$O92=1,"",Returns!G92)</f>
        <v>-0.0104477014925373</v>
      </c>
      <c r="H92" s="26" t="n">
        <f aca="false">IF(Returns!$O92=1,"",Returns!H92)</f>
        <v>-0.00427631578947363</v>
      </c>
      <c r="I92" s="26" t="n">
        <f aca="false">IF(Returns!$O92=1,"",Returns!I92)</f>
        <v>-0.000618503278533522</v>
      </c>
      <c r="J92" s="26" t="n">
        <f aca="false">IF(Returns!$O92=1,"",Returns!J92)</f>
        <v>0.00112574110930086</v>
      </c>
      <c r="K92" s="26" t="str">
        <f aca="false">IF(Returns!$O92=1,Returns!B92,"")</f>
        <v/>
      </c>
      <c r="L92" s="26" t="str">
        <f aca="false">IF(Returns!$O92=1,Returns!C92,"")</f>
        <v/>
      </c>
      <c r="M92" s="26" t="str">
        <f aca="false">IF(Returns!$O92=1,Returns!D92,"")</f>
        <v/>
      </c>
      <c r="N92" s="26" t="str">
        <f aca="false">IF(Returns!$O92=1,Returns!E92,"")</f>
        <v/>
      </c>
      <c r="O92" s="26" t="str">
        <f aca="false">IF(Returns!$O92=1,Returns!F92,"")</f>
        <v/>
      </c>
      <c r="P92" s="26" t="str">
        <f aca="false">IF(Returns!$O92=1,Returns!G92,"")</f>
        <v/>
      </c>
      <c r="Q92" s="26" t="str">
        <f aca="false">IF(Returns!$O92=1,Returns!H92,"")</f>
        <v/>
      </c>
      <c r="R92" s="26" t="str">
        <f aca="false">IF(Returns!$O92=1,Returns!I92,"")</f>
        <v/>
      </c>
      <c r="S92" s="26" t="str">
        <f aca="false">IF(Returns!$O92=1,Returns!J92,"")</f>
        <v/>
      </c>
      <c r="T92" s="26" t="n">
        <f aca="false">IF(Returns!$O92=1,"",Returns!K92)</f>
        <v>-0.00278079375081279</v>
      </c>
    </row>
    <row r="93" customFormat="false" ht="15" hidden="false" customHeight="false" outlineLevel="0" collapsed="false">
      <c r="A93" s="25" t="n">
        <f aca="false">Returns!A93</f>
        <v>43843</v>
      </c>
      <c r="B93" s="26" t="n">
        <f aca="false">IF(Returns!$O93=1,"",Returns!B93)</f>
        <v>0.0318764043398554</v>
      </c>
      <c r="C93" s="26" t="n">
        <f aca="false">IF(Returns!$O93=1,"",Returns!C93)</f>
        <v>0.00112869079587763</v>
      </c>
      <c r="D93" s="26" t="n">
        <f aca="false">IF(Returns!$O93=1,"",Returns!D93)</f>
        <v>0.0242914979757083</v>
      </c>
      <c r="E93" s="26" t="n">
        <f aca="false">IF(Returns!$O93=1,"",Returns!E93)</f>
        <v>0.00313483816655546</v>
      </c>
      <c r="F93" s="26" t="n">
        <f aca="false">IF(Returns!$O93=1,"",Returns!F93)</f>
        <v>0.0196449195181305</v>
      </c>
      <c r="G93" s="26" t="n">
        <f aca="false">IF(Returns!$O93=1,"",Returns!G93)</f>
        <v>0.0105580084127899</v>
      </c>
      <c r="H93" s="26" t="n">
        <f aca="false">IF(Returns!$O93=1,"",Returns!H93)</f>
        <v>0.001982160555005</v>
      </c>
      <c r="I93" s="26" t="n">
        <f aca="false">IF(Returns!$O93=1,"",Returns!I93)</f>
        <v>-0.027696112467087</v>
      </c>
      <c r="J93" s="26" t="n">
        <f aca="false">IF(Returns!$O93=1,"",Returns!J93)</f>
        <v>0.036356783426597</v>
      </c>
      <c r="K93" s="26" t="str">
        <f aca="false">IF(Returns!$O93=1,Returns!B93,"")</f>
        <v/>
      </c>
      <c r="L93" s="26" t="str">
        <f aca="false">IF(Returns!$O93=1,Returns!C93,"")</f>
        <v/>
      </c>
      <c r="M93" s="26" t="str">
        <f aca="false">IF(Returns!$O93=1,Returns!D93,"")</f>
        <v/>
      </c>
      <c r="N93" s="26" t="str">
        <f aca="false">IF(Returns!$O93=1,Returns!E93,"")</f>
        <v/>
      </c>
      <c r="O93" s="26" t="str">
        <f aca="false">IF(Returns!$O93=1,Returns!F93,"")</f>
        <v/>
      </c>
      <c r="P93" s="26" t="str">
        <f aca="false">IF(Returns!$O93=1,Returns!G93,"")</f>
        <v/>
      </c>
      <c r="Q93" s="26" t="str">
        <f aca="false">IF(Returns!$O93=1,Returns!H93,"")</f>
        <v/>
      </c>
      <c r="R93" s="26" t="str">
        <f aca="false">IF(Returns!$O93=1,Returns!I93,"")</f>
        <v/>
      </c>
      <c r="S93" s="26" t="str">
        <f aca="false">IF(Returns!$O93=1,Returns!J93,"")</f>
        <v/>
      </c>
      <c r="T93" s="26" t="n">
        <f aca="false">IF(Returns!$O93=1,"",Returns!K93)</f>
        <v>0.0112530211914925</v>
      </c>
    </row>
    <row r="94" customFormat="false" ht="15" hidden="false" customHeight="false" outlineLevel="0" collapsed="false">
      <c r="A94" s="25" t="n">
        <f aca="false">Returns!A94</f>
        <v>43844</v>
      </c>
      <c r="B94" s="26" t="n">
        <f aca="false">IF(Returns!$O94=1,"",Returns!B94)</f>
        <v>0.0031847293500753</v>
      </c>
      <c r="C94" s="26" t="n">
        <f aca="false">IF(Returns!$O94=1,"",Returns!C94)</f>
        <v>0.00676437444790023</v>
      </c>
      <c r="D94" s="26" t="n">
        <f aca="false">IF(Returns!$O94=1,"",Returns!D94)</f>
        <v>0.0335968379446643</v>
      </c>
      <c r="E94" s="26" t="n">
        <f aca="false">IF(Returns!$O94=1,"",Returns!E94)</f>
        <v>0.00416668749999993</v>
      </c>
      <c r="F94" s="26" t="n">
        <f aca="false">IF(Returns!$O94=1,"",Returns!F94)</f>
        <v>0.0326047054464615</v>
      </c>
      <c r="G94" s="26" t="n">
        <f aca="false">IF(Returns!$O94=1,"",Returns!G94)</f>
        <v>0.0149253731343284</v>
      </c>
      <c r="H94" s="26" t="n">
        <f aca="false">IF(Returns!$O94=1,"",Returns!H94)</f>
        <v>-0.0108803165182987</v>
      </c>
      <c r="I94" s="26" t="n">
        <f aca="false">IF(Returns!$O94=1,"",Returns!I94)</f>
        <v>0.00891152022960617</v>
      </c>
      <c r="J94" s="26" t="n">
        <f aca="false">IF(Returns!$O94=1,"",Returns!J94)</f>
        <v>0.00614828220882968</v>
      </c>
      <c r="K94" s="26" t="str">
        <f aca="false">IF(Returns!$O94=1,Returns!B94,"")</f>
        <v/>
      </c>
      <c r="L94" s="26" t="str">
        <f aca="false">IF(Returns!$O94=1,Returns!C94,"")</f>
        <v/>
      </c>
      <c r="M94" s="26" t="str">
        <f aca="false">IF(Returns!$O94=1,Returns!D94,"")</f>
        <v/>
      </c>
      <c r="N94" s="26" t="str">
        <f aca="false">IF(Returns!$O94=1,Returns!E94,"")</f>
        <v/>
      </c>
      <c r="O94" s="26" t="str">
        <f aca="false">IF(Returns!$O94=1,Returns!F94,"")</f>
        <v/>
      </c>
      <c r="P94" s="26" t="str">
        <f aca="false">IF(Returns!$O94=1,Returns!G94,"")</f>
        <v/>
      </c>
      <c r="Q94" s="26" t="str">
        <f aca="false">IF(Returns!$O94=1,Returns!H94,"")</f>
        <v/>
      </c>
      <c r="R94" s="26" t="str">
        <f aca="false">IF(Returns!$O94=1,Returns!I94,"")</f>
        <v/>
      </c>
      <c r="S94" s="26" t="str">
        <f aca="false">IF(Returns!$O94=1,Returns!J94,"")</f>
        <v/>
      </c>
      <c r="T94" s="26" t="n">
        <f aca="false">IF(Returns!$O94=1,"",Returns!K94)</f>
        <v>0.0110469104159519</v>
      </c>
    </row>
    <row r="95" customFormat="false" ht="15" hidden="false" customHeight="false" outlineLevel="0" collapsed="false">
      <c r="A95" s="25" t="n">
        <f aca="false">Returns!A95</f>
        <v>43845</v>
      </c>
      <c r="B95" s="26" t="n">
        <f aca="false">IF(Returns!$O95=1,"",Returns!B95)</f>
        <v>-0.00507936507936513</v>
      </c>
      <c r="C95" s="26" t="n">
        <f aca="false">IF(Returns!$O95=1,"",Returns!C95)</f>
        <v>-0.0268757004899374</v>
      </c>
      <c r="D95" s="26" t="n">
        <f aca="false">IF(Returns!$O95=1,"",Returns!D95)</f>
        <v>-0.0119502868068834</v>
      </c>
      <c r="E95" s="26" t="n">
        <f aca="false">IF(Returns!$O95=1,"",Returns!E95)</f>
        <v>0.000207427381588632</v>
      </c>
      <c r="F95" s="26" t="n">
        <f aca="false">IF(Returns!$O95=1,"",Returns!F95)</f>
        <v>-0.0132759593370664</v>
      </c>
      <c r="G95" s="26" t="n">
        <f aca="false">IF(Returns!$O95=1,"",Returns!G95)</f>
        <v>-0.000882323529411644</v>
      </c>
      <c r="H95" s="26" t="n">
        <f aca="false">IF(Returns!$O95=1,"",Returns!H95)</f>
        <v>-0.0150000333333333</v>
      </c>
      <c r="I95" s="26" t="n">
        <f aca="false">IF(Returns!$O95=1,"",Returns!I95)</f>
        <v>0.00946369933564717</v>
      </c>
      <c r="J95" s="26" t="n">
        <f aca="false">IF(Returns!$O95=1,"",Returns!J95)</f>
        <v>-0.00323508273247808</v>
      </c>
      <c r="K95" s="26" t="str">
        <f aca="false">IF(Returns!$O95=1,Returns!B95,"")</f>
        <v/>
      </c>
      <c r="L95" s="26" t="str">
        <f aca="false">IF(Returns!$O95=1,Returns!C95,"")</f>
        <v/>
      </c>
      <c r="M95" s="26" t="str">
        <f aca="false">IF(Returns!$O95=1,Returns!D95,"")</f>
        <v/>
      </c>
      <c r="N95" s="26" t="str">
        <f aca="false">IF(Returns!$O95=1,Returns!E95,"")</f>
        <v/>
      </c>
      <c r="O95" s="26" t="str">
        <f aca="false">IF(Returns!$O95=1,Returns!F95,"")</f>
        <v/>
      </c>
      <c r="P95" s="26" t="str">
        <f aca="false">IF(Returns!$O95=1,Returns!G95,"")</f>
        <v/>
      </c>
      <c r="Q95" s="26" t="str">
        <f aca="false">IF(Returns!$O95=1,Returns!H95,"")</f>
        <v/>
      </c>
      <c r="R95" s="26" t="str">
        <f aca="false">IF(Returns!$O95=1,Returns!I95,"")</f>
        <v/>
      </c>
      <c r="S95" s="26" t="str">
        <f aca="false">IF(Returns!$O95=1,Returns!J95,"")</f>
        <v/>
      </c>
      <c r="T95" s="26" t="n">
        <f aca="false">IF(Returns!$O95=1,"",Returns!K95)</f>
        <v>-0.00740306939902661</v>
      </c>
    </row>
    <row r="96" customFormat="false" ht="15" hidden="false" customHeight="false" outlineLevel="0" collapsed="false">
      <c r="A96" s="25" t="n">
        <f aca="false">Returns!A96</f>
        <v>43846</v>
      </c>
      <c r="B96" s="26" t="n">
        <f aca="false">IF(Returns!$O96=1,"",Returns!B96)</f>
        <v>-0.0028717294192725</v>
      </c>
      <c r="C96" s="26" t="n">
        <f aca="false">IF(Returns!$O96=1,"",Returns!C96)</f>
        <v>0.0115075031417147</v>
      </c>
      <c r="D96" s="26" t="n">
        <f aca="false">IF(Returns!$O96=1,"",Returns!D96)</f>
        <v>-0.00145142718916313</v>
      </c>
      <c r="E96" s="26" t="n">
        <f aca="false">IF(Returns!$O96=1,"",Returns!E96)</f>
        <v>0.0194980920866643</v>
      </c>
      <c r="F96" s="26" t="n">
        <f aca="false">IF(Returns!$O96=1,"",Returns!F96)</f>
        <v>0.0127272727272727</v>
      </c>
      <c r="G96" s="26" t="n">
        <f aca="false">IF(Returns!$O96=1,"",Returns!G96)</f>
        <v>0.00529882233444723</v>
      </c>
      <c r="H96" s="26" t="n">
        <f aca="false">IF(Returns!$O96=1,"",Returns!H96)</f>
        <v>-0.00101519461980359</v>
      </c>
      <c r="I96" s="26" t="n">
        <f aca="false">IF(Returns!$O96=1,"",Returns!I96)</f>
        <v>-0.00984371948447382</v>
      </c>
      <c r="J96" s="26" t="n">
        <f aca="false">IF(Returns!$O96=1,"",Returns!J96)</f>
        <v>-0.00522901199475323</v>
      </c>
      <c r="K96" s="26" t="str">
        <f aca="false">IF(Returns!$O96=1,Returns!B96,"")</f>
        <v/>
      </c>
      <c r="L96" s="26" t="str">
        <f aca="false">IF(Returns!$O96=1,Returns!C96,"")</f>
        <v/>
      </c>
      <c r="M96" s="26" t="str">
        <f aca="false">IF(Returns!$O96=1,Returns!D96,"")</f>
        <v/>
      </c>
      <c r="N96" s="26" t="str">
        <f aca="false">IF(Returns!$O96=1,Returns!E96,"")</f>
        <v/>
      </c>
      <c r="O96" s="26" t="str">
        <f aca="false">IF(Returns!$O96=1,Returns!F96,"")</f>
        <v/>
      </c>
      <c r="P96" s="26" t="str">
        <f aca="false">IF(Returns!$O96=1,Returns!G96,"")</f>
        <v/>
      </c>
      <c r="Q96" s="26" t="str">
        <f aca="false">IF(Returns!$O96=1,Returns!H96,"")</f>
        <v/>
      </c>
      <c r="R96" s="26" t="str">
        <f aca="false">IF(Returns!$O96=1,Returns!I96,"")</f>
        <v/>
      </c>
      <c r="S96" s="26" t="str">
        <f aca="false">IF(Returns!$O96=1,Returns!J96,"")</f>
        <v/>
      </c>
      <c r="T96" s="26" t="n">
        <f aca="false">IF(Returns!$O96=1,"",Returns!K96)</f>
        <v>0.0031800675091814</v>
      </c>
    </row>
    <row r="97" customFormat="false" ht="15" hidden="false" customHeight="false" outlineLevel="0" collapsed="false">
      <c r="A97" s="25" t="n">
        <f aca="false">Returns!A97</f>
        <v>43847</v>
      </c>
      <c r="B97" s="26" t="n">
        <f aca="false">IF(Returns!$O97=1,"",Returns!B97)</f>
        <v>0.00512000000000001</v>
      </c>
      <c r="C97" s="26" t="n">
        <f aca="false">IF(Returns!$O97=1,"",Returns!C97)</f>
        <v>0.0316268259385666</v>
      </c>
      <c r="D97" s="26" t="n">
        <f aca="false">IF(Returns!$O97=1,"",Returns!D97)</f>
        <v>0.0048450099246613</v>
      </c>
      <c r="E97" s="26" t="n">
        <f aca="false">IF(Returns!$O97=1,"",Returns!E97)</f>
        <v>0.00691759890467547</v>
      </c>
      <c r="F97" s="26" t="n">
        <f aca="false">IF(Returns!$O97=1,"",Returns!F97)</f>
        <v>0.0172351885098743</v>
      </c>
      <c r="G97" s="26" t="n">
        <f aca="false">IF(Returns!$O97=1,"",Returns!G97)</f>
        <v>0.0120058265296734</v>
      </c>
      <c r="H97" s="26" t="n">
        <f aca="false">IF(Returns!$O97=1,"",Returns!H97)</f>
        <v>0.0111788617886179</v>
      </c>
      <c r="I97" s="26" t="n">
        <f aca="false">IF(Returns!$O97=1,"",Returns!I97)</f>
        <v>0.0190941823926929</v>
      </c>
      <c r="J97" s="26" t="n">
        <f aca="false">IF(Returns!$O97=1,"",Returns!J97)</f>
        <v>0.0331702386503621</v>
      </c>
      <c r="K97" s="26" t="str">
        <f aca="false">IF(Returns!$O97=1,Returns!B97,"")</f>
        <v/>
      </c>
      <c r="L97" s="26" t="str">
        <f aca="false">IF(Returns!$O97=1,Returns!C97,"")</f>
        <v/>
      </c>
      <c r="M97" s="26" t="str">
        <f aca="false">IF(Returns!$O97=1,Returns!D97,"")</f>
        <v/>
      </c>
      <c r="N97" s="26" t="str">
        <f aca="false">IF(Returns!$O97=1,Returns!E97,"")</f>
        <v/>
      </c>
      <c r="O97" s="26" t="str">
        <f aca="false">IF(Returns!$O97=1,Returns!F97,"")</f>
        <v/>
      </c>
      <c r="P97" s="26" t="str">
        <f aca="false">IF(Returns!$O97=1,Returns!G97,"")</f>
        <v/>
      </c>
      <c r="Q97" s="26" t="str">
        <f aca="false">IF(Returns!$O97=1,Returns!H97,"")</f>
        <v/>
      </c>
      <c r="R97" s="26" t="str">
        <f aca="false">IF(Returns!$O97=1,Returns!I97,"")</f>
        <v/>
      </c>
      <c r="S97" s="26" t="str">
        <f aca="false">IF(Returns!$O97=1,Returns!J97,"")</f>
        <v/>
      </c>
      <c r="T97" s="26" t="n">
        <f aca="false">IF(Returns!$O97=1,"",Returns!K97)</f>
        <v>0.0156881925154582</v>
      </c>
    </row>
    <row r="98" customFormat="false" ht="15" hidden="false" customHeight="false" outlineLevel="0" collapsed="false">
      <c r="A98" s="25" t="n">
        <f aca="false">Returns!A98</f>
        <v>43850</v>
      </c>
      <c r="B98" s="26" t="n">
        <f aca="false">IF(Returns!$O98=1,"",Returns!B98)</f>
        <v>0.00588982808022931</v>
      </c>
      <c r="C98" s="26" t="n">
        <f aca="false">IF(Returns!$O98=1,"",Returns!C98)</f>
        <v>0.00352887083213194</v>
      </c>
      <c r="D98" s="26" t="n">
        <f aca="false">IF(Returns!$O98=1,"",Returns!D98)</f>
        <v>0.00626812921890063</v>
      </c>
      <c r="E98" s="26" t="n">
        <f aca="false">IF(Returns!$O98=1,"",Returns!E98)</f>
        <v>0.00222259033248773</v>
      </c>
      <c r="F98" s="26" t="n">
        <f aca="false">IF(Returns!$O98=1,"",Returns!F98)</f>
        <v>0.024002823861631</v>
      </c>
      <c r="G98" s="26" t="n">
        <f aca="false">IF(Returns!$O98=1,"",Returns!G98)</f>
        <v>-0.00231484368301971</v>
      </c>
      <c r="H98" s="26" t="n">
        <f aca="false">IF(Returns!$O98=1,"",Returns!H98)</f>
        <v>0.00502512562814061</v>
      </c>
      <c r="I98" s="26" t="n">
        <f aca="false">IF(Returns!$O98=1,"",Returns!I98)</f>
        <v>0.0232270327244235</v>
      </c>
      <c r="J98" s="26" t="n">
        <f aca="false">IF(Returns!$O98=1,"",Returns!J98)</f>
        <v>0.00631580701754375</v>
      </c>
      <c r="K98" s="26" t="str">
        <f aca="false">IF(Returns!$O98=1,Returns!B98,"")</f>
        <v/>
      </c>
      <c r="L98" s="26" t="str">
        <f aca="false">IF(Returns!$O98=1,Returns!C98,"")</f>
        <v/>
      </c>
      <c r="M98" s="26" t="str">
        <f aca="false">IF(Returns!$O98=1,Returns!D98,"")</f>
        <v/>
      </c>
      <c r="N98" s="26" t="str">
        <f aca="false">IF(Returns!$O98=1,Returns!E98,"")</f>
        <v/>
      </c>
      <c r="O98" s="26" t="str">
        <f aca="false">IF(Returns!$O98=1,Returns!F98,"")</f>
        <v/>
      </c>
      <c r="P98" s="26" t="str">
        <f aca="false">IF(Returns!$O98=1,Returns!G98,"")</f>
        <v/>
      </c>
      <c r="Q98" s="26" t="str">
        <f aca="false">IF(Returns!$O98=1,Returns!H98,"")</f>
        <v/>
      </c>
      <c r="R98" s="26" t="str">
        <f aca="false">IF(Returns!$O98=1,Returns!I98,"")</f>
        <v/>
      </c>
      <c r="S98" s="26" t="str">
        <f aca="false">IF(Returns!$O98=1,Returns!J98,"")</f>
        <v/>
      </c>
      <c r="T98" s="26" t="n">
        <f aca="false">IF(Returns!$O98=1,"",Returns!K98)</f>
        <v>0.00824059600138542</v>
      </c>
    </row>
    <row r="99" customFormat="false" ht="15" hidden="false" customHeight="false" outlineLevel="0" collapsed="false">
      <c r="A99" s="25" t="n">
        <f aca="false">Returns!A99</f>
        <v>43851</v>
      </c>
      <c r="B99" s="26" t="n">
        <f aca="false">IF(Returns!$O99=1,"",Returns!B99)</f>
        <v>0.0449438209359681</v>
      </c>
      <c r="C99" s="26" t="n">
        <f aca="false">IF(Returns!$O99=1,"",Returns!C99)</f>
        <v>-0.0175823743992252</v>
      </c>
      <c r="D99" s="26" t="n">
        <f aca="false">IF(Returns!$O99=1,"",Returns!D99)</f>
        <v>-0.000479156661276514</v>
      </c>
      <c r="E99" s="26" t="n">
        <f aca="false">IF(Returns!$O99=1,"",Returns!E99)</f>
        <v>-0.008064455970341</v>
      </c>
      <c r="F99" s="26" t="n">
        <f aca="false">IF(Returns!$O99=1,"",Returns!F99)</f>
        <v>0</v>
      </c>
      <c r="G99" s="26" t="n">
        <f aca="false">IF(Returns!$O99=1,"",Returns!G99)</f>
        <v>-0.00667053364269132</v>
      </c>
      <c r="H99" s="26" t="n">
        <f aca="false">IF(Returns!$O99=1,"",Returns!H99)</f>
        <v>-0.0126666333333334</v>
      </c>
      <c r="I99" s="26" t="n">
        <f aca="false">IF(Returns!$O99=1,"",Returns!I99)</f>
        <v>0.00105927693313146</v>
      </c>
      <c r="J99" s="26" t="n">
        <f aca="false">IF(Returns!$O99=1,"",Returns!J99)</f>
        <v>-0.0231869242819573</v>
      </c>
      <c r="K99" s="26" t="str">
        <f aca="false">IF(Returns!$O99=1,Returns!B99,"")</f>
        <v/>
      </c>
      <c r="L99" s="26" t="str">
        <f aca="false">IF(Returns!$O99=1,Returns!C99,"")</f>
        <v/>
      </c>
      <c r="M99" s="26" t="str">
        <f aca="false">IF(Returns!$O99=1,Returns!D99,"")</f>
        <v/>
      </c>
      <c r="N99" s="26" t="str">
        <f aca="false">IF(Returns!$O99=1,Returns!E99,"")</f>
        <v/>
      </c>
      <c r="O99" s="26" t="str">
        <f aca="false">IF(Returns!$O99=1,Returns!F99,"")</f>
        <v/>
      </c>
      <c r="P99" s="26" t="str">
        <f aca="false">IF(Returns!$O99=1,Returns!G99,"")</f>
        <v/>
      </c>
      <c r="Q99" s="26" t="str">
        <f aca="false">IF(Returns!$O99=1,Returns!H99,"")</f>
        <v/>
      </c>
      <c r="R99" s="26" t="str">
        <f aca="false">IF(Returns!$O99=1,Returns!I99,"")</f>
        <v/>
      </c>
      <c r="S99" s="26" t="str">
        <f aca="false">IF(Returns!$O99=1,Returns!J99,"")</f>
        <v/>
      </c>
      <c r="T99" s="26" t="n">
        <f aca="false">IF(Returns!$O99=1,"",Returns!K99)</f>
        <v>-0.00251633115774725</v>
      </c>
    </row>
    <row r="100" customFormat="false" ht="15" hidden="false" customHeight="false" outlineLevel="0" collapsed="false">
      <c r="A100" s="25" t="n">
        <f aca="false">Returns!A100</f>
        <v>43852</v>
      </c>
      <c r="B100" s="26" t="n">
        <f aca="false">IF(Returns!$O100=1,"",Returns!B100)</f>
        <v>-0.0199909135240182</v>
      </c>
      <c r="C100" s="26" t="n">
        <f aca="false">IF(Returns!$O100=1,"",Returns!C100)</f>
        <v>0.0626397986577181</v>
      </c>
      <c r="D100" s="26" t="n">
        <f aca="false">IF(Returns!$O100=1,"",Returns!D100)</f>
        <v>0.0273249747207587</v>
      </c>
      <c r="E100" s="26" t="n">
        <f aca="false">IF(Returns!$O100=1,"",Returns!E100)</f>
        <v>0.0128048981137217</v>
      </c>
      <c r="F100" s="26" t="n">
        <f aca="false">IF(Returns!$O100=1,"",Returns!F100)</f>
        <v>-0.0168907273354016</v>
      </c>
      <c r="G100" s="26" t="n">
        <f aca="false">IF(Returns!$O100=1,"",Returns!G100)</f>
        <v>0.0140145985401459</v>
      </c>
      <c r="H100" s="26" t="n">
        <f aca="false">IF(Returns!$O100=1,"",Returns!H100)</f>
        <v>-0.0111411204881458</v>
      </c>
      <c r="I100" s="26" t="n">
        <f aca="false">IF(Returns!$O100=1,"",Returns!I100)</f>
        <v>0.0110355249582932</v>
      </c>
      <c r="J100" s="26" t="n">
        <f aca="false">IF(Returns!$O100=1,"",Returns!J100)</f>
        <v>0.00481884713223013</v>
      </c>
      <c r="K100" s="26" t="str">
        <f aca="false">IF(Returns!$O100=1,Returns!B100,"")</f>
        <v/>
      </c>
      <c r="L100" s="26" t="str">
        <f aca="false">IF(Returns!$O100=1,Returns!C100,"")</f>
        <v/>
      </c>
      <c r="M100" s="26" t="str">
        <f aca="false">IF(Returns!$O100=1,Returns!D100,"")</f>
        <v/>
      </c>
      <c r="N100" s="26" t="str">
        <f aca="false">IF(Returns!$O100=1,Returns!E100,"")</f>
        <v/>
      </c>
      <c r="O100" s="26" t="str">
        <f aca="false">IF(Returns!$O100=1,Returns!F100,"")</f>
        <v/>
      </c>
      <c r="P100" s="26" t="str">
        <f aca="false">IF(Returns!$O100=1,Returns!G100,"")</f>
        <v/>
      </c>
      <c r="Q100" s="26" t="str">
        <f aca="false">IF(Returns!$O100=1,Returns!H100,"")</f>
        <v/>
      </c>
      <c r="R100" s="26" t="str">
        <f aca="false">IF(Returns!$O100=1,Returns!I100,"")</f>
        <v/>
      </c>
      <c r="S100" s="26" t="str">
        <f aca="false">IF(Returns!$O100=1,Returns!J100,"")</f>
        <v/>
      </c>
      <c r="T100" s="26" t="n">
        <f aca="false">IF(Returns!$O100=1,"",Returns!K100)</f>
        <v>0.00940176453058911</v>
      </c>
    </row>
    <row r="101" customFormat="false" ht="15" hidden="false" customHeight="false" outlineLevel="0" collapsed="false">
      <c r="A101" s="25" t="n">
        <f aca="false">Returns!A101</f>
        <v>43853</v>
      </c>
      <c r="B101" s="26" t="n">
        <f aca="false">IF(Returns!$O101=1,"",Returns!B101)</f>
        <v>-0.0156080670005883</v>
      </c>
      <c r="C101" s="26" t="n">
        <f aca="false">IF(Returns!$O101=1,"",Returns!C101)</f>
        <v>0.0252632215844888</v>
      </c>
      <c r="D101" s="26" t="n">
        <f aca="false">IF(Returns!$O101=1,"",Returns!D101)</f>
        <v>0.0186654223051796</v>
      </c>
      <c r="E101" s="26" t="n">
        <f aca="false">IF(Returns!$O101=1,"",Returns!E101)</f>
        <v>0.0383303215600914</v>
      </c>
      <c r="F101" s="26" t="n">
        <f aca="false">IF(Returns!$O101=1,"",Returns!F101)</f>
        <v>0.0189340462833101</v>
      </c>
      <c r="G101" s="26" t="n">
        <f aca="false">IF(Returns!$O101=1,"",Returns!G101)</f>
        <v>0.0227469046933488</v>
      </c>
      <c r="H101" s="26" t="n">
        <f aca="false">IF(Returns!$O101=1,"",Returns!H101)</f>
        <v>0.0122908496998686</v>
      </c>
      <c r="I101" s="26" t="n">
        <f aca="false">IF(Returns!$O101=1,"",Returns!I101)</f>
        <v>0.0020932931795048</v>
      </c>
      <c r="J101" s="26" t="n">
        <f aca="false">IF(Returns!$O101=1,"",Returns!J101)</f>
        <v>-0.0142095739646461</v>
      </c>
      <c r="K101" s="26" t="str">
        <f aca="false">IF(Returns!$O101=1,Returns!B101,"")</f>
        <v/>
      </c>
      <c r="L101" s="26" t="str">
        <f aca="false">IF(Returns!$O101=1,Returns!C101,"")</f>
        <v/>
      </c>
      <c r="M101" s="26" t="str">
        <f aca="false">IF(Returns!$O101=1,Returns!D101,"")</f>
        <v/>
      </c>
      <c r="N101" s="26" t="str">
        <f aca="false">IF(Returns!$O101=1,Returns!E101,"")</f>
        <v/>
      </c>
      <c r="O101" s="26" t="str">
        <f aca="false">IF(Returns!$O101=1,Returns!F101,"")</f>
        <v/>
      </c>
      <c r="P101" s="26" t="str">
        <f aca="false">IF(Returns!$O101=1,Returns!G101,"")</f>
        <v/>
      </c>
      <c r="Q101" s="26" t="str">
        <f aca="false">IF(Returns!$O101=1,Returns!H101,"")</f>
        <v/>
      </c>
      <c r="R101" s="26" t="str">
        <f aca="false">IF(Returns!$O101=1,Returns!I101,"")</f>
        <v/>
      </c>
      <c r="S101" s="26" t="str">
        <f aca="false">IF(Returns!$O101=1,Returns!J101,"")</f>
        <v/>
      </c>
      <c r="T101" s="26" t="n">
        <f aca="false">IF(Returns!$O101=1,"",Returns!K101)</f>
        <v>0.0120562687045064</v>
      </c>
    </row>
    <row r="102" customFormat="false" ht="15" hidden="false" customHeight="false" outlineLevel="0" collapsed="false">
      <c r="A102" s="25" t="n">
        <f aca="false">Returns!A102</f>
        <v>43854</v>
      </c>
      <c r="B102" s="26" t="n">
        <f aca="false">IF(Returns!$O102=1,"",Returns!B102)</f>
        <v>0.00141287281926417</v>
      </c>
      <c r="C102" s="26" t="n">
        <f aca="false">IF(Returns!$O102=1,"",Returns!C102)</f>
        <v>0.00595478414970074</v>
      </c>
      <c r="D102" s="26" t="n">
        <f aca="false">IF(Returns!$O102=1,"",Returns!D102)</f>
        <v>-0.00732936326156652</v>
      </c>
      <c r="E102" s="26" t="n">
        <f aca="false">IF(Returns!$O102=1,"",Returns!E102)</f>
        <v>-0.00637808247475524</v>
      </c>
      <c r="F102" s="26" t="n">
        <f aca="false">IF(Returns!$O102=1,"",Returns!F102)</f>
        <v>-0.00378520315847231</v>
      </c>
      <c r="G102" s="26" t="n">
        <f aca="false">IF(Returns!$O102=1,"",Returns!G102)</f>
        <v>-0.0109797015765767</v>
      </c>
      <c r="H102" s="26" t="n">
        <f aca="false">IF(Returns!$O102=1,"",Returns!H102)</f>
        <v>-0.0118044182124789</v>
      </c>
      <c r="I102" s="26" t="n">
        <f aca="false">IF(Returns!$O102=1,"",Returns!I102)</f>
        <v>-0.0094001339942339</v>
      </c>
      <c r="J102" s="26" t="n">
        <f aca="false">IF(Returns!$O102=1,"",Returns!J102)</f>
        <v>-0.0306306486486486</v>
      </c>
      <c r="K102" s="26" t="str">
        <f aca="false">IF(Returns!$O102=1,Returns!B102,"")</f>
        <v/>
      </c>
      <c r="L102" s="26" t="str">
        <f aca="false">IF(Returns!$O102=1,Returns!C102,"")</f>
        <v/>
      </c>
      <c r="M102" s="26" t="str">
        <f aca="false">IF(Returns!$O102=1,Returns!D102,"")</f>
        <v/>
      </c>
      <c r="N102" s="26" t="str">
        <f aca="false">IF(Returns!$O102=1,Returns!E102,"")</f>
        <v/>
      </c>
      <c r="O102" s="26" t="str">
        <f aca="false">IF(Returns!$O102=1,Returns!F102,"")</f>
        <v/>
      </c>
      <c r="P102" s="26" t="str">
        <f aca="false">IF(Returns!$O102=1,Returns!G102,"")</f>
        <v/>
      </c>
      <c r="Q102" s="26" t="str">
        <f aca="false">IF(Returns!$O102=1,Returns!H102,"")</f>
        <v/>
      </c>
      <c r="R102" s="26" t="str">
        <f aca="false">IF(Returns!$O102=1,Returns!I102,"")</f>
        <v/>
      </c>
      <c r="S102" s="26" t="str">
        <f aca="false">IF(Returns!$O102=1,Returns!J102,"")</f>
        <v/>
      </c>
      <c r="T102" s="26" t="n">
        <f aca="false">IF(Returns!$O102=1,"",Returns!K102)</f>
        <v>-0.00810443270641859</v>
      </c>
    </row>
    <row r="103" customFormat="false" ht="15" hidden="false" customHeight="false" outlineLevel="0" collapsed="false">
      <c r="A103" s="25" t="n">
        <f aca="false">Returns!A103</f>
        <v>43857</v>
      </c>
      <c r="B103" s="26" t="n">
        <f aca="false">IF(Returns!$O103=1,"",Returns!B103)</f>
        <v>-0.0172441132270871</v>
      </c>
      <c r="C103" s="26" t="n">
        <f aca="false">IF(Returns!$O103=1,"",Returns!C103)</f>
        <v>-0.0273525413349662</v>
      </c>
      <c r="D103" s="26" t="n">
        <f aca="false">IF(Returns!$O103=1,"",Returns!D103)</f>
        <v>-0.031841255191509</v>
      </c>
      <c r="E103" s="26" t="n">
        <f aca="false">IF(Returns!$O103=1,"",Returns!E103)</f>
        <v>0.000583524606107888</v>
      </c>
      <c r="F103" s="26" t="n">
        <f aca="false">IF(Returns!$O103=1,"",Returns!F103)</f>
        <v>-0.0252159576782052</v>
      </c>
      <c r="G103" s="26" t="n">
        <f aca="false">IF(Returns!$O103=1,"",Returns!G103)</f>
        <v>-0.0298889544580429</v>
      </c>
      <c r="H103" s="26" t="n">
        <f aca="false">IF(Returns!$O103=1,"",Returns!H103)</f>
        <v>-0.0433446431175647</v>
      </c>
      <c r="I103" s="26" t="n">
        <f aca="false">IF(Returns!$O103=1,"",Returns!I103)</f>
        <v>-0.0363006275439018</v>
      </c>
      <c r="J103" s="26" t="n">
        <f aca="false">IF(Returns!$O103=1,"",Returns!J103)</f>
        <v>-0.0611524360809003</v>
      </c>
      <c r="K103" s="26" t="str">
        <f aca="false">IF(Returns!$O103=1,Returns!B103,"")</f>
        <v/>
      </c>
      <c r="L103" s="26" t="str">
        <f aca="false">IF(Returns!$O103=1,Returns!C103,"")</f>
        <v/>
      </c>
      <c r="M103" s="26" t="str">
        <f aca="false">IF(Returns!$O103=1,Returns!D103,"")</f>
        <v/>
      </c>
      <c r="N103" s="26" t="str">
        <f aca="false">IF(Returns!$O103=1,Returns!E103,"")</f>
        <v/>
      </c>
      <c r="O103" s="26" t="str">
        <f aca="false">IF(Returns!$O103=1,Returns!F103,"")</f>
        <v/>
      </c>
      <c r="P103" s="26" t="str">
        <f aca="false">IF(Returns!$O103=1,Returns!G103,"")</f>
        <v/>
      </c>
      <c r="Q103" s="26" t="str">
        <f aca="false">IF(Returns!$O103=1,Returns!H103,"")</f>
        <v/>
      </c>
      <c r="R103" s="26" t="str">
        <f aca="false">IF(Returns!$O103=1,Returns!I103,"")</f>
        <v/>
      </c>
      <c r="S103" s="26" t="str">
        <f aca="false">IF(Returns!$O103=1,Returns!J103,"")</f>
        <v/>
      </c>
      <c r="T103" s="26" t="n">
        <f aca="false">IF(Returns!$O103=1,"",Returns!K103)</f>
        <v>-0.0301952226695633</v>
      </c>
    </row>
    <row r="104" customFormat="false" ht="15" hidden="false" customHeight="false" outlineLevel="0" collapsed="false">
      <c r="A104" s="25" t="n">
        <f aca="false">Returns!A104</f>
        <v>43858</v>
      </c>
      <c r="B104" s="26" t="n">
        <f aca="false">IF(Returns!$O104=1,"",Returns!B104)</f>
        <v>0.0151539322883065</v>
      </c>
      <c r="C104" s="26" t="n">
        <f aca="false">IF(Returns!$O104=1,"",Returns!C104)</f>
        <v>0.0300105777546815</v>
      </c>
      <c r="D104" s="26" t="n">
        <f aca="false">IF(Returns!$O104=1,"",Returns!D104)</f>
        <v>-0.0057196854146806</v>
      </c>
      <c r="E104" s="26" t="n">
        <f aca="false">IF(Returns!$O104=1,"",Returns!E104)</f>
        <v>0.028382640520658</v>
      </c>
      <c r="F104" s="26" t="n">
        <f aca="false">IF(Returns!$O104=1,"",Returns!F104)</f>
        <v>0.00885896558678123</v>
      </c>
      <c r="G104" s="26" t="n">
        <f aca="false">IF(Returns!$O104=1,"",Returns!G104)</f>
        <v>0.0167253511311414</v>
      </c>
      <c r="H104" s="26" t="n">
        <f aca="false">IF(Returns!$O104=1,"",Returns!H104)</f>
        <v>0.027470494917214</v>
      </c>
      <c r="I104" s="26" t="n">
        <f aca="false">IF(Returns!$O104=1,"",Returns!I104)</f>
        <v>0.00828377780457856</v>
      </c>
      <c r="J104" s="26" t="n">
        <f aca="false">IF(Returns!$O104=1,"",Returns!J104)</f>
        <v>0.0136607211902879</v>
      </c>
      <c r="K104" s="26" t="str">
        <f aca="false">IF(Returns!$O104=1,Returns!B104,"")</f>
        <v/>
      </c>
      <c r="L104" s="26" t="str">
        <f aca="false">IF(Returns!$O104=1,Returns!C104,"")</f>
        <v/>
      </c>
      <c r="M104" s="26" t="str">
        <f aca="false">IF(Returns!$O104=1,Returns!D104,"")</f>
        <v/>
      </c>
      <c r="N104" s="26" t="str">
        <f aca="false">IF(Returns!$O104=1,Returns!E104,"")</f>
        <v/>
      </c>
      <c r="O104" s="26" t="str">
        <f aca="false">IF(Returns!$O104=1,Returns!F104,"")</f>
        <v/>
      </c>
      <c r="P104" s="26" t="str">
        <f aca="false">IF(Returns!$O104=1,Returns!G104,"")</f>
        <v/>
      </c>
      <c r="Q104" s="26" t="str">
        <f aca="false">IF(Returns!$O104=1,Returns!H104,"")</f>
        <v/>
      </c>
      <c r="R104" s="26" t="str">
        <f aca="false">IF(Returns!$O104=1,Returns!I104,"")</f>
        <v/>
      </c>
      <c r="S104" s="26" t="str">
        <f aca="false">IF(Returns!$O104=1,Returns!J104,"")</f>
        <v/>
      </c>
      <c r="T104" s="26" t="n">
        <f aca="false">IF(Returns!$O104=1,"",Returns!K104)</f>
        <v>0.0158696417532187</v>
      </c>
    </row>
    <row r="105" customFormat="false" ht="15" hidden="false" customHeight="false" outlineLevel="0" collapsed="false">
      <c r="A105" s="25" t="n">
        <f aca="false">Returns!A105</f>
        <v>43859</v>
      </c>
      <c r="B105" s="26" t="n">
        <f aca="false">IF(Returns!$O105=1,"",Returns!B105)</f>
        <v>0.00942801711860497</v>
      </c>
      <c r="C105" s="26" t="n">
        <f aca="false">IF(Returns!$O105=1,"",Returns!C105)</f>
        <v>-0.00977995050244807</v>
      </c>
      <c r="D105" s="26" t="n">
        <f aca="false">IF(Returns!$O105=1,"",Returns!D105)</f>
        <v>0.0095876313716381</v>
      </c>
      <c r="E105" s="26" t="n">
        <f aca="false">IF(Returns!$O105=1,"",Returns!E105)</f>
        <v>0.0255198099992511</v>
      </c>
      <c r="F105" s="26" t="n">
        <f aca="false">IF(Returns!$O105=1,"",Returns!F105)</f>
        <v>-0.00245869344779404</v>
      </c>
      <c r="G105" s="26" t="n">
        <f aca="false">IF(Returns!$O105=1,"",Returns!G105)</f>
        <v>0.0109667237537243</v>
      </c>
      <c r="H105" s="26" t="n">
        <f aca="false">IF(Returns!$O105=1,"",Returns!H105)</f>
        <v>0.00173614589361626</v>
      </c>
      <c r="I105" s="26" t="n">
        <f aca="false">IF(Returns!$O105=1,"",Returns!I105)</f>
        <v>-0.00790573543565876</v>
      </c>
      <c r="J105" s="26" t="n">
        <f aca="false">IF(Returns!$O105=1,"",Returns!J105)</f>
        <v>-0.00878908185958827</v>
      </c>
      <c r="K105" s="26" t="str">
        <f aca="false">IF(Returns!$O105=1,Returns!B105,"")</f>
        <v/>
      </c>
      <c r="L105" s="26" t="str">
        <f aca="false">IF(Returns!$O105=1,Returns!C105,"")</f>
        <v/>
      </c>
      <c r="M105" s="26" t="str">
        <f aca="false">IF(Returns!$O105=1,Returns!D105,"")</f>
        <v/>
      </c>
      <c r="N105" s="26" t="str">
        <f aca="false">IF(Returns!$O105=1,Returns!E105,"")</f>
        <v/>
      </c>
      <c r="O105" s="26" t="str">
        <f aca="false">IF(Returns!$O105=1,Returns!F105,"")</f>
        <v/>
      </c>
      <c r="P105" s="26" t="str">
        <f aca="false">IF(Returns!$O105=1,Returns!G105,"")</f>
        <v/>
      </c>
      <c r="Q105" s="26" t="str">
        <f aca="false">IF(Returns!$O105=1,Returns!H105,"")</f>
        <v/>
      </c>
      <c r="R105" s="26" t="str">
        <f aca="false">IF(Returns!$O105=1,Returns!I105,"")</f>
        <v/>
      </c>
      <c r="S105" s="26" t="str">
        <f aca="false">IF(Returns!$O105=1,Returns!J105,"")</f>
        <v/>
      </c>
      <c r="T105" s="26" t="n">
        <f aca="false">IF(Returns!$O105=1,"",Returns!K105)</f>
        <v>0.00314498521014951</v>
      </c>
    </row>
    <row r="106" customFormat="false" ht="15" hidden="false" customHeight="false" outlineLevel="0" collapsed="false">
      <c r="A106" s="25" t="n">
        <f aca="false">Returns!A106</f>
        <v>43860</v>
      </c>
      <c r="B106" s="26" t="n">
        <f aca="false">IF(Returns!$O106=1,"",Returns!B106)</f>
        <v>-0.0217932447631769</v>
      </c>
      <c r="C106" s="26" t="n">
        <f aca="false">IF(Returns!$O106=1,"",Returns!C106)</f>
        <v>0.0041151232027703</v>
      </c>
      <c r="D106" s="26" t="n">
        <f aca="false">IF(Returns!$O106=1,"",Returns!D106)</f>
        <v>-0.0194681395758852</v>
      </c>
      <c r="E106" s="26" t="n">
        <f aca="false">IF(Returns!$O106=1,"",Returns!E106)</f>
        <v>-0.00774189861751151</v>
      </c>
      <c r="F106" s="26" t="n">
        <f aca="false">IF(Returns!$O106=1,"",Returns!F106)</f>
        <v>-0.0242958098591549</v>
      </c>
      <c r="G106" s="26" t="n">
        <f aca="false">IF(Returns!$O106=1,"",Returns!G106)</f>
        <v>-0.000570967758234731</v>
      </c>
      <c r="H106" s="26" t="n">
        <f aca="false">IF(Returns!$O106=1,"",Returns!H106)</f>
        <v>0.00311961871750421</v>
      </c>
      <c r="I106" s="26" t="n">
        <f aca="false">IF(Returns!$O106=1,"",Returns!I106)</f>
        <v>-0.0310937390878441</v>
      </c>
      <c r="J106" s="26" t="n">
        <f aca="false">IF(Returns!$O106=1,"",Returns!J106)</f>
        <v>0.0147783251231528</v>
      </c>
      <c r="K106" s="26" t="str">
        <f aca="false">IF(Returns!$O106=1,Returns!B106,"")</f>
        <v/>
      </c>
      <c r="L106" s="26" t="str">
        <f aca="false">IF(Returns!$O106=1,Returns!C106,"")</f>
        <v/>
      </c>
      <c r="M106" s="26" t="str">
        <f aca="false">IF(Returns!$O106=1,Returns!D106,"")</f>
        <v/>
      </c>
      <c r="N106" s="26" t="str">
        <f aca="false">IF(Returns!$O106=1,Returns!E106,"")</f>
        <v/>
      </c>
      <c r="O106" s="26" t="str">
        <f aca="false">IF(Returns!$O106=1,Returns!F106,"")</f>
        <v/>
      </c>
      <c r="P106" s="26" t="str">
        <f aca="false">IF(Returns!$O106=1,Returns!G106,"")</f>
        <v/>
      </c>
      <c r="Q106" s="26" t="str">
        <f aca="false">IF(Returns!$O106=1,Returns!H106,"")</f>
        <v/>
      </c>
      <c r="R106" s="26" t="str">
        <f aca="false">IF(Returns!$O106=1,Returns!I106,"")</f>
        <v/>
      </c>
      <c r="S106" s="26" t="str">
        <f aca="false">IF(Returns!$O106=1,Returns!J106,"")</f>
        <v/>
      </c>
      <c r="T106" s="26" t="n">
        <f aca="false">IF(Returns!$O106=1,"",Returns!K106)</f>
        <v>-0.00921674806870889</v>
      </c>
    </row>
    <row r="107" customFormat="false" ht="15" hidden="false" customHeight="false" outlineLevel="0" collapsed="false">
      <c r="A107" s="25" t="n">
        <f aca="false">Returns!A107</f>
        <v>43861</v>
      </c>
      <c r="B107" s="26" t="n">
        <f aca="false">IF(Returns!$O107=1,"",Returns!B107)</f>
        <v>-0.0404201304901337</v>
      </c>
      <c r="C107" s="26" t="n">
        <f aca="false">IF(Returns!$O107=1,"",Returns!C107)</f>
        <v>-0.0122950824711099</v>
      </c>
      <c r="D107" s="26" t="n">
        <f aca="false">IF(Returns!$O107=1,"",Returns!D107)</f>
        <v>0.0130750605326877</v>
      </c>
      <c r="E107" s="26" t="n">
        <f aca="false">IF(Returns!$O107=1,"",Returns!E107)</f>
        <v>-0.00371541877334503</v>
      </c>
      <c r="F107" s="26" t="n">
        <f aca="false">IF(Returns!$O107=1,"",Returns!F107)</f>
        <v>-0.00577408898499054</v>
      </c>
      <c r="G107" s="26" t="n">
        <f aca="false">IF(Returns!$O107=1,"",Returns!G107)</f>
        <v>-0.00942582173240925</v>
      </c>
      <c r="H107" s="26" t="n">
        <f aca="false">IF(Returns!$O107=1,"",Returns!H107)</f>
        <v>-0.0169315819995998</v>
      </c>
      <c r="I107" s="26" t="n">
        <f aca="false">IF(Returns!$O107=1,"",Returns!I107)</f>
        <v>0.0209643968575506</v>
      </c>
      <c r="J107" s="26" t="n">
        <f aca="false">IF(Returns!$O107=1,"",Returns!J107)</f>
        <v>-0.023883495145631</v>
      </c>
      <c r="K107" s="26" t="str">
        <f aca="false">IF(Returns!$O107=1,Returns!B107,"")</f>
        <v/>
      </c>
      <c r="L107" s="26" t="str">
        <f aca="false">IF(Returns!$O107=1,Returns!C107,"")</f>
        <v/>
      </c>
      <c r="M107" s="26" t="str">
        <f aca="false">IF(Returns!$O107=1,Returns!D107,"")</f>
        <v/>
      </c>
      <c r="N107" s="26" t="str">
        <f aca="false">IF(Returns!$O107=1,Returns!E107,"")</f>
        <v/>
      </c>
      <c r="O107" s="26" t="str">
        <f aca="false">IF(Returns!$O107=1,Returns!F107,"")</f>
        <v/>
      </c>
      <c r="P107" s="26" t="str">
        <f aca="false">IF(Returns!$O107=1,Returns!G107,"")</f>
        <v/>
      </c>
      <c r="Q107" s="26" t="str">
        <f aca="false">IF(Returns!$O107=1,Returns!H107,"")</f>
        <v/>
      </c>
      <c r="R107" s="26" t="str">
        <f aca="false">IF(Returns!$O107=1,Returns!I107,"")</f>
        <v/>
      </c>
      <c r="S107" s="26" t="str">
        <f aca="false">IF(Returns!$O107=1,Returns!J107,"")</f>
        <v/>
      </c>
      <c r="T107" s="26" t="n">
        <f aca="false">IF(Returns!$O107=1,"",Returns!K107)</f>
        <v>-0.00871179580077566</v>
      </c>
    </row>
    <row r="108" customFormat="false" ht="15" hidden="false" customHeight="false" outlineLevel="0" collapsed="false">
      <c r="A108" s="25" t="n">
        <f aca="false">Returns!A108</f>
        <v>43864</v>
      </c>
      <c r="B108" s="26" t="n">
        <f aca="false">IF(Returns!$O108=1,"",Returns!B108)</f>
        <v>0.018076285540237</v>
      </c>
      <c r="C108" s="26" t="n">
        <f aca="false">IF(Returns!$O108=1,"",Returns!C108)</f>
        <v>0.039211682124966</v>
      </c>
      <c r="D108" s="26" t="n">
        <f aca="false">IF(Returns!$O108=1,"",Returns!D108)</f>
        <v>-0.0176864722753347</v>
      </c>
      <c r="E108" s="26" t="n">
        <f aca="false">IF(Returns!$O108=1,"",Returns!E108)</f>
        <v>0.0154763748745781</v>
      </c>
      <c r="F108" s="26" t="n">
        <f aca="false">IF(Returns!$O108=1,"",Returns!F108)</f>
        <v>-0.00907441049271907</v>
      </c>
      <c r="G108" s="26" t="n">
        <f aca="false">IF(Returns!$O108=1,"",Returns!G108)</f>
        <v>0.0155709630911189</v>
      </c>
      <c r="H108" s="26" t="n">
        <f aca="false">IF(Returns!$O108=1,"",Returns!H108)</f>
        <v>-0.00949036873496068</v>
      </c>
      <c r="I108" s="26" t="n">
        <f aca="false">IF(Returns!$O108=1,"",Returns!I108)</f>
        <v>-0.00189548851786836</v>
      </c>
      <c r="J108" s="26" t="n">
        <f aca="false">IF(Returns!$O108=1,"",Returns!J108)</f>
        <v>0.0127312512432862</v>
      </c>
      <c r="K108" s="26" t="str">
        <f aca="false">IF(Returns!$O108=1,Returns!B108,"")</f>
        <v/>
      </c>
      <c r="L108" s="26" t="str">
        <f aca="false">IF(Returns!$O108=1,Returns!C108,"")</f>
        <v/>
      </c>
      <c r="M108" s="26" t="str">
        <f aca="false">IF(Returns!$O108=1,Returns!D108,"")</f>
        <v/>
      </c>
      <c r="N108" s="26" t="str">
        <f aca="false">IF(Returns!$O108=1,Returns!E108,"")</f>
        <v/>
      </c>
      <c r="O108" s="26" t="str">
        <f aca="false">IF(Returns!$O108=1,Returns!F108,"")</f>
        <v/>
      </c>
      <c r="P108" s="26" t="str">
        <f aca="false">IF(Returns!$O108=1,Returns!G108,"")</f>
        <v/>
      </c>
      <c r="Q108" s="26" t="str">
        <f aca="false">IF(Returns!$O108=1,Returns!H108,"")</f>
        <v/>
      </c>
      <c r="R108" s="26" t="str">
        <f aca="false">IF(Returns!$O108=1,Returns!I108,"")</f>
        <v/>
      </c>
      <c r="S108" s="26" t="str">
        <f aca="false">IF(Returns!$O108=1,Returns!J108,"")</f>
        <v/>
      </c>
      <c r="T108" s="26" t="n">
        <f aca="false">IF(Returns!$O108=1,"",Returns!K108)</f>
        <v>0.00699109076147815</v>
      </c>
    </row>
    <row r="109" customFormat="false" ht="15" hidden="false" customHeight="false" outlineLevel="0" collapsed="false">
      <c r="A109" s="25" t="n">
        <f aca="false">Returns!A109</f>
        <v>43865</v>
      </c>
      <c r="B109" s="26" t="n">
        <f aca="false">IF(Returns!$O109=1,"",Returns!B109)</f>
        <v>0.00993648818922432</v>
      </c>
      <c r="C109" s="26" t="n">
        <f aca="false">IF(Returns!$O109=1,"",Returns!C109)</f>
        <v>-0.0025953083929865</v>
      </c>
      <c r="D109" s="26" t="n">
        <f aca="false">IF(Returns!$O109=1,"",Returns!D109)</f>
        <v>0.0199513391703814</v>
      </c>
      <c r="E109" s="26" t="n">
        <f aca="false">IF(Returns!$O109=1,"",Returns!E109)</f>
        <v>0.00991555288129908</v>
      </c>
      <c r="F109" s="26" t="n">
        <f aca="false">IF(Returns!$O109=1,"",Returns!F109)</f>
        <v>0.018315018985898</v>
      </c>
      <c r="G109" s="26" t="n">
        <f aca="false">IF(Returns!$O109=1,"",Returns!G109)</f>
        <v>-0.00113574670256267</v>
      </c>
      <c r="H109" s="26" t="n">
        <f aca="false">IF(Returns!$O109=1,"",Returns!H109)</f>
        <v>0.0159687366926899</v>
      </c>
      <c r="I109" s="26" t="n">
        <f aca="false">IF(Returns!$O109=1,"",Returns!I109)</f>
        <v>-0.0231049036580286</v>
      </c>
      <c r="J109" s="26" t="n">
        <f aca="false">IF(Returns!$O109=1,"",Returns!J109)</f>
        <v>0.026713808681988</v>
      </c>
      <c r="K109" s="26" t="str">
        <f aca="false">IF(Returns!$O109=1,Returns!B109,"")</f>
        <v/>
      </c>
      <c r="L109" s="26" t="str">
        <f aca="false">IF(Returns!$O109=1,Returns!C109,"")</f>
        <v/>
      </c>
      <c r="M109" s="26" t="str">
        <f aca="false">IF(Returns!$O109=1,Returns!D109,"")</f>
        <v/>
      </c>
      <c r="N109" s="26" t="str">
        <f aca="false">IF(Returns!$O109=1,Returns!E109,"")</f>
        <v/>
      </c>
      <c r="O109" s="26" t="str">
        <f aca="false">IF(Returns!$O109=1,Returns!F109,"")</f>
        <v/>
      </c>
      <c r="P109" s="26" t="str">
        <f aca="false">IF(Returns!$O109=1,Returns!G109,"")</f>
        <v/>
      </c>
      <c r="Q109" s="26" t="str">
        <f aca="false">IF(Returns!$O109=1,Returns!H109,"")</f>
        <v/>
      </c>
      <c r="R109" s="26" t="str">
        <f aca="false">IF(Returns!$O109=1,Returns!I109,"")</f>
        <v/>
      </c>
      <c r="S109" s="26" t="str">
        <f aca="false">IF(Returns!$O109=1,Returns!J109,"")</f>
        <v/>
      </c>
      <c r="T109" s="26" t="n">
        <f aca="false">IF(Returns!$O109=1,"",Returns!K109)</f>
        <v>0.00821833176087811</v>
      </c>
    </row>
    <row r="110" customFormat="false" ht="15" hidden="false" customHeight="false" outlineLevel="0" collapsed="false">
      <c r="A110" s="25" t="n">
        <f aca="false">Returns!A110</f>
        <v>43866</v>
      </c>
      <c r="B110" s="26" t="n">
        <f aca="false">IF(Returns!$O110=1,"",Returns!B110)</f>
        <v>0.0119355161290322</v>
      </c>
      <c r="C110" s="26" t="n">
        <f aca="false">IF(Returns!$O110=1,"",Returns!C110)</f>
        <v>-0.0122097473094577</v>
      </c>
      <c r="D110" s="26" t="n">
        <f aca="false">IF(Returns!$O110=1,"",Returns!D110)</f>
        <v>0.00477099259403602</v>
      </c>
      <c r="E110" s="26" t="n">
        <f aca="false">IF(Returns!$O110=1,"",Returns!E110)</f>
        <v>0.0094545454545456</v>
      </c>
      <c r="F110" s="26" t="n">
        <f aca="false">IF(Returns!$O110=1,"",Returns!F110)</f>
        <v>-0.0125898565679804</v>
      </c>
      <c r="G110" s="26" t="n">
        <f aca="false">IF(Returns!$O110=1,"",Returns!G110)</f>
        <v>-0.0116543490619669</v>
      </c>
      <c r="H110" s="26" t="n">
        <f aca="false">IF(Returns!$O110=1,"",Returns!H110)</f>
        <v>-0.00838281552157938</v>
      </c>
      <c r="I110" s="26" t="n">
        <f aca="false">IF(Returns!$O110=1,"",Returns!I110)</f>
        <v>0.0108537159774316</v>
      </c>
      <c r="J110" s="26" t="n">
        <f aca="false">IF(Returns!$O110=1,"",Returns!J110)</f>
        <v>0.0137746699827817</v>
      </c>
      <c r="K110" s="26" t="str">
        <f aca="false">IF(Returns!$O110=1,Returns!B110,"")</f>
        <v/>
      </c>
      <c r="L110" s="26" t="str">
        <f aca="false">IF(Returns!$O110=1,Returns!C110,"")</f>
        <v/>
      </c>
      <c r="M110" s="26" t="str">
        <f aca="false">IF(Returns!$O110=1,Returns!D110,"")</f>
        <v/>
      </c>
      <c r="N110" s="26" t="str">
        <f aca="false">IF(Returns!$O110=1,Returns!E110,"")</f>
        <v/>
      </c>
      <c r="O110" s="26" t="str">
        <f aca="false">IF(Returns!$O110=1,Returns!F110,"")</f>
        <v/>
      </c>
      <c r="P110" s="26" t="str">
        <f aca="false">IF(Returns!$O110=1,Returns!G110,"")</f>
        <v/>
      </c>
      <c r="Q110" s="26" t="str">
        <f aca="false">IF(Returns!$O110=1,Returns!H110,"")</f>
        <v/>
      </c>
      <c r="R110" s="26" t="str">
        <f aca="false">IF(Returns!$O110=1,Returns!I110,"")</f>
        <v/>
      </c>
      <c r="S110" s="26" t="str">
        <f aca="false">IF(Returns!$O110=1,Returns!J110,"")</f>
        <v/>
      </c>
      <c r="T110" s="26" t="n">
        <f aca="false">IF(Returns!$O110=1,"",Returns!K110)</f>
        <v>0.000661407964093628</v>
      </c>
    </row>
    <row r="111" customFormat="false" ht="15" hidden="false" customHeight="false" outlineLevel="0" collapsed="false">
      <c r="A111" s="25" t="n">
        <f aca="false">Returns!A111</f>
        <v>43867</v>
      </c>
      <c r="B111" s="26" t="n">
        <f aca="false">IF(Returns!$O111=1,"",Returns!B111)</f>
        <v>-0.0277335343406587</v>
      </c>
      <c r="C111" s="26" t="n">
        <f aca="false">IF(Returns!$O111=1,"",Returns!C111)</f>
        <v>-0.0133739201596401</v>
      </c>
      <c r="D111" s="26" t="n">
        <f aca="false">IF(Returns!$O111=1,"",Returns!D111)</f>
        <v>0.00949672409766023</v>
      </c>
      <c r="E111" s="26" t="n">
        <f aca="false">IF(Returns!$O111=1,"",Returns!E111)</f>
        <v>-0.0302593659942363</v>
      </c>
      <c r="F111" s="26" t="n">
        <f aca="false">IF(Returns!$O111=1,"",Returns!F111)</f>
        <v>-0.0276867020879162</v>
      </c>
      <c r="G111" s="26" t="n">
        <f aca="false">IF(Returns!$O111=1,"",Returns!G111)</f>
        <v>-0.0284728501581826</v>
      </c>
      <c r="H111" s="26" t="n">
        <f aca="false">IF(Returns!$O111=1,"",Returns!H111)</f>
        <v>0.0278267357459223</v>
      </c>
      <c r="I111" s="26" t="n">
        <f aca="false">IF(Returns!$O111=1,"",Returns!I111)</f>
        <v>-0.00993588027716175</v>
      </c>
      <c r="J111" s="26" t="n">
        <f aca="false">IF(Returns!$O111=1,"",Returns!J111)</f>
        <v>0.00547267388289585</v>
      </c>
      <c r="K111" s="26" t="str">
        <f aca="false">IF(Returns!$O111=1,Returns!B111,"")</f>
        <v/>
      </c>
      <c r="L111" s="26" t="str">
        <f aca="false">IF(Returns!$O111=1,Returns!C111,"")</f>
        <v/>
      </c>
      <c r="M111" s="26" t="str">
        <f aca="false">IF(Returns!$O111=1,Returns!D111,"")</f>
        <v/>
      </c>
      <c r="N111" s="26" t="str">
        <f aca="false">IF(Returns!$O111=1,Returns!E111,"")</f>
        <v/>
      </c>
      <c r="O111" s="26" t="str">
        <f aca="false">IF(Returns!$O111=1,Returns!F111,"")</f>
        <v/>
      </c>
      <c r="P111" s="26" t="str">
        <f aca="false">IF(Returns!$O111=1,Returns!G111,"")</f>
        <v/>
      </c>
      <c r="Q111" s="26" t="str">
        <f aca="false">IF(Returns!$O111=1,Returns!H111,"")</f>
        <v/>
      </c>
      <c r="R111" s="26" t="str">
        <f aca="false">IF(Returns!$O111=1,Returns!I111,"")</f>
        <v/>
      </c>
      <c r="S111" s="26" t="str">
        <f aca="false">IF(Returns!$O111=1,Returns!J111,"")</f>
        <v/>
      </c>
      <c r="T111" s="26" t="n">
        <f aca="false">IF(Returns!$O111=1,"",Returns!K111)</f>
        <v>-0.0105184576990353</v>
      </c>
    </row>
    <row r="112" customFormat="false" ht="15" hidden="false" customHeight="false" outlineLevel="0" collapsed="false">
      <c r="A112" s="25" t="n">
        <f aca="false">Returns!A112</f>
        <v>43868</v>
      </c>
      <c r="B112" s="26" t="n">
        <f aca="false">IF(Returns!$O112=1,"",Returns!B112)</f>
        <v>-0.00524590163934424</v>
      </c>
      <c r="C112" s="26" t="n">
        <f aca="false">IF(Returns!$O112=1,"",Returns!C112)</f>
        <v>-0.00800985828712253</v>
      </c>
      <c r="D112" s="26" t="n">
        <f aca="false">IF(Returns!$O112=1,"",Returns!D112)</f>
        <v>-0.0310442144873001</v>
      </c>
      <c r="E112" s="26" t="n">
        <f aca="false">IF(Returns!$O112=1,"",Returns!E112)</f>
        <v>-0.0169019316493314</v>
      </c>
      <c r="F112" s="26" t="n">
        <f aca="false">IF(Returns!$O112=1,"",Returns!F112)</f>
        <v>-0.0183589352432021</v>
      </c>
      <c r="G112" s="26" t="n">
        <f aca="false">IF(Returns!$O112=1,"",Returns!G112)</f>
        <v>-0.0159857020718088</v>
      </c>
      <c r="H112" s="26" t="n">
        <f aca="false">IF(Returns!$O112=1,"",Returns!H112)</f>
        <v>-0.00856751199451677</v>
      </c>
      <c r="I112" s="26" t="n">
        <f aca="false">IF(Returns!$O112=1,"",Returns!I112)</f>
        <v>-0.029459411968059</v>
      </c>
      <c r="J112" s="26" t="n">
        <f aca="false">IF(Returns!$O112=1,"",Returns!J112)</f>
        <v>-0.0221471663315909</v>
      </c>
      <c r="K112" s="26" t="str">
        <f aca="false">IF(Returns!$O112=1,Returns!B112,"")</f>
        <v/>
      </c>
      <c r="L112" s="26" t="str">
        <f aca="false">IF(Returns!$O112=1,Returns!C112,"")</f>
        <v/>
      </c>
      <c r="M112" s="26" t="str">
        <f aca="false">IF(Returns!$O112=1,Returns!D112,"")</f>
        <v/>
      </c>
      <c r="N112" s="26" t="str">
        <f aca="false">IF(Returns!$O112=1,Returns!E112,"")</f>
        <v/>
      </c>
      <c r="O112" s="26" t="str">
        <f aca="false">IF(Returns!$O112=1,Returns!F112,"")</f>
        <v/>
      </c>
      <c r="P112" s="26" t="str">
        <f aca="false">IF(Returns!$O112=1,Returns!G112,"")</f>
        <v/>
      </c>
      <c r="Q112" s="26" t="str">
        <f aca="false">IF(Returns!$O112=1,Returns!H112,"")</f>
        <v/>
      </c>
      <c r="R112" s="26" t="str">
        <f aca="false">IF(Returns!$O112=1,Returns!I112,"")</f>
        <v/>
      </c>
      <c r="S112" s="26" t="str">
        <f aca="false">IF(Returns!$O112=1,Returns!J112,"")</f>
        <v/>
      </c>
      <c r="T112" s="26" t="n">
        <f aca="false">IF(Returns!$O112=1,"",Returns!K112)</f>
        <v>-0.0173022926302529</v>
      </c>
    </row>
    <row r="113" customFormat="false" ht="15" hidden="false" customHeight="false" outlineLevel="0" collapsed="false">
      <c r="A113" s="25" t="n">
        <f aca="false">Returns!A113</f>
        <v>43871</v>
      </c>
      <c r="B113" s="26" t="n">
        <f aca="false">IF(Returns!$O113=1,"",Returns!B113)</f>
        <v>-0.0362557679630851</v>
      </c>
      <c r="C113" s="26" t="n">
        <f aca="false">IF(Returns!$O113=1,"",Returns!C113)</f>
        <v>0.00683223602484473</v>
      </c>
      <c r="D113" s="26" t="n">
        <f aca="false">IF(Returns!$O113=1,"",Returns!D113)</f>
        <v>-0.00339800970873805</v>
      </c>
      <c r="E113" s="26" t="n">
        <f aca="false">IF(Returns!$O113=1,"",Returns!E113)</f>
        <v>-0.0115246552049877</v>
      </c>
      <c r="F113" s="26" t="n">
        <f aca="false">IF(Returns!$O113=1,"",Returns!F113)</f>
        <v>-0.00801530503758385</v>
      </c>
      <c r="G113" s="26" t="n">
        <f aca="false">IF(Returns!$O113=1,"",Returns!G113)</f>
        <v>-0.0162455164713888</v>
      </c>
      <c r="H113" s="26" t="n">
        <f aca="false">IF(Returns!$O113=1,"",Returns!H113)</f>
        <v>0.00691320428620812</v>
      </c>
      <c r="I113" s="26" t="n">
        <f aca="false">IF(Returns!$O113=1,"",Returns!I113)</f>
        <v>-0.0320212959370901</v>
      </c>
      <c r="J113" s="26" t="n">
        <f aca="false">IF(Returns!$O113=1,"",Returns!J113)</f>
        <v>-0.0366602509274568</v>
      </c>
      <c r="K113" s="26" t="str">
        <f aca="false">IF(Returns!$O113=1,Returns!B113,"")</f>
        <v/>
      </c>
      <c r="L113" s="26" t="str">
        <f aca="false">IF(Returns!$O113=1,Returns!C113,"")</f>
        <v/>
      </c>
      <c r="M113" s="26" t="str">
        <f aca="false">IF(Returns!$O113=1,Returns!D113,"")</f>
        <v/>
      </c>
      <c r="N113" s="26" t="str">
        <f aca="false">IF(Returns!$O113=1,Returns!E113,"")</f>
        <v/>
      </c>
      <c r="O113" s="26" t="str">
        <f aca="false">IF(Returns!$O113=1,Returns!F113,"")</f>
        <v/>
      </c>
      <c r="P113" s="26" t="str">
        <f aca="false">IF(Returns!$O113=1,Returns!G113,"")</f>
        <v/>
      </c>
      <c r="Q113" s="26" t="str">
        <f aca="false">IF(Returns!$O113=1,Returns!H113,"")</f>
        <v/>
      </c>
      <c r="R113" s="26" t="str">
        <f aca="false">IF(Returns!$O113=1,Returns!I113,"")</f>
        <v/>
      </c>
      <c r="S113" s="26" t="str">
        <f aca="false">IF(Returns!$O113=1,Returns!J113,"")</f>
        <v/>
      </c>
      <c r="T113" s="26" t="n">
        <f aca="false">IF(Returns!$O113=1,"",Returns!K113)</f>
        <v>-0.0144861512154753</v>
      </c>
    </row>
    <row r="114" customFormat="false" ht="15" hidden="false" customHeight="false" outlineLevel="0" collapsed="false">
      <c r="A114" s="25" t="n">
        <f aca="false">Returns!A114</f>
        <v>43872</v>
      </c>
      <c r="B114" s="26" t="n">
        <f aca="false">IF(Returns!$O114=1,"",Returns!B114)</f>
        <v>0.020690817373461</v>
      </c>
      <c r="C114" s="26" t="n">
        <f aca="false">IF(Returns!$O114=1,"",Returns!C114)</f>
        <v>0.00555212865836707</v>
      </c>
      <c r="D114" s="26" t="n">
        <f aca="false">IF(Returns!$O114=1,"",Returns!D114)</f>
        <v>0.0141256203543294</v>
      </c>
      <c r="E114" s="26" t="n">
        <f aca="false">IF(Returns!$O114=1,"",Returns!E114)</f>
        <v>0.0340213685015289</v>
      </c>
      <c r="F114" s="26" t="n">
        <f aca="false">IF(Returns!$O114=1,"",Returns!F114)</f>
        <v>0.0430935359753752</v>
      </c>
      <c r="G114" s="26" t="n">
        <f aca="false">IF(Returns!$O114=1,"",Returns!G114)</f>
        <v>0.0293577666863067</v>
      </c>
      <c r="H114" s="26" t="n">
        <f aca="false">IF(Returns!$O114=1,"",Returns!H114)</f>
        <v>0.0120151394443919</v>
      </c>
      <c r="I114" s="26" t="n">
        <f aca="false">IF(Returns!$O114=1,"",Returns!I114)</f>
        <v>0.0460027071453428</v>
      </c>
      <c r="J114" s="26" t="n">
        <f aca="false">IF(Returns!$O114=1,"",Returns!J114)</f>
        <v>0.0370591758728667</v>
      </c>
      <c r="K114" s="26" t="str">
        <f aca="false">IF(Returns!$O114=1,Returns!B114,"")</f>
        <v/>
      </c>
      <c r="L114" s="26" t="str">
        <f aca="false">IF(Returns!$O114=1,Returns!C114,"")</f>
        <v/>
      </c>
      <c r="M114" s="26" t="str">
        <f aca="false">IF(Returns!$O114=1,Returns!D114,"")</f>
        <v/>
      </c>
      <c r="N114" s="26" t="str">
        <f aca="false">IF(Returns!$O114=1,Returns!E114,"")</f>
        <v/>
      </c>
      <c r="O114" s="26" t="str">
        <f aca="false">IF(Returns!$O114=1,Returns!F114,"")</f>
        <v/>
      </c>
      <c r="P114" s="26" t="str">
        <f aca="false">IF(Returns!$O114=1,Returns!G114,"")</f>
        <v/>
      </c>
      <c r="Q114" s="26" t="str">
        <f aca="false">IF(Returns!$O114=1,Returns!H114,"")</f>
        <v/>
      </c>
      <c r="R114" s="26" t="str">
        <f aca="false">IF(Returns!$O114=1,Returns!I114,"")</f>
        <v/>
      </c>
      <c r="S114" s="26" t="str">
        <f aca="false">IF(Returns!$O114=1,Returns!J114,"")</f>
        <v/>
      </c>
      <c r="T114" s="26" t="n">
        <f aca="false">IF(Returns!$O114=1,"",Returns!K114)</f>
        <v>0.0268798066679966</v>
      </c>
    </row>
    <row r="115" customFormat="false" ht="15" hidden="false" customHeight="false" outlineLevel="0" collapsed="false">
      <c r="A115" s="25" t="n">
        <f aca="false">Returns!A115</f>
        <v>43873</v>
      </c>
      <c r="B115" s="26" t="n">
        <f aca="false">IF(Returns!$O115=1,"",Returns!B115)</f>
        <v>0.0353493053333775</v>
      </c>
      <c r="C115" s="26" t="n">
        <f aca="false">IF(Returns!$O115=1,"",Returns!C115)</f>
        <v>0.020040860125206</v>
      </c>
      <c r="D115" s="26" t="n">
        <f aca="false">IF(Returns!$O115=1,"",Returns!D115)</f>
        <v>0.0537944764649374</v>
      </c>
      <c r="E115" s="26" t="n">
        <f aca="false">IF(Returns!$O115=1,"",Returns!E115)</f>
        <v>0.025508355841344</v>
      </c>
      <c r="F115" s="26" t="n">
        <f aca="false">IF(Returns!$O115=1,"",Returns!F115)</f>
        <v>0.00663961613280639</v>
      </c>
      <c r="G115" s="26" t="n">
        <f aca="false">IF(Returns!$O115=1,"",Returns!G115)</f>
        <v>0.0101010101010102</v>
      </c>
      <c r="H115" s="26" t="n">
        <f aca="false">IF(Returns!$O115=1,"",Returns!H115)</f>
        <v>0.0220488127544098</v>
      </c>
      <c r="I115" s="26" t="n">
        <f aca="false">IF(Returns!$O115=1,"",Returns!I115)</f>
        <v>0.0182836565077826</v>
      </c>
      <c r="J115" s="26" t="n">
        <f aca="false">IF(Returns!$O115=1,"",Returns!J115)</f>
        <v>0.0195965613755342</v>
      </c>
      <c r="K115" s="26" t="str">
        <f aca="false">IF(Returns!$O115=1,Returns!B115,"")</f>
        <v/>
      </c>
      <c r="L115" s="26" t="str">
        <f aca="false">IF(Returns!$O115=1,Returns!C115,"")</f>
        <v/>
      </c>
      <c r="M115" s="26" t="str">
        <f aca="false">IF(Returns!$O115=1,Returns!D115,"")</f>
        <v/>
      </c>
      <c r="N115" s="26" t="str">
        <f aca="false">IF(Returns!$O115=1,Returns!E115,"")</f>
        <v/>
      </c>
      <c r="O115" s="26" t="str">
        <f aca="false">IF(Returns!$O115=1,Returns!F115,"")</f>
        <v/>
      </c>
      <c r="P115" s="26" t="str">
        <f aca="false">IF(Returns!$O115=1,Returns!G115,"")</f>
        <v/>
      </c>
      <c r="Q115" s="26" t="str">
        <f aca="false">IF(Returns!$O115=1,Returns!H115,"")</f>
        <v/>
      </c>
      <c r="R115" s="26" t="str">
        <f aca="false">IF(Returns!$O115=1,Returns!I115,"")</f>
        <v/>
      </c>
      <c r="S115" s="26" t="str">
        <f aca="false">IF(Returns!$O115=1,Returns!J115,"")</f>
        <v/>
      </c>
      <c r="T115" s="26" t="n">
        <f aca="false">IF(Returns!$O115=1,"",Returns!K115)</f>
        <v>0.0234847394040454</v>
      </c>
    </row>
    <row r="116" customFormat="false" ht="15" hidden="false" customHeight="false" outlineLevel="0" collapsed="false">
      <c r="A116" s="25" t="n">
        <f aca="false">Returns!A116</f>
        <v>43874</v>
      </c>
      <c r="B116" s="26" t="n">
        <f aca="false">IF(Returns!$O116=1,"",Returns!B116)</f>
        <v>0.0296116833270499</v>
      </c>
      <c r="C116" s="26" t="n">
        <f aca="false">IF(Returns!$O116=1,"",Returns!C116)</f>
        <v>-0.00601431495732907</v>
      </c>
      <c r="D116" s="26" t="n">
        <f aca="false">IF(Returns!$O116=1,"",Returns!D116)</f>
        <v>-0.00866002695259671</v>
      </c>
      <c r="E116" s="26" t="n">
        <f aca="false">IF(Returns!$O116=1,"",Returns!E116)</f>
        <v>-0.00829127613554426</v>
      </c>
      <c r="F116" s="26" t="n">
        <f aca="false">IF(Returns!$O116=1,"",Returns!F116)</f>
        <v>0.0109930006964822</v>
      </c>
      <c r="G116" s="26" t="n">
        <f aca="false">IF(Returns!$O116=1,"",Returns!G116)</f>
        <v>-0.0164706176470588</v>
      </c>
      <c r="H116" s="26" t="n">
        <f aca="false">IF(Returns!$O116=1,"",Returns!H116)</f>
        <v>-0.0136077004184434</v>
      </c>
      <c r="I116" s="26" t="n">
        <f aca="false">IF(Returns!$O116=1,"",Returns!I116)</f>
        <v>-0.00614690860425993</v>
      </c>
      <c r="J116" s="26" t="n">
        <f aca="false">IF(Returns!$O116=1,"",Returns!J116)</f>
        <v>-0.0175240437158469</v>
      </c>
      <c r="K116" s="26" t="str">
        <f aca="false">IF(Returns!$O116=1,Returns!B116,"")</f>
        <v/>
      </c>
      <c r="L116" s="26" t="str">
        <f aca="false">IF(Returns!$O116=1,Returns!C116,"")</f>
        <v/>
      </c>
      <c r="M116" s="26" t="str">
        <f aca="false">IF(Returns!$O116=1,Returns!D116,"")</f>
        <v/>
      </c>
      <c r="N116" s="26" t="str">
        <f aca="false">IF(Returns!$O116=1,Returns!E116,"")</f>
        <v/>
      </c>
      <c r="O116" s="26" t="str">
        <f aca="false">IF(Returns!$O116=1,Returns!F116,"")</f>
        <v/>
      </c>
      <c r="P116" s="26" t="str">
        <f aca="false">IF(Returns!$O116=1,Returns!G116,"")</f>
        <v/>
      </c>
      <c r="Q116" s="26" t="str">
        <f aca="false">IF(Returns!$O116=1,Returns!H116,"")</f>
        <v/>
      </c>
      <c r="R116" s="26" t="str">
        <f aca="false">IF(Returns!$O116=1,Returns!I116,"")</f>
        <v/>
      </c>
      <c r="S116" s="26" t="str">
        <f aca="false">IF(Returns!$O116=1,Returns!J116,"")</f>
        <v/>
      </c>
      <c r="T116" s="26" t="n">
        <f aca="false">IF(Returns!$O116=1,"",Returns!K116)</f>
        <v>-0.00401224493417189</v>
      </c>
    </row>
    <row r="117" customFormat="false" ht="15" hidden="false" customHeight="false" outlineLevel="0" collapsed="false">
      <c r="A117" s="25" t="n">
        <f aca="false">Returns!A117</f>
        <v>43875</v>
      </c>
      <c r="B117" s="26" t="n">
        <f aca="false">IF(Returns!$O117=1,"",Returns!B117)</f>
        <v>-0.0177589341857782</v>
      </c>
      <c r="C117" s="26" t="n">
        <f aca="false">IF(Returns!$O117=1,"",Returns!C117)</f>
        <v>0.0125050622729919</v>
      </c>
      <c r="D117" s="26" t="n">
        <f aca="false">IF(Returns!$O117=1,"",Returns!D117)</f>
        <v>-0.0225287356321838</v>
      </c>
      <c r="E117" s="26" t="n">
        <f aca="false">IF(Returns!$O117=1,"",Returns!E117)</f>
        <v>-0.00036350418029818</v>
      </c>
      <c r="F117" s="26" t="n">
        <f aca="false">IF(Returns!$O117=1,"",Returns!F117)</f>
        <v>-0.0170351214208047</v>
      </c>
      <c r="G117" s="26" t="n">
        <f aca="false">IF(Returns!$O117=1,"",Returns!G117)</f>
        <v>0.0029904905200504</v>
      </c>
      <c r="H117" s="26" t="n">
        <f aca="false">IF(Returns!$O117=1,"",Returns!H117)</f>
        <v>-0.0100941793436803</v>
      </c>
      <c r="I117" s="26" t="n">
        <f aca="false">IF(Returns!$O117=1,"",Returns!I117)</f>
        <v>-0.00341792893553006</v>
      </c>
      <c r="J117" s="26" t="n">
        <f aca="false">IF(Returns!$O117=1,"",Returns!J117)</f>
        <v>-0.0218641929778327</v>
      </c>
      <c r="K117" s="26" t="str">
        <f aca="false">IF(Returns!$O117=1,Returns!B117,"")</f>
        <v/>
      </c>
      <c r="L117" s="26" t="str">
        <f aca="false">IF(Returns!$O117=1,Returns!C117,"")</f>
        <v/>
      </c>
      <c r="M117" s="26" t="str">
        <f aca="false">IF(Returns!$O117=1,Returns!D117,"")</f>
        <v/>
      </c>
      <c r="N117" s="26" t="str">
        <f aca="false">IF(Returns!$O117=1,Returns!E117,"")</f>
        <v/>
      </c>
      <c r="O117" s="26" t="str">
        <f aca="false">IF(Returns!$O117=1,Returns!F117,"")</f>
        <v/>
      </c>
      <c r="P117" s="26" t="str">
        <f aca="false">IF(Returns!$O117=1,Returns!G117,"")</f>
        <v/>
      </c>
      <c r="Q117" s="26" t="str">
        <f aca="false">IF(Returns!$O117=1,Returns!H117,"")</f>
        <v/>
      </c>
      <c r="R117" s="26" t="str">
        <f aca="false">IF(Returns!$O117=1,Returns!I117,"")</f>
        <v/>
      </c>
      <c r="S117" s="26" t="str">
        <f aca="false">IF(Returns!$O117=1,Returns!J117,"")</f>
        <v/>
      </c>
      <c r="T117" s="26" t="n">
        <f aca="false">IF(Returns!$O117=1,"",Returns!K117)</f>
        <v>-0.00861856043145174</v>
      </c>
    </row>
    <row r="118" customFormat="false" ht="15" hidden="false" customHeight="false" outlineLevel="0" collapsed="false">
      <c r="A118" s="25" t="n">
        <f aca="false">Returns!A118</f>
        <v>43878</v>
      </c>
      <c r="B118" s="26" t="n">
        <f aca="false">IF(Returns!$O118=1,"",Returns!B118)</f>
        <v>0.02112</v>
      </c>
      <c r="C118" s="26" t="n">
        <f aca="false">IF(Returns!$O118=1,"",Returns!C118)</f>
        <v>0.0296812338772416</v>
      </c>
      <c r="D118" s="26" t="n">
        <f aca="false">IF(Returns!$O118=1,"",Returns!D118)</f>
        <v>-0.00846660395108201</v>
      </c>
      <c r="E118" s="26" t="n">
        <f aca="false">IF(Returns!$O118=1,"",Returns!E118)</f>
        <v>0.00418181818181806</v>
      </c>
      <c r="F118" s="26" t="n">
        <f aca="false">IF(Returns!$O118=1,"",Returns!F118)</f>
        <v>0.0114306411714367</v>
      </c>
      <c r="G118" s="26" t="n">
        <f aca="false">IF(Returns!$O118=1,"",Returns!G118)</f>
        <v>-0.0101371493697927</v>
      </c>
      <c r="H118" s="26" t="n">
        <f aca="false">IF(Returns!$O118=1,"",Returns!H118)</f>
        <v>-0.00203939496940864</v>
      </c>
      <c r="I118" s="26" t="n">
        <f aca="false">IF(Returns!$O118=1,"",Returns!I118)</f>
        <v>-0.00751262483788462</v>
      </c>
      <c r="J118" s="26" t="n">
        <f aca="false">IF(Returns!$O118=1,"",Returns!J118)</f>
        <v>0.0472549019607842</v>
      </c>
      <c r="K118" s="26" t="str">
        <f aca="false">IF(Returns!$O118=1,Returns!B118,"")</f>
        <v/>
      </c>
      <c r="L118" s="26" t="str">
        <f aca="false">IF(Returns!$O118=1,Returns!C118,"")</f>
        <v/>
      </c>
      <c r="M118" s="26" t="str">
        <f aca="false">IF(Returns!$O118=1,Returns!D118,"")</f>
        <v/>
      </c>
      <c r="N118" s="26" t="str">
        <f aca="false">IF(Returns!$O118=1,Returns!E118,"")</f>
        <v/>
      </c>
      <c r="O118" s="26" t="str">
        <f aca="false">IF(Returns!$O118=1,Returns!F118,"")</f>
        <v/>
      </c>
      <c r="P118" s="26" t="str">
        <f aca="false">IF(Returns!$O118=1,Returns!G118,"")</f>
        <v/>
      </c>
      <c r="Q118" s="26" t="str">
        <f aca="false">IF(Returns!$O118=1,Returns!H118,"")</f>
        <v/>
      </c>
      <c r="R118" s="26" t="str">
        <f aca="false">IF(Returns!$O118=1,Returns!I118,"")</f>
        <v/>
      </c>
      <c r="S118" s="26" t="str">
        <f aca="false">IF(Returns!$O118=1,Returns!J118,"")</f>
        <v/>
      </c>
      <c r="T118" s="26" t="n">
        <f aca="false">IF(Returns!$O118=1,"",Returns!K118)</f>
        <v>0.00950142467367918</v>
      </c>
    </row>
    <row r="119" customFormat="false" ht="15" hidden="false" customHeight="false" outlineLevel="0" collapsed="false">
      <c r="A119" s="25" t="n">
        <f aca="false">Returns!A119</f>
        <v>43879</v>
      </c>
      <c r="B119" s="26" t="n">
        <f aca="false">IF(Returns!$O119=1,"",Returns!B119)</f>
        <v>0.0166091664055155</v>
      </c>
      <c r="C119" s="26" t="n">
        <f aca="false">IF(Returns!$O119=1,"",Returns!C119)</f>
        <v>-0.0108338363319791</v>
      </c>
      <c r="D119" s="26" t="n">
        <f aca="false">IF(Returns!$O119=1,"",Returns!D119)</f>
        <v>-0.00426944971537002</v>
      </c>
      <c r="E119" s="26" t="n">
        <f aca="false">IF(Returns!$O119=1,"",Returns!E119)</f>
        <v>0.00126740901683875</v>
      </c>
      <c r="F119" s="26" t="n">
        <f aca="false">IF(Returns!$O119=1,"",Returns!F119)</f>
        <v>-0.00696970470287994</v>
      </c>
      <c r="G119" s="26" t="n">
        <f aca="false">IF(Returns!$O119=1,"",Returns!G119)</f>
        <v>0.0186746681122087</v>
      </c>
      <c r="H119" s="26" t="n">
        <f aca="false">IF(Returns!$O119=1,"",Returns!H119)</f>
        <v>0.0132833442342184</v>
      </c>
      <c r="I119" s="26" t="n">
        <f aca="false">IF(Returns!$O119=1,"",Returns!I119)</f>
        <v>0.00115185287345865</v>
      </c>
      <c r="J119" s="26" t="n">
        <f aca="false">IF(Returns!$O119=1,"",Returns!J119)</f>
        <v>-0.0114211009174311</v>
      </c>
      <c r="K119" s="26" t="str">
        <f aca="false">IF(Returns!$O119=1,Returns!B119,"")</f>
        <v/>
      </c>
      <c r="L119" s="26" t="str">
        <f aca="false">IF(Returns!$O119=1,Returns!C119,"")</f>
        <v/>
      </c>
      <c r="M119" s="26" t="str">
        <f aca="false">IF(Returns!$O119=1,Returns!D119,"")</f>
        <v/>
      </c>
      <c r="N119" s="26" t="str">
        <f aca="false">IF(Returns!$O119=1,Returns!E119,"")</f>
        <v/>
      </c>
      <c r="O119" s="26" t="str">
        <f aca="false">IF(Returns!$O119=1,Returns!F119,"")</f>
        <v/>
      </c>
      <c r="P119" s="26" t="str">
        <f aca="false">IF(Returns!$O119=1,Returns!G119,"")</f>
        <v/>
      </c>
      <c r="Q119" s="26" t="str">
        <f aca="false">IF(Returns!$O119=1,Returns!H119,"")</f>
        <v/>
      </c>
      <c r="R119" s="26" t="str">
        <f aca="false">IF(Returns!$O119=1,Returns!I119,"")</f>
        <v/>
      </c>
      <c r="S119" s="26" t="str">
        <f aca="false">IF(Returns!$O119=1,Returns!J119,"")</f>
        <v/>
      </c>
      <c r="T119" s="26" t="n">
        <f aca="false">IF(Returns!$O119=1,"",Returns!K119)</f>
        <v>0.00194359433050887</v>
      </c>
    </row>
    <row r="120" customFormat="false" ht="15" hidden="false" customHeight="false" outlineLevel="0" collapsed="false">
      <c r="A120" s="25" t="n">
        <f aca="false">Returns!A120</f>
        <v>43880</v>
      </c>
      <c r="B120" s="26" t="n">
        <f aca="false">IF(Returns!$O120=1,"",Returns!B120)</f>
        <v>0.0123305030362439</v>
      </c>
      <c r="C120" s="26" t="n">
        <f aca="false">IF(Returns!$O120=1,"",Returns!C120)</f>
        <v>0.0391159405264216</v>
      </c>
      <c r="D120" s="26" t="n">
        <f aca="false">IF(Returns!$O120=1,"",Returns!D120)</f>
        <v>0.0109575512148643</v>
      </c>
      <c r="E120" s="26" t="n">
        <f aca="false">IF(Returns!$O120=1,"",Returns!E120)</f>
        <v>-0.00452079574178654</v>
      </c>
      <c r="F120" s="26" t="n">
        <f aca="false">IF(Returns!$O120=1,"",Returns!F120)</f>
        <v>-0.00293041317757481</v>
      </c>
      <c r="G120" s="26" t="n">
        <f aca="false">IF(Returns!$O120=1,"",Returns!G120)</f>
        <v>0.00739207569485512</v>
      </c>
      <c r="H120" s="26" t="n">
        <f aca="false">IF(Returns!$O120=1,"",Returns!H120)</f>
        <v>0.0268907226890756</v>
      </c>
      <c r="I120" s="26" t="n">
        <f aca="false">IF(Returns!$O120=1,"",Returns!I120)</f>
        <v>0.0170939897739084</v>
      </c>
      <c r="J120" s="26" t="n">
        <f aca="false">IF(Returns!$O120=1,"",Returns!J120)</f>
        <v>0.000189431821769448</v>
      </c>
      <c r="K120" s="26" t="str">
        <f aca="false">IF(Returns!$O120=1,Returns!B120,"")</f>
        <v/>
      </c>
      <c r="L120" s="26" t="str">
        <f aca="false">IF(Returns!$O120=1,Returns!C120,"")</f>
        <v/>
      </c>
      <c r="M120" s="26" t="str">
        <f aca="false">IF(Returns!$O120=1,Returns!D120,"")</f>
        <v/>
      </c>
      <c r="N120" s="26" t="str">
        <f aca="false">IF(Returns!$O120=1,Returns!E120,"")</f>
        <v/>
      </c>
      <c r="O120" s="26" t="str">
        <f aca="false">IF(Returns!$O120=1,Returns!F120,"")</f>
        <v/>
      </c>
      <c r="P120" s="26" t="str">
        <f aca="false">IF(Returns!$O120=1,Returns!G120,"")</f>
        <v/>
      </c>
      <c r="Q120" s="26" t="str">
        <f aca="false">IF(Returns!$O120=1,Returns!H120,"")</f>
        <v/>
      </c>
      <c r="R120" s="26" t="str">
        <f aca="false">IF(Returns!$O120=1,Returns!I120,"")</f>
        <v/>
      </c>
      <c r="S120" s="26" t="str">
        <f aca="false">IF(Returns!$O120=1,Returns!J120,"")</f>
        <v/>
      </c>
      <c r="T120" s="26" t="n">
        <f aca="false">IF(Returns!$O120=1,"",Returns!K120)</f>
        <v>0.0118354450930863</v>
      </c>
    </row>
    <row r="121" customFormat="false" ht="15" hidden="false" customHeight="false" outlineLevel="0" collapsed="false">
      <c r="A121" s="25" t="n">
        <f aca="false">Returns!A121</f>
        <v>43881</v>
      </c>
      <c r="B121" s="26" t="str">
        <f aca="false">IF(Returns!$O121=1,"",Returns!B121)</f>
        <v/>
      </c>
      <c r="C121" s="26" t="str">
        <f aca="false">IF(Returns!$O121=1,"",Returns!C121)</f>
        <v/>
      </c>
      <c r="D121" s="26" t="str">
        <f aca="false">IF(Returns!$O121=1,"",Returns!D121)</f>
        <v/>
      </c>
      <c r="E121" s="26" t="str">
        <f aca="false">IF(Returns!$O121=1,"",Returns!E121)</f>
        <v/>
      </c>
      <c r="F121" s="26" t="str">
        <f aca="false">IF(Returns!$O121=1,"",Returns!F121)</f>
        <v/>
      </c>
      <c r="G121" s="26" t="str">
        <f aca="false">IF(Returns!$O121=1,"",Returns!G121)</f>
        <v/>
      </c>
      <c r="H121" s="26" t="str">
        <f aca="false">IF(Returns!$O121=1,"",Returns!H121)</f>
        <v/>
      </c>
      <c r="I121" s="26" t="str">
        <f aca="false">IF(Returns!$O121=1,"",Returns!I121)</f>
        <v/>
      </c>
      <c r="J121" s="26" t="str">
        <f aca="false">IF(Returns!$O121=1,"",Returns!J121)</f>
        <v/>
      </c>
      <c r="K121" s="26" t="n">
        <f aca="false">IF(Returns!$O121=1,Returns!B121,"")</f>
        <v>-0.00182707064555443</v>
      </c>
      <c r="L121" s="26" t="n">
        <f aca="false">IF(Returns!$O121=1,Returns!C121,"")</f>
        <v>-0.0154338235705153</v>
      </c>
      <c r="M121" s="26" t="n">
        <f aca="false">IF(Returns!$O121=1,Returns!D121,"")</f>
        <v>-0.00659750266717751</v>
      </c>
      <c r="N121" s="26" t="n">
        <f aca="false">IF(Returns!$O121=1,Returns!E121,"")</f>
        <v>-0.00599451418700292</v>
      </c>
      <c r="O121" s="26" t="n">
        <f aca="false">IF(Returns!$O121=1,Returns!F121,"")</f>
        <v>-0.0139603078169298</v>
      </c>
      <c r="P121" s="26" t="n">
        <f aca="false">IF(Returns!$O121=1,Returns!G121,"")</f>
        <v>-0.0137951863809803</v>
      </c>
      <c r="Q121" s="26" t="n">
        <f aca="false">IF(Returns!$O121=1,Returns!H121,"")</f>
        <v>-0.0206218992020261</v>
      </c>
      <c r="R121" s="26" t="n">
        <f aca="false">IF(Returns!$O121=1,Returns!I121,"")</f>
        <v>-0.0244020657659042</v>
      </c>
      <c r="S121" s="26" t="n">
        <f aca="false">IF(Returns!$O121=1,Returns!J121,"")</f>
        <v>-0.0115508424247142</v>
      </c>
      <c r="T121" s="26" t="str">
        <f aca="false">IF(Returns!$O121=1,"",Returns!K121)</f>
        <v/>
      </c>
    </row>
    <row r="122" customFormat="false" ht="15" hidden="false" customHeight="false" outlineLevel="0" collapsed="false">
      <c r="A122" s="25" t="n">
        <f aca="false">Returns!A122</f>
        <v>43882</v>
      </c>
      <c r="B122" s="26" t="str">
        <f aca="false">IF(Returns!$O122=1,"",Returns!B122)</f>
        <v/>
      </c>
      <c r="C122" s="26" t="str">
        <f aca="false">IF(Returns!$O122=1,"",Returns!C122)</f>
        <v/>
      </c>
      <c r="D122" s="26" t="str">
        <f aca="false">IF(Returns!$O122=1,"",Returns!D122)</f>
        <v/>
      </c>
      <c r="E122" s="26" t="str">
        <f aca="false">IF(Returns!$O122=1,"",Returns!E122)</f>
        <v/>
      </c>
      <c r="F122" s="26" t="str">
        <f aca="false">IF(Returns!$O122=1,"",Returns!F122)</f>
        <v/>
      </c>
      <c r="G122" s="26" t="str">
        <f aca="false">IF(Returns!$O122=1,"",Returns!G122)</f>
        <v/>
      </c>
      <c r="H122" s="26" t="str">
        <f aca="false">IF(Returns!$O122=1,"",Returns!H122)</f>
        <v/>
      </c>
      <c r="I122" s="26" t="str">
        <f aca="false">IF(Returns!$O122=1,"",Returns!I122)</f>
        <v/>
      </c>
      <c r="J122" s="26" t="str">
        <f aca="false">IF(Returns!$O122=1,"",Returns!J122)</f>
        <v/>
      </c>
      <c r="K122" s="26" t="n">
        <f aca="false">IF(Returns!$O122=1,Returns!B122,"")</f>
        <v>-0.0205918096580784</v>
      </c>
      <c r="L122" s="26" t="n">
        <f aca="false">IF(Returns!$O122=1,Returns!C122,"")</f>
        <v>-0.00497033091073706</v>
      </c>
      <c r="M122" s="26" t="n">
        <f aca="false">IF(Returns!$O122=1,Returns!D122,"")</f>
        <v>0.0445920303605314</v>
      </c>
      <c r="N122" s="26" t="n">
        <f aca="false">IF(Returns!$O122=1,Returns!E122,"")</f>
        <v>-0.0058479348346504</v>
      </c>
      <c r="O122" s="26" t="n">
        <f aca="false">IF(Returns!$O122=1,Returns!F122,"")</f>
        <v>0.0767511336507758</v>
      </c>
      <c r="P122" s="26" t="n">
        <f aca="false">IF(Returns!$O122=1,Returns!G122,"")</f>
        <v>0.00595241106859601</v>
      </c>
      <c r="Q122" s="26" t="n">
        <f aca="false">IF(Returns!$O122=1,Returns!H122,"")</f>
        <v>-0.0260695521390375</v>
      </c>
      <c r="R122" s="26" t="n">
        <f aca="false">IF(Returns!$O122=1,Returns!I122,"")</f>
        <v>-0.00960742643013857</v>
      </c>
      <c r="S122" s="26" t="n">
        <f aca="false">IF(Returns!$O122=1,Returns!J122,"")</f>
        <v>-0.0396551716541155</v>
      </c>
      <c r="T122" s="26" t="str">
        <f aca="false">IF(Returns!$O122=1,"",Returns!K122)</f>
        <v/>
      </c>
    </row>
    <row r="123" customFormat="false" ht="15" hidden="false" customHeight="false" outlineLevel="0" collapsed="false">
      <c r="A123" s="25" t="n">
        <f aca="false">Returns!A123</f>
        <v>43888</v>
      </c>
      <c r="B123" s="26" t="str">
        <f aca="false">IF(Returns!$O123=1,"",Returns!B123)</f>
        <v/>
      </c>
      <c r="C123" s="26" t="str">
        <f aca="false">IF(Returns!$O123=1,"",Returns!C123)</f>
        <v/>
      </c>
      <c r="D123" s="26" t="str">
        <f aca="false">IF(Returns!$O123=1,"",Returns!D123)</f>
        <v/>
      </c>
      <c r="E123" s="26" t="str">
        <f aca="false">IF(Returns!$O123=1,"",Returns!E123)</f>
        <v/>
      </c>
      <c r="F123" s="26" t="str">
        <f aca="false">IF(Returns!$O123=1,"",Returns!F123)</f>
        <v/>
      </c>
      <c r="G123" s="26" t="str">
        <f aca="false">IF(Returns!$O123=1,"",Returns!G123)</f>
        <v/>
      </c>
      <c r="H123" s="26" t="str">
        <f aca="false">IF(Returns!$O123=1,"",Returns!H123)</f>
        <v/>
      </c>
      <c r="I123" s="26" t="str">
        <f aca="false">IF(Returns!$O123=1,"",Returns!I123)</f>
        <v/>
      </c>
      <c r="J123" s="26" t="str">
        <f aca="false">IF(Returns!$O123=1,"",Returns!J123)</f>
        <v/>
      </c>
      <c r="K123" s="26" t="n">
        <f aca="false">IF(Returns!$O123=1,Returns!B123,"")</f>
        <v>-0.0674349488776662</v>
      </c>
      <c r="L123" s="26" t="n">
        <f aca="false">IF(Returns!$O123=1,Returns!C123,"")</f>
        <v>-0.115465936599424</v>
      </c>
      <c r="M123" s="26" t="n">
        <f aca="false">IF(Returns!$O123=1,Returns!D123,"")</f>
        <v>-0.0962761126248866</v>
      </c>
      <c r="N123" s="26" t="n">
        <f aca="false">IF(Returns!$O123=1,Returns!E123,"")</f>
        <v>-0.0928309524694503</v>
      </c>
      <c r="O123" s="26" t="n">
        <f aca="false">IF(Returns!$O123=1,Returns!F123,"")</f>
        <v>-0.0993080132931806</v>
      </c>
      <c r="P123" s="26" t="n">
        <f aca="false">IF(Returns!$O123=1,Returns!G123,"")</f>
        <v>-0.092011777870171</v>
      </c>
      <c r="Q123" s="26" t="n">
        <f aca="false">IF(Returns!$O123=1,Returns!H123,"")</f>
        <v>-0.131777629779603</v>
      </c>
      <c r="R123" s="26" t="n">
        <f aca="false">IF(Returns!$O123=1,Returns!I123,"")</f>
        <v>-0.0806154458752234</v>
      </c>
      <c r="S123" s="26" t="n">
        <f aca="false">IF(Returns!$O123=1,Returns!J123,"")</f>
        <v>-0.112906440995283</v>
      </c>
      <c r="T123" s="26" t="str">
        <f aca="false">IF(Returns!$O123=1,"",Returns!K123)</f>
        <v/>
      </c>
    </row>
    <row r="124" customFormat="false" ht="15" hidden="false" customHeight="false" outlineLevel="0" collapsed="false">
      <c r="A124" s="25" t="n">
        <f aca="false">Returns!A124</f>
        <v>43889</v>
      </c>
      <c r="B124" s="26" t="str">
        <f aca="false">IF(Returns!$O124=1,"",Returns!B124)</f>
        <v/>
      </c>
      <c r="C124" s="26" t="str">
        <f aca="false">IF(Returns!$O124=1,"",Returns!C124)</f>
        <v/>
      </c>
      <c r="D124" s="26" t="str">
        <f aca="false">IF(Returns!$O124=1,"",Returns!D124)</f>
        <v/>
      </c>
      <c r="E124" s="26" t="str">
        <f aca="false">IF(Returns!$O124=1,"",Returns!E124)</f>
        <v/>
      </c>
      <c r="F124" s="26" t="str">
        <f aca="false">IF(Returns!$O124=1,"",Returns!F124)</f>
        <v/>
      </c>
      <c r="G124" s="26" t="str">
        <f aca="false">IF(Returns!$O124=1,"",Returns!G124)</f>
        <v/>
      </c>
      <c r="H124" s="26" t="str">
        <f aca="false">IF(Returns!$O124=1,"",Returns!H124)</f>
        <v/>
      </c>
      <c r="I124" s="26" t="str">
        <f aca="false">IF(Returns!$O124=1,"",Returns!I124)</f>
        <v/>
      </c>
      <c r="J124" s="26" t="str">
        <f aca="false">IF(Returns!$O124=1,"",Returns!J124)</f>
        <v/>
      </c>
      <c r="K124" s="26" t="n">
        <f aca="false">IF(Returns!$O124=1,Returns!B124,"")</f>
        <v>0.00367396453450297</v>
      </c>
      <c r="L124" s="26" t="n">
        <f aca="false">IF(Returns!$O124=1,Returns!C124,"")</f>
        <v>0.042571722092603</v>
      </c>
      <c r="M124" s="26" t="n">
        <f aca="false">IF(Returns!$O124=1,Returns!D124,"")</f>
        <v>-0.028643216080402</v>
      </c>
      <c r="N124" s="26" t="n">
        <f aca="false">IF(Returns!$O124=1,Returns!E124,"")</f>
        <v>0.0038501116048677</v>
      </c>
      <c r="O124" s="26" t="n">
        <f aca="false">IF(Returns!$O124=1,Returns!F124,"")</f>
        <v>0.0218978636179905</v>
      </c>
      <c r="P124" s="26" t="n">
        <f aca="false">IF(Returns!$O124=1,Returns!G124,"")</f>
        <v>-0.00553929600719139</v>
      </c>
      <c r="Q124" s="26" t="n">
        <f aca="false">IF(Returns!$O124=1,Returns!H124,"")</f>
        <v>0.00158106725616869</v>
      </c>
      <c r="R124" s="26" t="n">
        <f aca="false">IF(Returns!$O124=1,Returns!I124,"")</f>
        <v>-0.0398399489206378</v>
      </c>
      <c r="S124" s="26" t="n">
        <f aca="false">IF(Returns!$O124=1,Returns!J124,"")</f>
        <v>-0.00359793110865914</v>
      </c>
      <c r="T124" s="26" t="str">
        <f aca="false">IF(Returns!$O124=1,"",Returns!K124)</f>
        <v/>
      </c>
    </row>
    <row r="125" customFormat="false" ht="15" hidden="false" customHeight="false" outlineLevel="0" collapsed="false">
      <c r="A125" s="25" t="n">
        <f aca="false">Returns!A125</f>
        <v>43892</v>
      </c>
      <c r="B125" s="26" t="str">
        <f aca="false">IF(Returns!$O125=1,"",Returns!B125)</f>
        <v/>
      </c>
      <c r="C125" s="26" t="str">
        <f aca="false">IF(Returns!$O125=1,"",Returns!C125)</f>
        <v/>
      </c>
      <c r="D125" s="26" t="str">
        <f aca="false">IF(Returns!$O125=1,"",Returns!D125)</f>
        <v/>
      </c>
      <c r="E125" s="26" t="str">
        <f aca="false">IF(Returns!$O125=1,"",Returns!E125)</f>
        <v/>
      </c>
      <c r="F125" s="26" t="str">
        <f aca="false">IF(Returns!$O125=1,"",Returns!F125)</f>
        <v/>
      </c>
      <c r="G125" s="26" t="str">
        <f aca="false">IF(Returns!$O125=1,"",Returns!G125)</f>
        <v/>
      </c>
      <c r="H125" s="26" t="str">
        <f aca="false">IF(Returns!$O125=1,"",Returns!H125)</f>
        <v/>
      </c>
      <c r="I125" s="26" t="str">
        <f aca="false">IF(Returns!$O125=1,"",Returns!I125)</f>
        <v/>
      </c>
      <c r="J125" s="26" t="str">
        <f aca="false">IF(Returns!$O125=1,"",Returns!J125)</f>
        <v/>
      </c>
      <c r="K125" s="26" t="n">
        <f aca="false">IF(Returns!$O125=1,Returns!B125,"")</f>
        <v>-0.00415973391546531</v>
      </c>
      <c r="L125" s="26" t="n">
        <f aca="false">IF(Returns!$O125=1,Returns!C125,"")</f>
        <v>0.041666625</v>
      </c>
      <c r="M125" s="26" t="n">
        <f aca="false">IF(Returns!$O125=1,Returns!D125,"")</f>
        <v>0.0569063631660631</v>
      </c>
      <c r="N125" s="26" t="n">
        <f aca="false">IF(Returns!$O125=1,Returns!E125,"")</f>
        <v>0.00625750895725674</v>
      </c>
      <c r="O125" s="26" t="n">
        <f aca="false">IF(Returns!$O125=1,Returns!F125,"")</f>
        <v>0.00187973876796832</v>
      </c>
      <c r="P125" s="26" t="n">
        <f aca="false">IF(Returns!$O125=1,Returns!G125,"")</f>
        <v>0.0380078636959371</v>
      </c>
      <c r="Q125" s="26" t="n">
        <f aca="false">IF(Returns!$O125=1,Returns!H125,"")</f>
        <v>0.04696136543015</v>
      </c>
      <c r="R125" s="26" t="n">
        <f aca="false">IF(Returns!$O125=1,Returns!I125,"")</f>
        <v>-0.010231119439174</v>
      </c>
      <c r="S125" s="26" t="n">
        <f aca="false">IF(Returns!$O125=1,Returns!J125,"")</f>
        <v>0.0462649504341017</v>
      </c>
      <c r="T125" s="26" t="str">
        <f aca="false">IF(Returns!$O125=1,"",Returns!K125)</f>
        <v/>
      </c>
    </row>
    <row r="126" customFormat="false" ht="15" hidden="false" customHeight="false" outlineLevel="0" collapsed="false">
      <c r="A126" s="25" t="n">
        <f aca="false">Returns!A126</f>
        <v>43893</v>
      </c>
      <c r="B126" s="26" t="str">
        <f aca="false">IF(Returns!$O126=1,"",Returns!B126)</f>
        <v/>
      </c>
      <c r="C126" s="26" t="str">
        <f aca="false">IF(Returns!$O126=1,"",Returns!C126)</f>
        <v/>
      </c>
      <c r="D126" s="26" t="str">
        <f aca="false">IF(Returns!$O126=1,"",Returns!D126)</f>
        <v/>
      </c>
      <c r="E126" s="26" t="str">
        <f aca="false">IF(Returns!$O126=1,"",Returns!E126)</f>
        <v/>
      </c>
      <c r="F126" s="26" t="str">
        <f aca="false">IF(Returns!$O126=1,"",Returns!F126)</f>
        <v/>
      </c>
      <c r="G126" s="26" t="str">
        <f aca="false">IF(Returns!$O126=1,"",Returns!G126)</f>
        <v/>
      </c>
      <c r="H126" s="26" t="str">
        <f aca="false">IF(Returns!$O126=1,"",Returns!H126)</f>
        <v/>
      </c>
      <c r="I126" s="26" t="str">
        <f aca="false">IF(Returns!$O126=1,"",Returns!I126)</f>
        <v/>
      </c>
      <c r="J126" s="26" t="str">
        <f aca="false">IF(Returns!$O126=1,"",Returns!J126)</f>
        <v/>
      </c>
      <c r="K126" s="26" t="n">
        <f aca="false">IF(Returns!$O126=1,Returns!B126,"")</f>
        <v>-0.0215538353067279</v>
      </c>
      <c r="L126" s="26" t="n">
        <f aca="false">IF(Returns!$O126=1,Returns!C126,"")</f>
        <v>-0.00779994031199749</v>
      </c>
      <c r="M126" s="26" t="n">
        <f aca="false">IF(Returns!$O126=1,Returns!D126,"")</f>
        <v>0.0156632403328438</v>
      </c>
      <c r="N126" s="26" t="n">
        <f aca="false">IF(Returns!$O126=1,Returns!E126,"")</f>
        <v>-0.00381139433546218</v>
      </c>
      <c r="O126" s="26" t="n">
        <f aca="false">IF(Returns!$O126=1,Returns!F126,"")</f>
        <v>0.0165102442136844</v>
      </c>
      <c r="P126" s="26" t="n">
        <f aca="false">IF(Returns!$O126=1,Returns!G126,"")</f>
        <v>-0.0145202335858585</v>
      </c>
      <c r="Q126" s="26" t="n">
        <f aca="false">IF(Returns!$O126=1,Returns!H126,"")</f>
        <v>-0.0180927999211157</v>
      </c>
      <c r="R126" s="26" t="n">
        <f aca="false">IF(Returns!$O126=1,Returns!I126,"")</f>
        <v>0.00899694424789566</v>
      </c>
      <c r="S126" s="26" t="n">
        <f aca="false">IF(Returns!$O126=1,Returns!J126,"")</f>
        <v>-0.000215767898710695</v>
      </c>
      <c r="T126" s="26" t="str">
        <f aca="false">IF(Returns!$O126=1,"",Returns!K126)</f>
        <v/>
      </c>
    </row>
    <row r="127" customFormat="false" ht="15" hidden="false" customHeight="false" outlineLevel="0" collapsed="false">
      <c r="A127" s="25" t="n">
        <f aca="false">Returns!A127</f>
        <v>43894</v>
      </c>
      <c r="B127" s="26" t="str">
        <f aca="false">IF(Returns!$O127=1,"",Returns!B127)</f>
        <v/>
      </c>
      <c r="C127" s="26" t="str">
        <f aca="false">IF(Returns!$O127=1,"",Returns!C127)</f>
        <v/>
      </c>
      <c r="D127" s="26" t="str">
        <f aca="false">IF(Returns!$O127=1,"",Returns!D127)</f>
        <v/>
      </c>
      <c r="E127" s="26" t="str">
        <f aca="false">IF(Returns!$O127=1,"",Returns!E127)</f>
        <v/>
      </c>
      <c r="F127" s="26" t="str">
        <f aca="false">IF(Returns!$O127=1,"",Returns!F127)</f>
        <v/>
      </c>
      <c r="G127" s="26" t="str">
        <f aca="false">IF(Returns!$O127=1,"",Returns!G127)</f>
        <v/>
      </c>
      <c r="H127" s="26" t="str">
        <f aca="false">IF(Returns!$O127=1,"",Returns!H127)</f>
        <v/>
      </c>
      <c r="I127" s="26" t="str">
        <f aca="false">IF(Returns!$O127=1,"",Returns!I127)</f>
        <v/>
      </c>
      <c r="J127" s="26" t="str">
        <f aca="false">IF(Returns!$O127=1,"",Returns!J127)</f>
        <v/>
      </c>
      <c r="K127" s="26" t="n">
        <f aca="false">IF(Returns!$O127=1,Returns!B127,"")</f>
        <v>-0.00956285844325722</v>
      </c>
      <c r="L127" s="26" t="n">
        <f aca="false">IF(Returns!$O127=1,Returns!C127,"")</f>
        <v>0.00362824020100283</v>
      </c>
      <c r="M127" s="26" t="n">
        <f aca="false">IF(Returns!$O127=1,Returns!D127,"")</f>
        <v>0.064578313253012</v>
      </c>
      <c r="N127" s="26" t="n">
        <f aca="false">IF(Returns!$O127=1,Returns!E127,"")</f>
        <v>0.0229560813532019</v>
      </c>
      <c r="O127" s="26" t="n">
        <f aca="false">IF(Returns!$O127=1,Returns!F127,"")</f>
        <v>0.0225175347736646</v>
      </c>
      <c r="P127" s="26" t="n">
        <f aca="false">IF(Returns!$O127=1,Returns!G127,"")</f>
        <v>0.0326714616486694</v>
      </c>
      <c r="Q127" s="26" t="n">
        <f aca="false">IF(Returns!$O127=1,Returns!H127,"")</f>
        <v>0.0322456826197959</v>
      </c>
      <c r="R127" s="26" t="n">
        <f aca="false">IF(Returns!$O127=1,Returns!I127,"")</f>
        <v>-0.00531208431284602</v>
      </c>
      <c r="S127" s="26" t="n">
        <f aca="false">IF(Returns!$O127=1,Returns!J127,"")</f>
        <v>0.0478964853461268</v>
      </c>
      <c r="T127" s="26" t="str">
        <f aca="false">IF(Returns!$O127=1,"",Returns!K127)</f>
        <v/>
      </c>
    </row>
    <row r="128" customFormat="false" ht="15" hidden="false" customHeight="false" outlineLevel="0" collapsed="false">
      <c r="A128" s="25" t="n">
        <f aca="false">Returns!A128</f>
        <v>43895</v>
      </c>
      <c r="B128" s="26" t="str">
        <f aca="false">IF(Returns!$O128=1,"",Returns!B128)</f>
        <v/>
      </c>
      <c r="C128" s="26" t="str">
        <f aca="false">IF(Returns!$O128=1,"",Returns!C128)</f>
        <v/>
      </c>
      <c r="D128" s="26" t="str">
        <f aca="false">IF(Returns!$O128=1,"",Returns!D128)</f>
        <v/>
      </c>
      <c r="E128" s="26" t="str">
        <f aca="false">IF(Returns!$O128=1,"",Returns!E128)</f>
        <v/>
      </c>
      <c r="F128" s="26" t="str">
        <f aca="false">IF(Returns!$O128=1,"",Returns!F128)</f>
        <v/>
      </c>
      <c r="G128" s="26" t="str">
        <f aca="false">IF(Returns!$O128=1,"",Returns!G128)</f>
        <v/>
      </c>
      <c r="H128" s="26" t="str">
        <f aca="false">IF(Returns!$O128=1,"",Returns!H128)</f>
        <v/>
      </c>
      <c r="I128" s="26" t="str">
        <f aca="false">IF(Returns!$O128=1,"",Returns!I128)</f>
        <v/>
      </c>
      <c r="J128" s="26" t="str">
        <f aca="false">IF(Returns!$O128=1,"",Returns!J128)</f>
        <v/>
      </c>
      <c r="K128" s="26" t="n">
        <f aca="false">IF(Returns!$O128=1,Returns!B128,"")</f>
        <v>-0.0206896724137932</v>
      </c>
      <c r="L128" s="26" t="n">
        <f aca="false">IF(Returns!$O128=1,Returns!C128,"")</f>
        <v>-0.0538260515696344</v>
      </c>
      <c r="M128" s="26" t="n">
        <f aca="false">IF(Returns!$O128=1,Returns!D128,"")</f>
        <v>-0.0167497057492078</v>
      </c>
      <c r="N128" s="26" t="n">
        <f aca="false">IF(Returns!$O128=1,Returns!E128,"")</f>
        <v>-0.050196831696788</v>
      </c>
      <c r="O128" s="26" t="n">
        <f aca="false">IF(Returns!$O128=1,Returns!F128,"")</f>
        <v>-0.0635379126160127</v>
      </c>
      <c r="P128" s="26" t="n">
        <f aca="false">IF(Returns!$O128=1,Returns!G128,"")</f>
        <v>-0.0626551760139468</v>
      </c>
      <c r="Q128" s="26" t="n">
        <f aca="false">IF(Returns!$O128=1,Returns!H128,"")</f>
        <v>-0.059501601320253</v>
      </c>
      <c r="R128" s="26" t="n">
        <f aca="false">IF(Returns!$O128=1,Returns!I128,"")</f>
        <v>-0.0413885281484746</v>
      </c>
      <c r="S128" s="26" t="n">
        <f aca="false">IF(Returns!$O128=1,Returns!J128,"")</f>
        <v>-0.0354128474366894</v>
      </c>
      <c r="T128" s="26" t="str">
        <f aca="false">IF(Returns!$O128=1,"",Returns!K128)</f>
        <v/>
      </c>
    </row>
    <row r="129" customFormat="false" ht="15" hidden="false" customHeight="false" outlineLevel="0" collapsed="false">
      <c r="A129" s="25" t="n">
        <f aca="false">Returns!A129</f>
        <v>43896</v>
      </c>
      <c r="B129" s="26" t="str">
        <f aca="false">IF(Returns!$O129=1,"",Returns!B129)</f>
        <v/>
      </c>
      <c r="C129" s="26" t="str">
        <f aca="false">IF(Returns!$O129=1,"",Returns!C129)</f>
        <v/>
      </c>
      <c r="D129" s="26" t="str">
        <f aca="false">IF(Returns!$O129=1,"",Returns!D129)</f>
        <v/>
      </c>
      <c r="E129" s="26" t="str">
        <f aca="false">IF(Returns!$O129=1,"",Returns!E129)</f>
        <v/>
      </c>
      <c r="F129" s="26" t="str">
        <f aca="false">IF(Returns!$O129=1,"",Returns!F129)</f>
        <v/>
      </c>
      <c r="G129" s="26" t="str">
        <f aca="false">IF(Returns!$O129=1,"",Returns!G129)</f>
        <v/>
      </c>
      <c r="H129" s="26" t="str">
        <f aca="false">IF(Returns!$O129=1,"",Returns!H129)</f>
        <v/>
      </c>
      <c r="I129" s="26" t="str">
        <f aca="false">IF(Returns!$O129=1,"",Returns!I129)</f>
        <v/>
      </c>
      <c r="J129" s="26" t="str">
        <f aca="false">IF(Returns!$O129=1,"",Returns!J129)</f>
        <v/>
      </c>
      <c r="K129" s="26" t="n">
        <f aca="false">IF(Returns!$O129=1,Returns!B129,"")</f>
        <v>-0.00528167262819845</v>
      </c>
      <c r="L129" s="26" t="n">
        <f aca="false">IF(Returns!$O129=1,Returns!C129,"")</f>
        <v>-0.0133729571932277</v>
      </c>
      <c r="M129" s="26" t="n">
        <f aca="false">IF(Returns!$O129=1,Returns!D129,"")</f>
        <v>-0.0202577357393066</v>
      </c>
      <c r="N129" s="26" t="n">
        <f aca="false">IF(Returns!$O129=1,Returns!E129,"")</f>
        <v>-0.0663212642487047</v>
      </c>
      <c r="O129" s="26" t="n">
        <f aca="false">IF(Returns!$O129=1,Returns!F129,"")</f>
        <v>-0.080570498234517</v>
      </c>
      <c r="P129" s="26" t="n">
        <f aca="false">IF(Returns!$O129=1,Returns!G129,"")</f>
        <v>-0.025148908840136</v>
      </c>
      <c r="Q129" s="26" t="n">
        <f aca="false">IF(Returns!$O129=1,Returns!H129,"")</f>
        <v>-0.0972716845681423</v>
      </c>
      <c r="R129" s="26" t="n">
        <f aca="false">IF(Returns!$O129=1,Returns!I129,"")</f>
        <v>-0.0435734583692214</v>
      </c>
      <c r="S129" s="26" t="n">
        <f aca="false">IF(Returns!$O129=1,Returns!J129,"")</f>
        <v>-0.0478121044957143</v>
      </c>
      <c r="T129" s="26" t="str">
        <f aca="false">IF(Returns!$O129=1,"",Returns!K129)</f>
        <v/>
      </c>
    </row>
    <row r="130" customFormat="false" ht="15" hidden="false" customHeight="false" outlineLevel="0" collapsed="false">
      <c r="A130" s="25" t="n">
        <f aca="false">Returns!A130</f>
        <v>43899</v>
      </c>
      <c r="B130" s="26" t="str">
        <f aca="false">IF(Returns!$O130=1,"",Returns!B130)</f>
        <v/>
      </c>
      <c r="C130" s="26" t="str">
        <f aca="false">IF(Returns!$O130=1,"",Returns!C130)</f>
        <v/>
      </c>
      <c r="D130" s="26" t="str">
        <f aca="false">IF(Returns!$O130=1,"",Returns!D130)</f>
        <v/>
      </c>
      <c r="E130" s="26" t="str">
        <f aca="false">IF(Returns!$O130=1,"",Returns!E130)</f>
        <v/>
      </c>
      <c r="F130" s="26" t="str">
        <f aca="false">IF(Returns!$O130=1,"",Returns!F130)</f>
        <v/>
      </c>
      <c r="G130" s="26" t="str">
        <f aca="false">IF(Returns!$O130=1,"",Returns!G130)</f>
        <v/>
      </c>
      <c r="H130" s="26" t="str">
        <f aca="false">IF(Returns!$O130=1,"",Returns!H130)</f>
        <v/>
      </c>
      <c r="I130" s="26" t="str">
        <f aca="false">IF(Returns!$O130=1,"",Returns!I130)</f>
        <v/>
      </c>
      <c r="J130" s="26" t="str">
        <f aca="false">IF(Returns!$O130=1,"",Returns!J130)</f>
        <v/>
      </c>
      <c r="K130" s="26" t="n">
        <f aca="false">IF(Returns!$O130=1,Returns!B130,"")</f>
        <v>-0.0872566371681416</v>
      </c>
      <c r="L130" s="26" t="n">
        <f aca="false">IF(Returns!$O130=1,Returns!C130,"")</f>
        <v>-0.120051637694743</v>
      </c>
      <c r="M130" s="26" t="n">
        <f aca="false">IF(Returns!$O130=1,Returns!D130,"")</f>
        <v>-0.0794173364935462</v>
      </c>
      <c r="N130" s="26" t="n">
        <f aca="false">IF(Returns!$O130=1,Returns!E130,"")</f>
        <v>-0.116537183496941</v>
      </c>
      <c r="O130" s="26" t="n">
        <f aca="false">IF(Returns!$O130=1,Returns!F130,"")</f>
        <v>-0.0813416968415552</v>
      </c>
      <c r="P130" s="26" t="n">
        <f aca="false">IF(Returns!$O130=1,Returns!G130,"")</f>
        <v>-0.0872369343936502</v>
      </c>
      <c r="Q130" s="26" t="n">
        <f aca="false">IF(Returns!$O130=1,Returns!H130,"")</f>
        <v>-0.29697770477442</v>
      </c>
      <c r="R130" s="26" t="n">
        <f aca="false">IF(Returns!$O130=1,Returns!I130,"")</f>
        <v>-0.126066148728949</v>
      </c>
      <c r="S130" s="26" t="n">
        <f aca="false">IF(Returns!$O130=1,Returns!J130,"")</f>
        <v>-0.151983834297605</v>
      </c>
      <c r="T130" s="26" t="str">
        <f aca="false">IF(Returns!$O130=1,"",Returns!K130)</f>
        <v/>
      </c>
    </row>
    <row r="131" customFormat="false" ht="15" hidden="false" customHeight="false" outlineLevel="0" collapsed="false">
      <c r="A131" s="25" t="n">
        <f aca="false">Returns!A131</f>
        <v>43900</v>
      </c>
      <c r="B131" s="26" t="str">
        <f aca="false">IF(Returns!$O131=1,"",Returns!B131)</f>
        <v/>
      </c>
      <c r="C131" s="26" t="str">
        <f aca="false">IF(Returns!$O131=1,"",Returns!C131)</f>
        <v/>
      </c>
      <c r="D131" s="26" t="str">
        <f aca="false">IF(Returns!$O131=1,"",Returns!D131)</f>
        <v/>
      </c>
      <c r="E131" s="26" t="str">
        <f aca="false">IF(Returns!$O131=1,"",Returns!E131)</f>
        <v/>
      </c>
      <c r="F131" s="26" t="str">
        <f aca="false">IF(Returns!$O131=1,"",Returns!F131)</f>
        <v/>
      </c>
      <c r="G131" s="26" t="str">
        <f aca="false">IF(Returns!$O131=1,"",Returns!G131)</f>
        <v/>
      </c>
      <c r="H131" s="26" t="str">
        <f aca="false">IF(Returns!$O131=1,"",Returns!H131)</f>
        <v/>
      </c>
      <c r="I131" s="26" t="str">
        <f aca="false">IF(Returns!$O131=1,"",Returns!I131)</f>
        <v/>
      </c>
      <c r="J131" s="26" t="str">
        <f aca="false">IF(Returns!$O131=1,"",Returns!J131)</f>
        <v/>
      </c>
      <c r="K131" s="26" t="n">
        <f aca="false">IF(Returns!$O131=1,Returns!B131,"")</f>
        <v>0.080279212720574</v>
      </c>
      <c r="L131" s="26" t="n">
        <f aca="false">IF(Returns!$O131=1,Returns!C131,"")</f>
        <v>0.12469437957688</v>
      </c>
      <c r="M131" s="26" t="n">
        <f aca="false">IF(Returns!$O131=1,Returns!D131,"")</f>
        <v>0.00612552322613569</v>
      </c>
      <c r="N131" s="26" t="n">
        <f aca="false">IF(Returns!$O131=1,Returns!E131,"")</f>
        <v>0.054020152111059</v>
      </c>
      <c r="O131" s="26" t="n">
        <f aca="false">IF(Returns!$O131=1,Returns!F131,"")</f>
        <v>0.0748516266552783</v>
      </c>
      <c r="P131" s="26" t="n">
        <f aca="false">IF(Returns!$O131=1,Returns!G131,"")</f>
        <v>0.0423950183114548</v>
      </c>
      <c r="Q131" s="26" t="n">
        <f aca="false">IF(Returns!$O131=1,Returns!H131,"")</f>
        <v>0.09408100274648</v>
      </c>
      <c r="R131" s="26" t="n">
        <f aca="false">IF(Returns!$O131=1,Returns!I131,"")</f>
        <v>0.0864079864397709</v>
      </c>
      <c r="S131" s="26" t="n">
        <f aca="false">IF(Returns!$O131=1,Returns!J131,"")</f>
        <v>0.184509612238456</v>
      </c>
      <c r="T131" s="26" t="str">
        <f aca="false">IF(Returns!$O131=1,"",Returns!K131)</f>
        <v/>
      </c>
    </row>
    <row r="132" customFormat="false" ht="15" hidden="false" customHeight="false" outlineLevel="0" collapsed="false">
      <c r="A132" s="25" t="n">
        <f aca="false">Returns!A132</f>
        <v>43901</v>
      </c>
      <c r="B132" s="26" t="str">
        <f aca="false">IF(Returns!$O132=1,"",Returns!B132)</f>
        <v/>
      </c>
      <c r="C132" s="26" t="str">
        <f aca="false">IF(Returns!$O132=1,"",Returns!C132)</f>
        <v/>
      </c>
      <c r="D132" s="26" t="str">
        <f aca="false">IF(Returns!$O132=1,"",Returns!D132)</f>
        <v/>
      </c>
      <c r="E132" s="26" t="str">
        <f aca="false">IF(Returns!$O132=1,"",Returns!E132)</f>
        <v/>
      </c>
      <c r="F132" s="26" t="str">
        <f aca="false">IF(Returns!$O132=1,"",Returns!F132)</f>
        <v/>
      </c>
      <c r="G132" s="26" t="str">
        <f aca="false">IF(Returns!$O132=1,"",Returns!G132)</f>
        <v/>
      </c>
      <c r="H132" s="26" t="str">
        <f aca="false">IF(Returns!$O132=1,"",Returns!H132)</f>
        <v/>
      </c>
      <c r="I132" s="26" t="str">
        <f aca="false">IF(Returns!$O132=1,"",Returns!I132)</f>
        <v/>
      </c>
      <c r="J132" s="26" t="str">
        <f aca="false">IF(Returns!$O132=1,"",Returns!J132)</f>
        <v/>
      </c>
      <c r="K132" s="26" t="n">
        <f aca="false">IF(Returns!$O132=1,Returns!B132,"")</f>
        <v>-0.0524142533192292</v>
      </c>
      <c r="L132" s="26" t="n">
        <f aca="false">IF(Returns!$O132=1,Returns!C132,"")</f>
        <v>-0.0750000016304349</v>
      </c>
      <c r="M132" s="26" t="n">
        <f aca="false">IF(Returns!$O132=1,Returns!D132,"")</f>
        <v>-0.0766107598483389</v>
      </c>
      <c r="N132" s="26" t="n">
        <f aca="false">IF(Returns!$O132=1,Returns!E132,"")</f>
        <v>-0.0712753737479052</v>
      </c>
      <c r="O132" s="26" t="n">
        <f aca="false">IF(Returns!$O132=1,Returns!F132,"")</f>
        <v>-0.0806794419341007</v>
      </c>
      <c r="P132" s="26" t="n">
        <f aca="false">IF(Returns!$O132=1,Returns!G132,"")</f>
        <v>-0.0734927551376112</v>
      </c>
      <c r="Q132" s="26" t="n">
        <f aca="false">IF(Returns!$O132=1,Returns!H132,"")</f>
        <v>-0.0973803586207495</v>
      </c>
      <c r="R132" s="26" t="n">
        <f aca="false">IF(Returns!$O132=1,Returns!I132,"")</f>
        <v>-0.0972830848679179</v>
      </c>
      <c r="S132" s="26" t="n">
        <f aca="false">IF(Returns!$O132=1,Returns!J132,"")</f>
        <v>-0.0908279158485179</v>
      </c>
      <c r="T132" s="26" t="str">
        <f aca="false">IF(Returns!$O132=1,"",Returns!K132)</f>
        <v/>
      </c>
    </row>
    <row r="133" customFormat="false" ht="15" hidden="false" customHeight="false" outlineLevel="0" collapsed="false">
      <c r="A133" s="25" t="n">
        <f aca="false">Returns!A133</f>
        <v>43902</v>
      </c>
      <c r="B133" s="26" t="str">
        <f aca="false">IF(Returns!$O133=1,"",Returns!B133)</f>
        <v/>
      </c>
      <c r="C133" s="26" t="str">
        <f aca="false">IF(Returns!$O133=1,"",Returns!C133)</f>
        <v/>
      </c>
      <c r="D133" s="26" t="str">
        <f aca="false">IF(Returns!$O133=1,"",Returns!D133)</f>
        <v/>
      </c>
      <c r="E133" s="26" t="str">
        <f aca="false">IF(Returns!$O133=1,"",Returns!E133)</f>
        <v/>
      </c>
      <c r="F133" s="26" t="str">
        <f aca="false">IF(Returns!$O133=1,"",Returns!F133)</f>
        <v/>
      </c>
      <c r="G133" s="26" t="str">
        <f aca="false">IF(Returns!$O133=1,"",Returns!G133)</f>
        <v/>
      </c>
      <c r="H133" s="26" t="str">
        <f aca="false">IF(Returns!$O133=1,"",Returns!H133)</f>
        <v/>
      </c>
      <c r="I133" s="26" t="str">
        <f aca="false">IF(Returns!$O133=1,"",Returns!I133)</f>
        <v/>
      </c>
      <c r="J133" s="26" t="str">
        <f aca="false">IF(Returns!$O133=1,"",Returns!J133)</f>
        <v/>
      </c>
      <c r="K133" s="26" t="n">
        <f aca="false">IF(Returns!$O133=1,Returns!B133,"")</f>
        <v>-0.144913844574468</v>
      </c>
      <c r="L133" s="26" t="n">
        <f aca="false">IF(Returns!$O133=1,Returns!C133,"")</f>
        <v>-0.133020003126205</v>
      </c>
      <c r="M133" s="26" t="n">
        <f aca="false">IF(Returns!$O133=1,Returns!D133,"")</f>
        <v>-0.131868179567682</v>
      </c>
      <c r="N133" s="26" t="n">
        <f aca="false">IF(Returns!$O133=1,Returns!E133,"")</f>
        <v>-0.152977390990179</v>
      </c>
      <c r="O133" s="26" t="n">
        <f aca="false">IF(Returns!$O133=1,Returns!F133,"")</f>
        <v>-0.180600432877707</v>
      </c>
      <c r="P133" s="26" t="n">
        <f aca="false">IF(Returns!$O133=1,Returns!G133,"")</f>
        <v>-0.135925996762649</v>
      </c>
      <c r="Q133" s="26" t="n">
        <f aca="false">IF(Returns!$O133=1,Returns!H133,"")</f>
        <v>-0.205047318611987</v>
      </c>
      <c r="R133" s="26" t="n">
        <f aca="false">IF(Returns!$O133=1,Returns!I133,"")</f>
        <v>-0.150485418689632</v>
      </c>
      <c r="S133" s="26" t="n">
        <f aca="false">IF(Returns!$O133=1,Returns!J133,"")</f>
        <v>-0.132302497186917</v>
      </c>
      <c r="T133" s="26" t="str">
        <f aca="false">IF(Returns!$O133=1,"",Returns!K133)</f>
        <v/>
      </c>
    </row>
    <row r="134" customFormat="false" ht="15" hidden="false" customHeight="false" outlineLevel="0" collapsed="false">
      <c r="A134" s="25" t="n">
        <f aca="false">Returns!A134</f>
        <v>43903</v>
      </c>
      <c r="B134" s="26" t="str">
        <f aca="false">IF(Returns!$O134=1,"",Returns!B134)</f>
        <v/>
      </c>
      <c r="C134" s="26" t="str">
        <f aca="false">IF(Returns!$O134=1,"",Returns!C134)</f>
        <v/>
      </c>
      <c r="D134" s="26" t="str">
        <f aca="false">IF(Returns!$O134=1,"",Returns!D134)</f>
        <v/>
      </c>
      <c r="E134" s="26" t="str">
        <f aca="false">IF(Returns!$O134=1,"",Returns!E134)</f>
        <v/>
      </c>
      <c r="F134" s="26" t="str">
        <f aca="false">IF(Returns!$O134=1,"",Returns!F134)</f>
        <v/>
      </c>
      <c r="G134" s="26" t="str">
        <f aca="false">IF(Returns!$O134=1,"",Returns!G134)</f>
        <v/>
      </c>
      <c r="H134" s="26" t="str">
        <f aca="false">IF(Returns!$O134=1,"",Returns!H134)</f>
        <v/>
      </c>
      <c r="I134" s="26" t="str">
        <f aca="false">IF(Returns!$O134=1,"",Returns!I134)</f>
        <v/>
      </c>
      <c r="J134" s="26" t="str">
        <f aca="false">IF(Returns!$O134=1,"",Returns!J134)</f>
        <v/>
      </c>
      <c r="K134" s="26" t="n">
        <f aca="false">IF(Returns!$O134=1,Returns!B134,"")</f>
        <v>0.0826318139705762</v>
      </c>
      <c r="L134" s="26" t="n">
        <f aca="false">IF(Returns!$O134=1,Returns!C134,"")</f>
        <v>0.108159398653261</v>
      </c>
      <c r="M134" s="26" t="n">
        <f aca="false">IF(Returns!$O134=1,Returns!D134,"")</f>
        <v>0.0227848101265822</v>
      </c>
      <c r="N134" s="26" t="n">
        <f aca="false">IF(Returns!$O134=1,Returns!E134,"")</f>
        <v>0.0909090909090908</v>
      </c>
      <c r="O134" s="26" t="n">
        <f aca="false">IF(Returns!$O134=1,Returns!F134,"")</f>
        <v>0.210259293021085</v>
      </c>
      <c r="P134" s="26" t="n">
        <f aca="false">IF(Returns!$O134=1,Returns!G134,"")</f>
        <v>0.0628341772355536</v>
      </c>
      <c r="Q134" s="26" t="n">
        <f aca="false">IF(Returns!$O134=1,Returns!H134,"")</f>
        <v>0.222222222222222</v>
      </c>
      <c r="R134" s="26" t="n">
        <f aca="false">IF(Returns!$O134=1,Returns!I134,"")</f>
        <v>0.0999999444365181</v>
      </c>
      <c r="S134" s="26" t="n">
        <f aca="false">IF(Returns!$O134=1,Returns!J134,"")</f>
        <v>0.213578625945043</v>
      </c>
      <c r="T134" s="26" t="str">
        <f aca="false">IF(Returns!$O134=1,"",Returns!K134)</f>
        <v/>
      </c>
    </row>
    <row r="135" customFormat="false" ht="15" hidden="false" customHeight="false" outlineLevel="0" collapsed="false">
      <c r="A135" s="25" t="n">
        <f aca="false">Returns!A135</f>
        <v>43906</v>
      </c>
      <c r="B135" s="26" t="str">
        <f aca="false">IF(Returns!$O135=1,"",Returns!B135)</f>
        <v/>
      </c>
      <c r="C135" s="26" t="str">
        <f aca="false">IF(Returns!$O135=1,"",Returns!C135)</f>
        <v/>
      </c>
      <c r="D135" s="26" t="str">
        <f aca="false">IF(Returns!$O135=1,"",Returns!D135)</f>
        <v/>
      </c>
      <c r="E135" s="26" t="str">
        <f aca="false">IF(Returns!$O135=1,"",Returns!E135)</f>
        <v/>
      </c>
      <c r="F135" s="26" t="str">
        <f aca="false">IF(Returns!$O135=1,"",Returns!F135)</f>
        <v/>
      </c>
      <c r="G135" s="26" t="str">
        <f aca="false">IF(Returns!$O135=1,"",Returns!G135)</f>
        <v/>
      </c>
      <c r="H135" s="26" t="str">
        <f aca="false">IF(Returns!$O135=1,"",Returns!H135)</f>
        <v/>
      </c>
      <c r="I135" s="26" t="str">
        <f aca="false">IF(Returns!$O135=1,"",Returns!I135)</f>
        <v/>
      </c>
      <c r="J135" s="26" t="str">
        <f aca="false">IF(Returns!$O135=1,"",Returns!J135)</f>
        <v/>
      </c>
      <c r="K135" s="26" t="n">
        <f aca="false">IF(Returns!$O135=1,Returns!B135,"")</f>
        <v>-0.140577023543626</v>
      </c>
      <c r="L135" s="26" t="n">
        <f aca="false">IF(Returns!$O135=1,Returns!C135,"")</f>
        <v>-0.161203481467881</v>
      </c>
      <c r="M135" s="26" t="n">
        <f aca="false">IF(Returns!$O135=1,Returns!D135,"")</f>
        <v>-0.152227722772277</v>
      </c>
      <c r="N135" s="26" t="n">
        <f aca="false">IF(Returns!$O135=1,Returns!E135,"")</f>
        <v>-0.236111111111111</v>
      </c>
      <c r="O135" s="26" t="n">
        <f aca="false">IF(Returns!$O135=1,Returns!F135,"")</f>
        <v>-0.185374901164165</v>
      </c>
      <c r="P135" s="26" t="n">
        <f aca="false">IF(Returns!$O135=1,Returns!G135,"")</f>
        <v>-0.223899371069182</v>
      </c>
      <c r="Q135" s="26" t="n">
        <f aca="false">IF(Returns!$O135=1,Returns!H135,"")</f>
        <v>-0.15</v>
      </c>
      <c r="R135" s="26" t="n">
        <f aca="false">IF(Returns!$O135=1,Returns!I135,"")</f>
        <v>-0.175324626853316</v>
      </c>
      <c r="S135" s="26" t="n">
        <f aca="false">IF(Returns!$O135=1,Returns!J135,"")</f>
        <v>-0.089976709091995</v>
      </c>
      <c r="T135" s="26" t="str">
        <f aca="false">IF(Returns!$O135=1,"",Returns!K135)</f>
        <v/>
      </c>
    </row>
    <row r="136" customFormat="false" ht="15" hidden="false" customHeight="false" outlineLevel="0" collapsed="false">
      <c r="A136" s="25" t="n">
        <f aca="false">Returns!A136</f>
        <v>43907</v>
      </c>
      <c r="B136" s="26" t="str">
        <f aca="false">IF(Returns!$O136=1,"",Returns!B136)</f>
        <v/>
      </c>
      <c r="C136" s="26" t="str">
        <f aca="false">IF(Returns!$O136=1,"",Returns!C136)</f>
        <v/>
      </c>
      <c r="D136" s="26" t="str">
        <f aca="false">IF(Returns!$O136=1,"",Returns!D136)</f>
        <v/>
      </c>
      <c r="E136" s="26" t="str">
        <f aca="false">IF(Returns!$O136=1,"",Returns!E136)</f>
        <v/>
      </c>
      <c r="F136" s="26" t="str">
        <f aca="false">IF(Returns!$O136=1,"",Returns!F136)</f>
        <v/>
      </c>
      <c r="G136" s="26" t="str">
        <f aca="false">IF(Returns!$O136=1,"",Returns!G136)</f>
        <v/>
      </c>
      <c r="H136" s="26" t="str">
        <f aca="false">IF(Returns!$O136=1,"",Returns!H136)</f>
        <v/>
      </c>
      <c r="I136" s="26" t="str">
        <f aca="false">IF(Returns!$O136=1,"",Returns!I136)</f>
        <v/>
      </c>
      <c r="J136" s="26" t="str">
        <f aca="false">IF(Returns!$O136=1,"",Returns!J136)</f>
        <v/>
      </c>
      <c r="K136" s="26" t="n">
        <f aca="false">IF(Returns!$O136=1,Returns!B136,"")</f>
        <v>0</v>
      </c>
      <c r="L136" s="26" t="n">
        <f aca="false">IF(Returns!$O136=1,Returns!C136,"")</f>
        <v>0.0364537182852145</v>
      </c>
      <c r="M136" s="26" t="n">
        <f aca="false">IF(Returns!$O136=1,Returns!D136,"")</f>
        <v>0.0423357664233577</v>
      </c>
      <c r="N136" s="26" t="n">
        <f aca="false">IF(Returns!$O136=1,Returns!E136,"")</f>
        <v>0.00727276363636364</v>
      </c>
      <c r="O136" s="26" t="n">
        <f aca="false">IF(Returns!$O136=1,Returns!F136,"")</f>
        <v>0.0520297457893921</v>
      </c>
      <c r="P136" s="26" t="n">
        <f aca="false">IF(Returns!$O136=1,Returns!G136,"")</f>
        <v>0.0534846029173419</v>
      </c>
      <c r="Q136" s="26" t="n">
        <f aca="false">IF(Returns!$O136=1,Returns!H136,"")</f>
        <v>-0.00687547746371275</v>
      </c>
      <c r="R136" s="26" t="n">
        <f aca="false">IF(Returns!$O136=1,Returns!I136,"")</f>
        <v>-0.0368504203661754</v>
      </c>
      <c r="S136" s="26" t="n">
        <f aca="false">IF(Returns!$O136=1,Returns!J136,"")</f>
        <v>0.0632683641580851</v>
      </c>
      <c r="T136" s="26" t="str">
        <f aca="false">IF(Returns!$O136=1,"",Returns!K136)</f>
        <v/>
      </c>
    </row>
    <row r="137" customFormat="false" ht="15" hidden="false" customHeight="false" outlineLevel="0" collapsed="false">
      <c r="A137" s="25" t="n">
        <f aca="false">Returns!A137</f>
        <v>43908</v>
      </c>
      <c r="B137" s="26" t="str">
        <f aca="false">IF(Returns!$O137=1,"",Returns!B137)</f>
        <v/>
      </c>
      <c r="C137" s="26" t="str">
        <f aca="false">IF(Returns!$O137=1,"",Returns!C137)</f>
        <v/>
      </c>
      <c r="D137" s="26" t="str">
        <f aca="false">IF(Returns!$O137=1,"",Returns!D137)</f>
        <v/>
      </c>
      <c r="E137" s="26" t="str">
        <f aca="false">IF(Returns!$O137=1,"",Returns!E137)</f>
        <v/>
      </c>
      <c r="F137" s="26" t="str">
        <f aca="false">IF(Returns!$O137=1,"",Returns!F137)</f>
        <v/>
      </c>
      <c r="G137" s="26" t="str">
        <f aca="false">IF(Returns!$O137=1,"",Returns!G137)</f>
        <v/>
      </c>
      <c r="H137" s="26" t="str">
        <f aca="false">IF(Returns!$O137=1,"",Returns!H137)</f>
        <v/>
      </c>
      <c r="I137" s="26" t="str">
        <f aca="false">IF(Returns!$O137=1,"",Returns!I137)</f>
        <v/>
      </c>
      <c r="J137" s="26" t="str">
        <f aca="false">IF(Returns!$O137=1,"",Returns!J137)</f>
        <v/>
      </c>
      <c r="K137" s="26" t="n">
        <f aca="false">IF(Returns!$O137=1,Returns!B137,"")</f>
        <v>-0.166666666666667</v>
      </c>
      <c r="L137" s="26" t="n">
        <f aca="false">IF(Returns!$O137=1,Returns!C137,"")</f>
        <v>-0.0770962058017</v>
      </c>
      <c r="M137" s="26" t="n">
        <f aca="false">IF(Returns!$O137=1,Returns!D137,"")</f>
        <v>-0.102941176470588</v>
      </c>
      <c r="N137" s="26" t="n">
        <f aca="false">IF(Returns!$O137=1,Returns!E137,"")</f>
        <v>-0.138267143022847</v>
      </c>
      <c r="O137" s="26" t="n">
        <f aca="false">IF(Returns!$O137=1,Returns!F137,"")</f>
        <v>-0.121195775293624</v>
      </c>
      <c r="P137" s="26" t="n">
        <f aca="false">IF(Returns!$O137=1,Returns!G137,"")</f>
        <v>-0.117948666666667</v>
      </c>
      <c r="Q137" s="26" t="n">
        <f aca="false">IF(Returns!$O137=1,Returns!H137,"")</f>
        <v>-0.131538461538462</v>
      </c>
      <c r="R137" s="26" t="n">
        <f aca="false">IF(Returns!$O137=1,Returns!I137,"")</f>
        <v>-0.133420521486767</v>
      </c>
      <c r="S137" s="26" t="n">
        <f aca="false">IF(Returns!$O137=1,Returns!J137,"")</f>
        <v>-0.0688989674246673</v>
      </c>
      <c r="T137" s="26" t="str">
        <f aca="false">IF(Returns!$O137=1,"",Returns!K137)</f>
        <v/>
      </c>
    </row>
    <row r="138" customFormat="false" ht="15" hidden="false" customHeight="false" outlineLevel="0" collapsed="false">
      <c r="A138" s="25" t="n">
        <f aca="false">Returns!A138</f>
        <v>43909</v>
      </c>
      <c r="B138" s="26" t="str">
        <f aca="false">IF(Returns!$O138=1,"",Returns!B138)</f>
        <v/>
      </c>
      <c r="C138" s="26" t="str">
        <f aca="false">IF(Returns!$O138=1,"",Returns!C138)</f>
        <v/>
      </c>
      <c r="D138" s="26" t="str">
        <f aca="false">IF(Returns!$O138=1,"",Returns!D138)</f>
        <v/>
      </c>
      <c r="E138" s="26" t="str">
        <f aca="false">IF(Returns!$O138=1,"",Returns!E138)</f>
        <v/>
      </c>
      <c r="F138" s="26" t="str">
        <f aca="false">IF(Returns!$O138=1,"",Returns!F138)</f>
        <v/>
      </c>
      <c r="G138" s="26" t="str">
        <f aca="false">IF(Returns!$O138=1,"",Returns!G138)</f>
        <v/>
      </c>
      <c r="H138" s="26" t="str">
        <f aca="false">IF(Returns!$O138=1,"",Returns!H138)</f>
        <v/>
      </c>
      <c r="I138" s="26" t="str">
        <f aca="false">IF(Returns!$O138=1,"",Returns!I138)</f>
        <v/>
      </c>
      <c r="J138" s="26" t="str">
        <f aca="false">IF(Returns!$O138=1,"",Returns!J138)</f>
        <v/>
      </c>
      <c r="K138" s="26" t="n">
        <f aca="false">IF(Returns!$O138=1,Returns!B138,"")</f>
        <v>0.0714285714285714</v>
      </c>
      <c r="L138" s="26" t="n">
        <f aca="false">IF(Returns!$O138=1,Returns!C138,"")</f>
        <v>-0.00884149417199676</v>
      </c>
      <c r="M138" s="26" t="n">
        <f aca="false">IF(Returns!$O138=1,Returns!D138,"")</f>
        <v>0.0991412958626072</v>
      </c>
      <c r="N138" s="26" t="n">
        <f aca="false">IF(Returns!$O138=1,Returns!E138,"")</f>
        <v>0.0925847887480189</v>
      </c>
      <c r="O138" s="26" t="n">
        <f aca="false">IF(Returns!$O138=1,Returns!F138,"")</f>
        <v>0.0105134190029579</v>
      </c>
      <c r="P138" s="26" t="n">
        <f aca="false">IF(Returns!$O138=1,Returns!G138,"")</f>
        <v>0.161627839440242</v>
      </c>
      <c r="Q138" s="26" t="n">
        <f aca="false">IF(Returns!$O138=1,Returns!H138,"")</f>
        <v>0.0814880425155007</v>
      </c>
      <c r="R138" s="26" t="n">
        <f aca="false">IF(Returns!$O138=1,Returns!I138,"")</f>
        <v>0.0830189128482881</v>
      </c>
      <c r="S138" s="26" t="n">
        <f aca="false">IF(Returns!$O138=1,Returns!J138,"")</f>
        <v>-0.0582147447236872</v>
      </c>
      <c r="T138" s="26" t="str">
        <f aca="false">IF(Returns!$O138=1,"",Returns!K138)</f>
        <v/>
      </c>
    </row>
    <row r="139" customFormat="false" ht="15" hidden="false" customHeight="false" outlineLevel="0" collapsed="false">
      <c r="A139" s="25" t="n">
        <f aca="false">Returns!A139</f>
        <v>43910</v>
      </c>
      <c r="B139" s="26" t="str">
        <f aca="false">IF(Returns!$O139=1,"",Returns!B139)</f>
        <v/>
      </c>
      <c r="C139" s="26" t="str">
        <f aca="false">IF(Returns!$O139=1,"",Returns!C139)</f>
        <v/>
      </c>
      <c r="D139" s="26" t="str">
        <f aca="false">IF(Returns!$O139=1,"",Returns!D139)</f>
        <v/>
      </c>
      <c r="E139" s="26" t="str">
        <f aca="false">IF(Returns!$O139=1,"",Returns!E139)</f>
        <v/>
      </c>
      <c r="F139" s="26" t="str">
        <f aca="false">IF(Returns!$O139=1,"",Returns!F139)</f>
        <v/>
      </c>
      <c r="G139" s="26" t="str">
        <f aca="false">IF(Returns!$O139=1,"",Returns!G139)</f>
        <v/>
      </c>
      <c r="H139" s="26" t="str">
        <f aca="false">IF(Returns!$O139=1,"",Returns!H139)</f>
        <v/>
      </c>
      <c r="I139" s="26" t="str">
        <f aca="false">IF(Returns!$O139=1,"",Returns!I139)</f>
        <v/>
      </c>
      <c r="J139" s="26" t="str">
        <f aca="false">IF(Returns!$O139=1,"",Returns!J139)</f>
        <v/>
      </c>
      <c r="K139" s="26" t="n">
        <f aca="false">IF(Returns!$O139=1,Returns!B139,"")</f>
        <v>-0.0602666133333334</v>
      </c>
      <c r="L139" s="26" t="n">
        <f aca="false">IF(Returns!$O139=1,Returns!C139,"")</f>
        <v>-0.00215315300849905</v>
      </c>
      <c r="M139" s="26" t="n">
        <f aca="false">IF(Returns!$O139=1,Returns!D139,"")</f>
        <v>-0.0731534090909091</v>
      </c>
      <c r="N139" s="26" t="n">
        <f aca="false">IF(Returns!$O139=1,Returns!E139,"")</f>
        <v>0.0563649923312883</v>
      </c>
      <c r="O139" s="26" t="n">
        <f aca="false">IF(Returns!$O139=1,Returns!F139,"")</f>
        <v>0.0777233166883218</v>
      </c>
      <c r="P139" s="26" t="n">
        <f aca="false">IF(Returns!$O139=1,Returns!G139,"")</f>
        <v>-0.0475474974974975</v>
      </c>
      <c r="Q139" s="26" t="n">
        <f aca="false">IF(Returns!$O139=1,Returns!H139,"")</f>
        <v>-0.0171990171990173</v>
      </c>
      <c r="R139" s="26" t="n">
        <f aca="false">IF(Returns!$O139=1,Returns!I139,"")</f>
        <v>0.0543553505127632</v>
      </c>
      <c r="S139" s="26" t="n">
        <f aca="false">IF(Returns!$O139=1,Returns!J139,"")</f>
        <v>-0.033241838832866</v>
      </c>
      <c r="T139" s="26" t="str">
        <f aca="false">IF(Returns!$O139=1,"",Returns!K139)</f>
        <v/>
      </c>
    </row>
    <row r="140" customFormat="false" ht="15" hidden="false" customHeight="false" outlineLevel="0" collapsed="false">
      <c r="A140" s="25" t="n">
        <f aca="false">Returns!A140</f>
        <v>43913</v>
      </c>
      <c r="B140" s="26" t="str">
        <f aca="false">IF(Returns!$O140=1,"",Returns!B140)</f>
        <v/>
      </c>
      <c r="C140" s="26" t="str">
        <f aca="false">IF(Returns!$O140=1,"",Returns!C140)</f>
        <v/>
      </c>
      <c r="D140" s="26" t="str">
        <f aca="false">IF(Returns!$O140=1,"",Returns!D140)</f>
        <v/>
      </c>
      <c r="E140" s="26" t="str">
        <f aca="false">IF(Returns!$O140=1,"",Returns!E140)</f>
        <v/>
      </c>
      <c r="F140" s="26" t="str">
        <f aca="false">IF(Returns!$O140=1,"",Returns!F140)</f>
        <v/>
      </c>
      <c r="G140" s="26" t="str">
        <f aca="false">IF(Returns!$O140=1,"",Returns!G140)</f>
        <v/>
      </c>
      <c r="H140" s="26" t="str">
        <f aca="false">IF(Returns!$O140=1,"",Returns!H140)</f>
        <v/>
      </c>
      <c r="I140" s="26" t="str">
        <f aca="false">IF(Returns!$O140=1,"",Returns!I140)</f>
        <v/>
      </c>
      <c r="J140" s="26" t="str">
        <f aca="false">IF(Returns!$O140=1,"",Returns!J140)</f>
        <v/>
      </c>
      <c r="K140" s="26" t="n">
        <f aca="false">IF(Returns!$O140=1,Returns!B140,"")</f>
        <v>-0.0482406612803257</v>
      </c>
      <c r="L140" s="26" t="n">
        <f aca="false">IF(Returns!$O140=1,Returns!C140,"")</f>
        <v>-0.0613439907935879</v>
      </c>
      <c r="M140" s="26" t="n">
        <f aca="false">IF(Returns!$O140=1,Returns!D140,"")</f>
        <v>0.0352490421455938</v>
      </c>
      <c r="N140" s="26" t="n">
        <f aca="false">IF(Returns!$O140=1,Returns!E140,"")</f>
        <v>-0.125226828501881</v>
      </c>
      <c r="O140" s="26" t="n">
        <f aca="false">IF(Returns!$O140=1,Returns!F140,"")</f>
        <v>-0.00681424858069213</v>
      </c>
      <c r="P140" s="26" t="n">
        <f aca="false">IF(Returns!$O140=1,Returns!G140,"")</f>
        <v>-0.0798739316934348</v>
      </c>
      <c r="Q140" s="26" t="n">
        <f aca="false">IF(Returns!$O140=1,Returns!H140,"")</f>
        <v>-0.0416666666666666</v>
      </c>
      <c r="R140" s="26" t="n">
        <f aca="false">IF(Returns!$O140=1,Returns!I140,"")</f>
        <v>-0.037673470241735</v>
      </c>
      <c r="S140" s="26" t="n">
        <f aca="false">IF(Returns!$O140=1,Returns!J140,"")</f>
        <v>-0.0309747380214476</v>
      </c>
      <c r="T140" s="26" t="str">
        <f aca="false">IF(Returns!$O140=1,"",Returns!K140)</f>
        <v/>
      </c>
    </row>
    <row r="141" customFormat="false" ht="15" hidden="false" customHeight="false" outlineLevel="0" collapsed="false">
      <c r="A141" s="25" t="n">
        <f aca="false">Returns!A141</f>
        <v>43914</v>
      </c>
      <c r="B141" s="26" t="str">
        <f aca="false">IF(Returns!$O141=1,"",Returns!B141)</f>
        <v/>
      </c>
      <c r="C141" s="26" t="str">
        <f aca="false">IF(Returns!$O141=1,"",Returns!C141)</f>
        <v/>
      </c>
      <c r="D141" s="26" t="str">
        <f aca="false">IF(Returns!$O141=1,"",Returns!D141)</f>
        <v/>
      </c>
      <c r="E141" s="26" t="str">
        <f aca="false">IF(Returns!$O141=1,"",Returns!E141)</f>
        <v/>
      </c>
      <c r="F141" s="26" t="str">
        <f aca="false">IF(Returns!$O141=1,"",Returns!F141)</f>
        <v/>
      </c>
      <c r="G141" s="26" t="str">
        <f aca="false">IF(Returns!$O141=1,"",Returns!G141)</f>
        <v/>
      </c>
      <c r="H141" s="26" t="str">
        <f aca="false">IF(Returns!$O141=1,"",Returns!H141)</f>
        <v/>
      </c>
      <c r="I141" s="26" t="str">
        <f aca="false">IF(Returns!$O141=1,"",Returns!I141)</f>
        <v/>
      </c>
      <c r="J141" s="26" t="str">
        <f aca="false">IF(Returns!$O141=1,"",Returns!J141)</f>
        <v/>
      </c>
      <c r="K141" s="26" t="n">
        <f aca="false">IF(Returns!$O141=1,Returns!B141,"")</f>
        <v>0.0494931410407533</v>
      </c>
      <c r="L141" s="26" t="n">
        <f aca="false">IF(Returns!$O141=1,Returns!C141,"")</f>
        <v>0.192446600985221</v>
      </c>
      <c r="M141" s="26" t="n">
        <f aca="false">IF(Returns!$O141=1,Returns!D141,"")</f>
        <v>-0.00296076980014792</v>
      </c>
      <c r="N141" s="26" t="n">
        <f aca="false">IF(Returns!$O141=1,Returns!E141,"")</f>
        <v>0.127800829875519</v>
      </c>
      <c r="O141" s="26" t="n">
        <f aca="false">IF(Returns!$O141=1,Returns!F141,"")</f>
        <v>0.102915876779559</v>
      </c>
      <c r="P141" s="26" t="n">
        <f aca="false">IF(Returns!$O141=1,Returns!G141,"")</f>
        <v>0.173044031981725</v>
      </c>
      <c r="Q141" s="26" t="n">
        <f aca="false">IF(Returns!$O141=1,Returns!H141,"")</f>
        <v>0.152173913043478</v>
      </c>
      <c r="R141" s="26" t="n">
        <f aca="false">IF(Returns!$O141=1,Returns!I141,"")</f>
        <v>0.119848899684654</v>
      </c>
      <c r="S141" s="26" t="n">
        <f aca="false">IF(Returns!$O141=1,Returns!J141,"")</f>
        <v>0.103812352129757</v>
      </c>
      <c r="T141" s="26" t="str">
        <f aca="false">IF(Returns!$O141=1,"",Returns!K141)</f>
        <v/>
      </c>
    </row>
    <row r="142" customFormat="false" ht="15" hidden="false" customHeight="false" outlineLevel="0" collapsed="false">
      <c r="A142" s="25" t="n">
        <f aca="false">Returns!A142</f>
        <v>43915</v>
      </c>
      <c r="B142" s="26" t="str">
        <f aca="false">IF(Returns!$O142=1,"",Returns!B142)</f>
        <v/>
      </c>
      <c r="C142" s="26" t="str">
        <f aca="false">IF(Returns!$O142=1,"",Returns!C142)</f>
        <v/>
      </c>
      <c r="D142" s="26" t="str">
        <f aca="false">IF(Returns!$O142=1,"",Returns!D142)</f>
        <v/>
      </c>
      <c r="E142" s="26" t="str">
        <f aca="false">IF(Returns!$O142=1,"",Returns!E142)</f>
        <v/>
      </c>
      <c r="F142" s="26" t="str">
        <f aca="false">IF(Returns!$O142=1,"",Returns!F142)</f>
        <v/>
      </c>
      <c r="G142" s="26" t="str">
        <f aca="false">IF(Returns!$O142=1,"",Returns!G142)</f>
        <v/>
      </c>
      <c r="H142" s="26" t="str">
        <f aca="false">IF(Returns!$O142=1,"",Returns!H142)</f>
        <v/>
      </c>
      <c r="I142" s="26" t="str">
        <f aca="false">IF(Returns!$O142=1,"",Returns!I142)</f>
        <v/>
      </c>
      <c r="J142" s="26" t="str">
        <f aca="false">IF(Returns!$O142=1,"",Returns!J142)</f>
        <v/>
      </c>
      <c r="K142" s="26" t="n">
        <f aca="false">IF(Returns!$O142=1,Returns!B142,"")</f>
        <v>0.166193120278604</v>
      </c>
      <c r="L142" s="26" t="n">
        <f aca="false">IF(Returns!$O142=1,Returns!C142,"")</f>
        <v>0.0683007730184735</v>
      </c>
      <c r="M142" s="26" t="n">
        <f aca="false">IF(Returns!$O142=1,Returns!D142,"")</f>
        <v>0.0304380103934669</v>
      </c>
      <c r="N142" s="26" t="n">
        <f aca="false">IF(Returns!$O142=1,Returns!E142,"")</f>
        <v>0.26821195732156</v>
      </c>
      <c r="O142" s="26" t="n">
        <f aca="false">IF(Returns!$O142=1,Returns!F142,"")</f>
        <v>0.0383618634003595</v>
      </c>
      <c r="P142" s="26" t="n">
        <f aca="false">IF(Returns!$O142=1,Returns!G142,"")</f>
        <v>0.124147949165144</v>
      </c>
      <c r="Q142" s="26" t="n">
        <f aca="false">IF(Returns!$O142=1,Returns!H142,"")</f>
        <v>0.080754716981132</v>
      </c>
      <c r="R142" s="26" t="n">
        <f aca="false">IF(Returns!$O142=1,Returns!I142,"")</f>
        <v>0.102729173812603</v>
      </c>
      <c r="S142" s="26" t="n">
        <f aca="false">IF(Returns!$O142=1,Returns!J142,"")</f>
        <v>0.0852815910011049</v>
      </c>
      <c r="T142" s="26" t="str">
        <f aca="false">IF(Returns!$O142=1,"",Returns!K142)</f>
        <v/>
      </c>
    </row>
    <row r="143" customFormat="false" ht="15" hidden="false" customHeight="false" outlineLevel="0" collapsed="false">
      <c r="A143" s="25" t="n">
        <f aca="false">Returns!A143</f>
        <v>43916</v>
      </c>
      <c r="B143" s="26" t="str">
        <f aca="false">IF(Returns!$O143=1,"",Returns!B143)</f>
        <v/>
      </c>
      <c r="C143" s="26" t="str">
        <f aca="false">IF(Returns!$O143=1,"",Returns!C143)</f>
        <v/>
      </c>
      <c r="D143" s="26" t="str">
        <f aca="false">IF(Returns!$O143=1,"",Returns!D143)</f>
        <v/>
      </c>
      <c r="E143" s="26" t="str">
        <f aca="false">IF(Returns!$O143=1,"",Returns!E143)</f>
        <v/>
      </c>
      <c r="F143" s="26" t="str">
        <f aca="false">IF(Returns!$O143=1,"",Returns!F143)</f>
        <v/>
      </c>
      <c r="G143" s="26" t="str">
        <f aca="false">IF(Returns!$O143=1,"",Returns!G143)</f>
        <v/>
      </c>
      <c r="H143" s="26" t="str">
        <f aca="false">IF(Returns!$O143=1,"",Returns!H143)</f>
        <v/>
      </c>
      <c r="I143" s="26" t="str">
        <f aca="false">IF(Returns!$O143=1,"",Returns!I143)</f>
        <v/>
      </c>
      <c r="J143" s="26" t="str">
        <f aca="false">IF(Returns!$O143=1,"",Returns!J143)</f>
        <v/>
      </c>
      <c r="K143" s="26" t="n">
        <f aca="false">IF(Returns!$O143=1,Returns!B143,"")</f>
        <v>0.0267966632593584</v>
      </c>
      <c r="L143" s="26" t="n">
        <f aca="false">IF(Returns!$O143=1,Returns!C143,"")</f>
        <v>-0.00386697602474861</v>
      </c>
      <c r="M143" s="26" t="n">
        <f aca="false">IF(Returns!$O143=1,Returns!D143,"")</f>
        <v>0.0180115273775217</v>
      </c>
      <c r="N143" s="26" t="n">
        <f aca="false">IF(Returns!$O143=1,Returns!E143,"")</f>
        <v>0.00638230326712197</v>
      </c>
      <c r="O143" s="26" t="n">
        <f aca="false">IF(Returns!$O143=1,Returns!F143,"")</f>
        <v>0.0409385225892893</v>
      </c>
      <c r="P143" s="26" t="n">
        <f aca="false">IF(Returns!$O143=1,Returns!G143,"")</f>
        <v>0.0311822867042011</v>
      </c>
      <c r="Q143" s="26" t="n">
        <f aca="false">IF(Returns!$O143=1,Returns!H143,"")</f>
        <v>0.00488826815642462</v>
      </c>
      <c r="R143" s="26" t="n">
        <f aca="false">IF(Returns!$O143=1,Returns!I143,"")</f>
        <v>0.0703559819367519</v>
      </c>
      <c r="S143" s="26" t="n">
        <f aca="false">IF(Returns!$O143=1,Returns!J143,"")</f>
        <v>0.0281518251237123</v>
      </c>
      <c r="T143" s="26" t="str">
        <f aca="false">IF(Returns!$O143=1,"",Returns!K143)</f>
        <v/>
      </c>
    </row>
    <row r="144" customFormat="false" ht="15" hidden="false" customHeight="false" outlineLevel="0" collapsed="false">
      <c r="A144" s="25" t="n">
        <f aca="false">Returns!A144</f>
        <v>43917</v>
      </c>
      <c r="B144" s="26" t="str">
        <f aca="false">IF(Returns!$O144=1,"",Returns!B144)</f>
        <v/>
      </c>
      <c r="C144" s="26" t="str">
        <f aca="false">IF(Returns!$O144=1,"",Returns!C144)</f>
        <v/>
      </c>
      <c r="D144" s="26" t="str">
        <f aca="false">IF(Returns!$O144=1,"",Returns!D144)</f>
        <v/>
      </c>
      <c r="E144" s="26" t="str">
        <f aca="false">IF(Returns!$O144=1,"",Returns!E144)</f>
        <v/>
      </c>
      <c r="F144" s="26" t="str">
        <f aca="false">IF(Returns!$O144=1,"",Returns!F144)</f>
        <v/>
      </c>
      <c r="G144" s="26" t="str">
        <f aca="false">IF(Returns!$O144=1,"",Returns!G144)</f>
        <v/>
      </c>
      <c r="H144" s="26" t="str">
        <f aca="false">IF(Returns!$O144=1,"",Returns!H144)</f>
        <v/>
      </c>
      <c r="I144" s="26" t="str">
        <f aca="false">IF(Returns!$O144=1,"",Returns!I144)</f>
        <v/>
      </c>
      <c r="J144" s="26" t="str">
        <f aca="false">IF(Returns!$O144=1,"",Returns!J144)</f>
        <v/>
      </c>
      <c r="K144" s="26" t="n">
        <f aca="false">IF(Returns!$O144=1,Returns!B144,"")</f>
        <v>-0.0597864977562753</v>
      </c>
      <c r="L144" s="26" t="n">
        <f aca="false">IF(Returns!$O144=1,Returns!C144,"")</f>
        <v>-0.0447722826086957</v>
      </c>
      <c r="M144" s="26" t="n">
        <f aca="false">IF(Returns!$O144=1,Returns!D144,"")</f>
        <v>0.0601556970983723</v>
      </c>
      <c r="N144" s="26" t="n">
        <f aca="false">IF(Returns!$O144=1,Returns!E144,"")</f>
        <v>-0.0971461256023675</v>
      </c>
      <c r="O144" s="26" t="n">
        <f aca="false">IF(Returns!$O144=1,Returns!F144,"")</f>
        <v>-0.0887290144810859</v>
      </c>
      <c r="P144" s="26" t="n">
        <f aca="false">IF(Returns!$O144=1,Returns!G144,"")</f>
        <v>-0.104997904451823</v>
      </c>
      <c r="Q144" s="26" t="n">
        <f aca="false">IF(Returns!$O144=1,Returns!H144,"")</f>
        <v>-0.0757470465601112</v>
      </c>
      <c r="R144" s="26" t="n">
        <f aca="false">IF(Returns!$O144=1,Returns!I144,"")</f>
        <v>-0.0646921067567592</v>
      </c>
      <c r="S144" s="26" t="n">
        <f aca="false">IF(Returns!$O144=1,Returns!J144,"")</f>
        <v>-0.0452381428571429</v>
      </c>
      <c r="T144" s="26" t="str">
        <f aca="false">IF(Returns!$O144=1,"",Returns!K144)</f>
        <v/>
      </c>
    </row>
    <row r="145" customFormat="false" ht="15" hidden="false" customHeight="false" outlineLevel="0" collapsed="false">
      <c r="A145" s="25" t="n">
        <f aca="false">Returns!A145</f>
        <v>43920</v>
      </c>
      <c r="B145" s="26" t="str">
        <f aca="false">IF(Returns!$O145=1,"",Returns!B145)</f>
        <v/>
      </c>
      <c r="C145" s="26" t="str">
        <f aca="false">IF(Returns!$O145=1,"",Returns!C145)</f>
        <v/>
      </c>
      <c r="D145" s="26" t="str">
        <f aca="false">IF(Returns!$O145=1,"",Returns!D145)</f>
        <v/>
      </c>
      <c r="E145" s="26" t="str">
        <f aca="false">IF(Returns!$O145=1,"",Returns!E145)</f>
        <v/>
      </c>
      <c r="F145" s="26" t="str">
        <f aca="false">IF(Returns!$O145=1,"",Returns!F145)</f>
        <v/>
      </c>
      <c r="G145" s="26" t="str">
        <f aca="false">IF(Returns!$O145=1,"",Returns!G145)</f>
        <v/>
      </c>
      <c r="H145" s="26" t="str">
        <f aca="false">IF(Returns!$O145=1,"",Returns!H145)</f>
        <v/>
      </c>
      <c r="I145" s="26" t="str">
        <f aca="false">IF(Returns!$O145=1,"",Returns!I145)</f>
        <v/>
      </c>
      <c r="J145" s="26" t="str">
        <f aca="false">IF(Returns!$O145=1,"",Returns!J145)</f>
        <v/>
      </c>
      <c r="K145" s="26" t="n">
        <f aca="false">IF(Returns!$O145=1,Returns!B145,"")</f>
        <v>-0.0550088303051014</v>
      </c>
      <c r="L145" s="26" t="n">
        <f aca="false">IF(Returns!$O145=1,Returns!C145,"")</f>
        <v>0.00243836365316619</v>
      </c>
      <c r="M145" s="26" t="n">
        <f aca="false">IF(Returns!$O145=1,Returns!D145,"")</f>
        <v>0.0500667556742322</v>
      </c>
      <c r="N145" s="26" t="n">
        <f aca="false">IF(Returns!$O145=1,Returns!E145,"")</f>
        <v>-0.0836525862068965</v>
      </c>
      <c r="O145" s="26" t="n">
        <f aca="false">IF(Returns!$O145=1,Returns!F145,"")</f>
        <v>0.00210534977860921</v>
      </c>
      <c r="P145" s="26" t="n">
        <f aca="false">IF(Returns!$O145=1,Returns!G145,"")</f>
        <v>-0.0168933841808252</v>
      </c>
      <c r="Q145" s="26" t="n">
        <f aca="false">IF(Returns!$O145=1,Returns!H145,"")</f>
        <v>0.00601503759398492</v>
      </c>
      <c r="R145" s="26" t="n">
        <f aca="false">IF(Returns!$O145=1,Returns!I145,"")</f>
        <v>-0.00694445757431772</v>
      </c>
      <c r="S145" s="26" t="n">
        <f aca="false">IF(Returns!$O145=1,Returns!J145,"")</f>
        <v>0.0416459372391989</v>
      </c>
      <c r="T145" s="26" t="str">
        <f aca="false">IF(Returns!$O145=1,"",Returns!K145)</f>
        <v/>
      </c>
    </row>
    <row r="146" customFormat="false" ht="15" hidden="false" customHeight="false" outlineLevel="0" collapsed="false">
      <c r="A146" s="25" t="n">
        <f aca="false">Returns!A146</f>
        <v>43921</v>
      </c>
      <c r="B146" s="26" t="str">
        <f aca="false">IF(Returns!$O146=1,"",Returns!B146)</f>
        <v/>
      </c>
      <c r="C146" s="26" t="str">
        <f aca="false">IF(Returns!$O146=1,"",Returns!C146)</f>
        <v/>
      </c>
      <c r="D146" s="26" t="str">
        <f aca="false">IF(Returns!$O146=1,"",Returns!D146)</f>
        <v/>
      </c>
      <c r="E146" s="26" t="str">
        <f aca="false">IF(Returns!$O146=1,"",Returns!E146)</f>
        <v/>
      </c>
      <c r="F146" s="26" t="str">
        <f aca="false">IF(Returns!$O146=1,"",Returns!F146)</f>
        <v/>
      </c>
      <c r="G146" s="26" t="str">
        <f aca="false">IF(Returns!$O146=1,"",Returns!G146)</f>
        <v/>
      </c>
      <c r="H146" s="26" t="str">
        <f aca="false">IF(Returns!$O146=1,"",Returns!H146)</f>
        <v/>
      </c>
      <c r="I146" s="26" t="str">
        <f aca="false">IF(Returns!$O146=1,"",Returns!I146)</f>
        <v/>
      </c>
      <c r="J146" s="26" t="str">
        <f aca="false">IF(Returns!$O146=1,"",Returns!J146)</f>
        <v/>
      </c>
      <c r="K146" s="26" t="n">
        <f aca="false">IF(Returns!$O146=1,Returns!B146,"")</f>
        <v>-0.0154873694128873</v>
      </c>
      <c r="L146" s="26" t="n">
        <f aca="false">IF(Returns!$O146=1,Returns!C146,"")</f>
        <v>-0.0297297575602636</v>
      </c>
      <c r="M146" s="26" t="n">
        <f aca="false">IF(Returns!$O146=1,Returns!D146,"")</f>
        <v>0.031150603941513</v>
      </c>
      <c r="N146" s="26" t="n">
        <f aca="false">IF(Returns!$O146=1,Returns!E146,"")</f>
        <v>-0.0836237601524823</v>
      </c>
      <c r="O146" s="26" t="n">
        <f aca="false">IF(Returns!$O146=1,Returns!F146,"")</f>
        <v>-0.0546219332272553</v>
      </c>
      <c r="P146" s="26" t="n">
        <f aca="false">IF(Returns!$O146=1,Returns!G146,"")</f>
        <v>-0.0892601866701582</v>
      </c>
      <c r="Q146" s="26" t="n">
        <f aca="false">IF(Returns!$O146=1,Returns!H146,"")</f>
        <v>0.0455904334828101</v>
      </c>
      <c r="R146" s="26" t="n">
        <f aca="false">IF(Returns!$O146=1,Returns!I146,"")</f>
        <v>-0.0545454737770049</v>
      </c>
      <c r="S146" s="26" t="n">
        <f aca="false">IF(Returns!$O146=1,Returns!J146,"")</f>
        <v>0.0347139334450564</v>
      </c>
      <c r="T146" s="26" t="str">
        <f aca="false">IF(Returns!$O146=1,"",Returns!K146)</f>
        <v/>
      </c>
    </row>
    <row r="147" customFormat="false" ht="15" hidden="false" customHeight="false" outlineLevel="0" collapsed="false">
      <c r="A147" s="25" t="n">
        <f aca="false">Returns!A147</f>
        <v>43922</v>
      </c>
      <c r="B147" s="26" t="str">
        <f aca="false">IF(Returns!$O147=1,"",Returns!B147)</f>
        <v/>
      </c>
      <c r="C147" s="26" t="str">
        <f aca="false">IF(Returns!$O147=1,"",Returns!C147)</f>
        <v/>
      </c>
      <c r="D147" s="26" t="str">
        <f aca="false">IF(Returns!$O147=1,"",Returns!D147)</f>
        <v/>
      </c>
      <c r="E147" s="26" t="str">
        <f aca="false">IF(Returns!$O147=1,"",Returns!E147)</f>
        <v/>
      </c>
      <c r="F147" s="26" t="str">
        <f aca="false">IF(Returns!$O147=1,"",Returns!F147)</f>
        <v/>
      </c>
      <c r="G147" s="26" t="str">
        <f aca="false">IF(Returns!$O147=1,"",Returns!G147)</f>
        <v/>
      </c>
      <c r="H147" s="26" t="str">
        <f aca="false">IF(Returns!$O147=1,"",Returns!H147)</f>
        <v/>
      </c>
      <c r="I147" s="26" t="str">
        <f aca="false">IF(Returns!$O147=1,"",Returns!I147)</f>
        <v/>
      </c>
      <c r="J147" s="26" t="str">
        <f aca="false">IF(Returns!$O147=1,"",Returns!J147)</f>
        <v/>
      </c>
      <c r="K147" s="26" t="n">
        <f aca="false">IF(Returns!$O147=1,Returns!B147,"")</f>
        <v>-0.020884215375216</v>
      </c>
      <c r="L147" s="26" t="n">
        <f aca="false">IF(Returns!$O147=1,Returns!C147,"")</f>
        <v>-0.0348188877336427</v>
      </c>
      <c r="M147" s="26" t="n">
        <f aca="false">IF(Returns!$O147=1,Returns!D147,"")</f>
        <v>-0.028976512267356</v>
      </c>
      <c r="N147" s="26" t="n">
        <f aca="false">IF(Returns!$O147=1,Returns!E147,"")</f>
        <v>-0.0988592433026329</v>
      </c>
      <c r="O147" s="26" t="n">
        <f aca="false">IF(Returns!$O147=1,Returns!F147,"")</f>
        <v>-0.00277766935578572</v>
      </c>
      <c r="P147" s="26" t="n">
        <f aca="false">IF(Returns!$O147=1,Returns!G147,"")</f>
        <v>-0.0288259433962264</v>
      </c>
      <c r="Q147" s="26" t="n">
        <f aca="false">IF(Returns!$O147=1,Returns!H147,"")</f>
        <v>0.0221586847748392</v>
      </c>
      <c r="R147" s="26" t="n">
        <f aca="false">IF(Returns!$O147=1,Returns!I147,"")</f>
        <v>0.0159763505964052</v>
      </c>
      <c r="S147" s="26" t="n">
        <f aca="false">IF(Returns!$O147=1,Returns!J147,"")</f>
        <v>0.0034705691006347</v>
      </c>
      <c r="T147" s="26" t="str">
        <f aca="false">IF(Returns!$O147=1,"",Returns!K147)</f>
        <v/>
      </c>
    </row>
    <row r="148" customFormat="false" ht="15" hidden="false" customHeight="false" outlineLevel="0" collapsed="false">
      <c r="A148" s="25" t="n">
        <f aca="false">Returns!A148</f>
        <v>43923</v>
      </c>
      <c r="B148" s="26" t="str">
        <f aca="false">IF(Returns!$O148=1,"",Returns!B148)</f>
        <v/>
      </c>
      <c r="C148" s="26" t="str">
        <f aca="false">IF(Returns!$O148=1,"",Returns!C148)</f>
        <v/>
      </c>
      <c r="D148" s="26" t="str">
        <f aca="false">IF(Returns!$O148=1,"",Returns!D148)</f>
        <v/>
      </c>
      <c r="E148" s="26" t="str">
        <f aca="false">IF(Returns!$O148=1,"",Returns!E148)</f>
        <v/>
      </c>
      <c r="F148" s="26" t="str">
        <f aca="false">IF(Returns!$O148=1,"",Returns!F148)</f>
        <v/>
      </c>
      <c r="G148" s="26" t="str">
        <f aca="false">IF(Returns!$O148=1,"",Returns!G148)</f>
        <v/>
      </c>
      <c r="H148" s="26" t="str">
        <f aca="false">IF(Returns!$O148=1,"",Returns!H148)</f>
        <v/>
      </c>
      <c r="I148" s="26" t="str">
        <f aca="false">IF(Returns!$O148=1,"",Returns!I148)</f>
        <v/>
      </c>
      <c r="J148" s="26" t="str">
        <f aca="false">IF(Returns!$O148=1,"",Returns!J148)</f>
        <v/>
      </c>
      <c r="K148" s="26" t="n">
        <f aca="false">IF(Returns!$O148=1,Returns!B148,"")</f>
        <v>-0.000276952923930818</v>
      </c>
      <c r="L148" s="26" t="n">
        <f aca="false">IF(Returns!$O148=1,Returns!C148,"")</f>
        <v>0.0620490043290043</v>
      </c>
      <c r="M148" s="26" t="n">
        <f aca="false">IF(Returns!$O148=1,Returns!D148,"")</f>
        <v>0.06984126984127</v>
      </c>
      <c r="N148" s="26" t="n">
        <f aca="false">IF(Returns!$O148=1,Returns!E148,"")</f>
        <v>0.102953497765675</v>
      </c>
      <c r="O148" s="26" t="n">
        <f aca="false">IF(Returns!$O148=1,Returns!F148,"")</f>
        <v>0.0334261597367918</v>
      </c>
      <c r="P148" s="26" t="n">
        <f aca="false">IF(Returns!$O148=1,Returns!G148,"")</f>
        <v>0.00485698840491167</v>
      </c>
      <c r="Q148" s="26" t="n">
        <f aca="false">IF(Returns!$O148=1,Returns!H148,"")</f>
        <v>0.0846153846153845</v>
      </c>
      <c r="R148" s="26" t="n">
        <f aca="false">IF(Returns!$O148=1,Returns!I148,"")</f>
        <v>0.035235892067371</v>
      </c>
      <c r="S148" s="26" t="n">
        <f aca="false">IF(Returns!$O148=1,Returns!J148,"")</f>
        <v>-0.0136038739590472</v>
      </c>
      <c r="T148" s="26" t="str">
        <f aca="false">IF(Returns!$O148=1,"",Returns!K148)</f>
        <v/>
      </c>
    </row>
    <row r="149" customFormat="false" ht="15" hidden="false" customHeight="false" outlineLevel="0" collapsed="false">
      <c r="A149" s="25" t="n">
        <f aca="false">Returns!A149</f>
        <v>43924</v>
      </c>
      <c r="B149" s="26" t="str">
        <f aca="false">IF(Returns!$O149=1,"",Returns!B149)</f>
        <v/>
      </c>
      <c r="C149" s="26" t="str">
        <f aca="false">IF(Returns!$O149=1,"",Returns!C149)</f>
        <v/>
      </c>
      <c r="D149" s="26" t="str">
        <f aca="false">IF(Returns!$O149=1,"",Returns!D149)</f>
        <v/>
      </c>
      <c r="E149" s="26" t="str">
        <f aca="false">IF(Returns!$O149=1,"",Returns!E149)</f>
        <v/>
      </c>
      <c r="F149" s="26" t="str">
        <f aca="false">IF(Returns!$O149=1,"",Returns!F149)</f>
        <v/>
      </c>
      <c r="G149" s="26" t="str">
        <f aca="false">IF(Returns!$O149=1,"",Returns!G149)</f>
        <v/>
      </c>
      <c r="H149" s="26" t="str">
        <f aca="false">IF(Returns!$O149=1,"",Returns!H149)</f>
        <v/>
      </c>
      <c r="I149" s="26" t="str">
        <f aca="false">IF(Returns!$O149=1,"",Returns!I149)</f>
        <v/>
      </c>
      <c r="J149" s="26" t="str">
        <f aca="false">IF(Returns!$O149=1,"",Returns!J149)</f>
        <v/>
      </c>
      <c r="K149" s="26" t="n">
        <f aca="false">IF(Returns!$O149=1,Returns!B149,"")</f>
        <v>-0.0847880576336937</v>
      </c>
      <c r="L149" s="26" t="n">
        <f aca="false">IF(Returns!$O149=1,Returns!C149,"")</f>
        <v>-0.0258151644464765</v>
      </c>
      <c r="M149" s="26" t="n">
        <f aca="false">IF(Returns!$O149=1,Returns!D149,"")</f>
        <v>-0.0142432640949556</v>
      </c>
      <c r="N149" s="26" t="n">
        <f aca="false">IF(Returns!$O149=1,Returns!E149,"")</f>
        <v>-0.108263202305402</v>
      </c>
      <c r="O149" s="26" t="n">
        <f aca="false">IF(Returns!$O149=1,Returns!F149,"")</f>
        <v>-0.0598383007094605</v>
      </c>
      <c r="P149" s="26" t="n">
        <f aca="false">IF(Returns!$O149=1,Returns!G149,"")</f>
        <v>-0.025778838572565</v>
      </c>
      <c r="Q149" s="26" t="n">
        <f aca="false">IF(Returns!$O149=1,Returns!H149,"")</f>
        <v>-0.0109606705351386</v>
      </c>
      <c r="R149" s="26" t="n">
        <f aca="false">IF(Returns!$O149=1,Returns!I149,"")</f>
        <v>-0.0348805111430373</v>
      </c>
      <c r="S149" s="26" t="n">
        <f aca="false">IF(Returns!$O149=1,Returns!J149,"")</f>
        <v>-0.0532959105492264</v>
      </c>
      <c r="T149" s="26" t="str">
        <f aca="false">IF(Returns!$O149=1,"",Returns!K149)</f>
        <v/>
      </c>
    </row>
    <row r="150" customFormat="false" ht="15" hidden="false" customHeight="false" outlineLevel="0" collapsed="false">
      <c r="A150" s="25" t="n">
        <f aca="false">Returns!A150</f>
        <v>43927</v>
      </c>
      <c r="B150" s="26" t="str">
        <f aca="false">IF(Returns!$O150=1,"",Returns!B150)</f>
        <v/>
      </c>
      <c r="C150" s="26" t="str">
        <f aca="false">IF(Returns!$O150=1,"",Returns!C150)</f>
        <v/>
      </c>
      <c r="D150" s="26" t="str">
        <f aca="false">IF(Returns!$O150=1,"",Returns!D150)</f>
        <v/>
      </c>
      <c r="E150" s="26" t="str">
        <f aca="false">IF(Returns!$O150=1,"",Returns!E150)</f>
        <v/>
      </c>
      <c r="F150" s="26" t="str">
        <f aca="false">IF(Returns!$O150=1,"",Returns!F150)</f>
        <v/>
      </c>
      <c r="G150" s="26" t="str">
        <f aca="false">IF(Returns!$O150=1,"",Returns!G150)</f>
        <v/>
      </c>
      <c r="H150" s="26" t="str">
        <f aca="false">IF(Returns!$O150=1,"",Returns!H150)</f>
        <v/>
      </c>
      <c r="I150" s="26" t="str">
        <f aca="false">IF(Returns!$O150=1,"",Returns!I150)</f>
        <v/>
      </c>
      <c r="J150" s="26" t="str">
        <f aca="false">IF(Returns!$O150=1,"",Returns!J150)</f>
        <v/>
      </c>
      <c r="K150" s="26" t="n">
        <f aca="false">IF(Returns!$O150=1,Returns!B150,"")</f>
        <v>0.135331551175645</v>
      </c>
      <c r="L150" s="26" t="n">
        <f aca="false">IF(Returns!$O150=1,Returns!C150,"")</f>
        <v>0.0379358158995817</v>
      </c>
      <c r="M150" s="26" t="n">
        <f aca="false">IF(Returns!$O150=1,Returns!D150,"")</f>
        <v>-0.00722462328569407</v>
      </c>
      <c r="N150" s="26" t="n">
        <f aca="false">IF(Returns!$O150=1,Returns!E150,"")</f>
        <v>0.201201252732786</v>
      </c>
      <c r="O150" s="26" t="n">
        <f aca="false">IF(Returns!$O150=1,Returns!F150,"")</f>
        <v>0.11811929221891</v>
      </c>
      <c r="P150" s="26" t="n">
        <f aca="false">IF(Returns!$O150=1,Returns!G150,"")</f>
        <v>0.0848953189027188</v>
      </c>
      <c r="Q150" s="26" t="n">
        <f aca="false">IF(Returns!$O150=1,Returns!H150,"")</f>
        <v>0.028031290743155</v>
      </c>
      <c r="R150" s="26" t="n">
        <f aca="false">IF(Returns!$O150=1,Returns!I150,"")</f>
        <v>0.121538981113449</v>
      </c>
      <c r="S150" s="26" t="n">
        <f aca="false">IF(Returns!$O150=1,Returns!J150,"")</f>
        <v>0.0649382962962963</v>
      </c>
      <c r="T150" s="26" t="str">
        <f aca="false">IF(Returns!$O150=1,"",Returns!K150)</f>
        <v/>
      </c>
    </row>
    <row r="151" customFormat="false" ht="15" hidden="false" customHeight="false" outlineLevel="0" collapsed="false">
      <c r="A151" s="25" t="n">
        <f aca="false">Returns!A151</f>
        <v>43928</v>
      </c>
      <c r="B151" s="26" t="str">
        <f aca="false">IF(Returns!$O151=1,"",Returns!B151)</f>
        <v/>
      </c>
      <c r="C151" s="26" t="str">
        <f aca="false">IF(Returns!$O151=1,"",Returns!C151)</f>
        <v/>
      </c>
      <c r="D151" s="26" t="str">
        <f aca="false">IF(Returns!$O151=1,"",Returns!D151)</f>
        <v/>
      </c>
      <c r="E151" s="26" t="str">
        <f aca="false">IF(Returns!$O151=1,"",Returns!E151)</f>
        <v/>
      </c>
      <c r="F151" s="26" t="str">
        <f aca="false">IF(Returns!$O151=1,"",Returns!F151)</f>
        <v/>
      </c>
      <c r="G151" s="26" t="str">
        <f aca="false">IF(Returns!$O151=1,"",Returns!G151)</f>
        <v/>
      </c>
      <c r="H151" s="26" t="str">
        <f aca="false">IF(Returns!$O151=1,"",Returns!H151)</f>
        <v/>
      </c>
      <c r="I151" s="26" t="str">
        <f aca="false">IF(Returns!$O151=1,"",Returns!I151)</f>
        <v/>
      </c>
      <c r="J151" s="26" t="str">
        <f aca="false">IF(Returns!$O151=1,"",Returns!J151)</f>
        <v/>
      </c>
      <c r="K151" s="26" t="n">
        <f aca="false">IF(Returns!$O151=1,Returns!B151,"")</f>
        <v>0.0370666400000002</v>
      </c>
      <c r="L151" s="26" t="n">
        <f aca="false">IF(Returns!$O151=1,Returns!C151,"")</f>
        <v>0.0346681009048133</v>
      </c>
      <c r="M151" s="26" t="n">
        <f aca="false">IF(Returns!$O151=1,Returns!D151,"")</f>
        <v>-0.0236506973923588</v>
      </c>
      <c r="N151" s="26" t="n">
        <f aca="false">IF(Returns!$O151=1,Returns!E151,"")</f>
        <v>0.0435713928571428</v>
      </c>
      <c r="O151" s="26" t="n">
        <f aca="false">IF(Returns!$O151=1,Returns!F151,"")</f>
        <v>0.0492306836741476</v>
      </c>
      <c r="P151" s="26" t="n">
        <f aca="false">IF(Returns!$O151=1,Returns!G151,"")</f>
        <v>0.0223577743902439</v>
      </c>
      <c r="Q151" s="26" t="n">
        <f aca="false">IF(Returns!$O151=1,Returns!H151,"")</f>
        <v>0.0399492707672795</v>
      </c>
      <c r="R151" s="26" t="n">
        <f aca="false">IF(Returns!$O151=1,Returns!I151,"")</f>
        <v>0.0322245044102569</v>
      </c>
      <c r="S151" s="26" t="n">
        <f aca="false">IF(Returns!$O151=1,Returns!J151,"")</f>
        <v>0.0150706697178142</v>
      </c>
      <c r="T151" s="26" t="str">
        <f aca="false">IF(Returns!$O151=1,"",Returns!K151)</f>
        <v/>
      </c>
    </row>
    <row r="152" customFormat="false" ht="15" hidden="false" customHeight="false" outlineLevel="0" collapsed="false">
      <c r="A152" s="25" t="n">
        <f aca="false">Returns!A152</f>
        <v>43929</v>
      </c>
      <c r="B152" s="26" t="str">
        <f aca="false">IF(Returns!$O152=1,"",Returns!B152)</f>
        <v/>
      </c>
      <c r="C152" s="26" t="str">
        <f aca="false">IF(Returns!$O152=1,"",Returns!C152)</f>
        <v/>
      </c>
      <c r="D152" s="26" t="str">
        <f aca="false">IF(Returns!$O152=1,"",Returns!D152)</f>
        <v/>
      </c>
      <c r="E152" s="26" t="str">
        <f aca="false">IF(Returns!$O152=1,"",Returns!E152)</f>
        <v/>
      </c>
      <c r="F152" s="26" t="str">
        <f aca="false">IF(Returns!$O152=1,"",Returns!F152)</f>
        <v/>
      </c>
      <c r="G152" s="26" t="str">
        <f aca="false">IF(Returns!$O152=1,"",Returns!G152)</f>
        <v/>
      </c>
      <c r="H152" s="26" t="str">
        <f aca="false">IF(Returns!$O152=1,"",Returns!H152)</f>
        <v/>
      </c>
      <c r="I152" s="26" t="str">
        <f aca="false">IF(Returns!$O152=1,"",Returns!I152)</f>
        <v/>
      </c>
      <c r="J152" s="26" t="str">
        <f aca="false">IF(Returns!$O152=1,"",Returns!J152)</f>
        <v/>
      </c>
      <c r="K152" s="26" t="n">
        <f aca="false">IF(Returns!$O152=1,Returns!B152,"")</f>
        <v>0.0174852408713098</v>
      </c>
      <c r="L152" s="26" t="n">
        <f aca="false">IF(Returns!$O152=1,Returns!C152,"")</f>
        <v>0.0210389615854276</v>
      </c>
      <c r="M152" s="26" t="n">
        <f aca="false">IF(Returns!$O152=1,Returns!D152,"")</f>
        <v>0.00869565217391277</v>
      </c>
      <c r="N152" s="26" t="n">
        <f aca="false">IF(Returns!$O152=1,Returns!E152,"")</f>
        <v>0.0917180387309389</v>
      </c>
      <c r="O152" s="26" t="n">
        <f aca="false">IF(Returns!$O152=1,Returns!F152,"")</f>
        <v>0.0698925078822785</v>
      </c>
      <c r="P152" s="26" t="n">
        <f aca="false">IF(Returns!$O152=1,Returns!G152,"")</f>
        <v>0.00248503963792057</v>
      </c>
      <c r="Q152" s="26" t="n">
        <f aca="false">IF(Returns!$O152=1,Returns!H152,"")</f>
        <v>0.0560975609756098</v>
      </c>
      <c r="R152" s="26" t="n">
        <f aca="false">IF(Returns!$O152=1,Returns!I152,"")</f>
        <v>0.0259315290128208</v>
      </c>
      <c r="S152" s="26" t="n">
        <f aca="false">IF(Returns!$O152=1,Returns!J152,"")</f>
        <v>-0.00616722261688474</v>
      </c>
      <c r="T152" s="26" t="str">
        <f aca="false">IF(Returns!$O152=1,"",Returns!K152)</f>
        <v/>
      </c>
    </row>
    <row r="153" customFormat="false" ht="15" hidden="false" customHeight="false" outlineLevel="0" collapsed="false">
      <c r="A153" s="25" t="n">
        <f aca="false">Returns!A153</f>
        <v>43930</v>
      </c>
      <c r="B153" s="26" t="str">
        <f aca="false">IF(Returns!$O153=1,"",Returns!B153)</f>
        <v/>
      </c>
      <c r="C153" s="26" t="str">
        <f aca="false">IF(Returns!$O153=1,"",Returns!C153)</f>
        <v/>
      </c>
      <c r="D153" s="26" t="str">
        <f aca="false">IF(Returns!$O153=1,"",Returns!D153)</f>
        <v/>
      </c>
      <c r="E153" s="26" t="str">
        <f aca="false">IF(Returns!$O153=1,"",Returns!E153)</f>
        <v/>
      </c>
      <c r="F153" s="26" t="str">
        <f aca="false">IF(Returns!$O153=1,"",Returns!F153)</f>
        <v/>
      </c>
      <c r="G153" s="26" t="str">
        <f aca="false">IF(Returns!$O153=1,"",Returns!G153)</f>
        <v/>
      </c>
      <c r="H153" s="26" t="str">
        <f aca="false">IF(Returns!$O153=1,"",Returns!H153)</f>
        <v/>
      </c>
      <c r="I153" s="26" t="str">
        <f aca="false">IF(Returns!$O153=1,"",Returns!I153)</f>
        <v/>
      </c>
      <c r="J153" s="26" t="str">
        <f aca="false">IF(Returns!$O153=1,"",Returns!J153)</f>
        <v/>
      </c>
      <c r="K153" s="26" t="n">
        <f aca="false">IF(Returns!$O153=1,Returns!B153,"")</f>
        <v>-0.0497852413444529</v>
      </c>
      <c r="L153" s="26" t="n">
        <f aca="false">IF(Returns!$O153=1,Returns!C153,"")</f>
        <v>-0.00763164608577072</v>
      </c>
      <c r="M153" s="26" t="n">
        <f aca="false">IF(Returns!$O153=1,Returns!D153,"")</f>
        <v>-0.0147783251231526</v>
      </c>
      <c r="N153" s="26" t="n">
        <f aca="false">IF(Returns!$O153=1,Returns!E153,"")</f>
        <v>-0.054858934169279</v>
      </c>
      <c r="O153" s="26" t="n">
        <f aca="false">IF(Returns!$O153=1,Returns!F153,"")</f>
        <v>-0.0269528643084291</v>
      </c>
      <c r="P153" s="26" t="n">
        <f aca="false">IF(Returns!$O153=1,Returns!G153,"")</f>
        <v>-0.0302429846306396</v>
      </c>
      <c r="Q153" s="26" t="n">
        <f aca="false">IF(Returns!$O153=1,Returns!H153,"")</f>
        <v>-0.0288683602771362</v>
      </c>
      <c r="R153" s="26" t="n">
        <f aca="false">IF(Returns!$O153=1,Returns!I153,"")</f>
        <v>-0.0355828422877501</v>
      </c>
      <c r="S153" s="26" t="n">
        <f aca="false">IF(Returns!$O153=1,Returns!J153,"")</f>
        <v>-0.00528611837674653</v>
      </c>
      <c r="T153" s="26" t="str">
        <f aca="false">IF(Returns!$O153=1,"",Returns!K153)</f>
        <v/>
      </c>
    </row>
    <row r="154" customFormat="false" ht="15" hidden="false" customHeight="false" outlineLevel="0" collapsed="false">
      <c r="A154" s="25" t="n">
        <f aca="false">Returns!A154</f>
        <v>43934</v>
      </c>
      <c r="B154" s="26" t="str">
        <f aca="false">IF(Returns!$O154=1,"",Returns!B154)</f>
        <v/>
      </c>
      <c r="C154" s="26" t="str">
        <f aca="false">IF(Returns!$O154=1,"",Returns!C154)</f>
        <v/>
      </c>
      <c r="D154" s="26" t="str">
        <f aca="false">IF(Returns!$O154=1,"",Returns!D154)</f>
        <v/>
      </c>
      <c r="E154" s="26" t="str">
        <f aca="false">IF(Returns!$O154=1,"",Returns!E154)</f>
        <v/>
      </c>
      <c r="F154" s="26" t="str">
        <f aca="false">IF(Returns!$O154=1,"",Returns!F154)</f>
        <v/>
      </c>
      <c r="G154" s="26" t="str">
        <f aca="false">IF(Returns!$O154=1,"",Returns!G154)</f>
        <v/>
      </c>
      <c r="H154" s="26" t="str">
        <f aca="false">IF(Returns!$O154=1,"",Returns!H154)</f>
        <v/>
      </c>
      <c r="I154" s="26" t="str">
        <f aca="false">IF(Returns!$O154=1,"",Returns!I154)</f>
        <v/>
      </c>
      <c r="J154" s="26" t="str">
        <f aca="false">IF(Returns!$O154=1,"",Returns!J154)</f>
        <v/>
      </c>
      <c r="K154" s="26" t="n">
        <f aca="false">IF(Returns!$O154=1,Returns!B154,"")</f>
        <v>-0.0279255068045482</v>
      </c>
      <c r="L154" s="26" t="n">
        <f aca="false">IF(Returns!$O154=1,Returns!C154,"")</f>
        <v>0.00845936960931493</v>
      </c>
      <c r="M154" s="26" t="n">
        <f aca="false">IF(Returns!$O154=1,Returns!D154,"")</f>
        <v>0.0125000625</v>
      </c>
      <c r="N154" s="26" t="n">
        <f aca="false">IF(Returns!$O154=1,Returns!E154,"")</f>
        <v>-0.0132669983416251</v>
      </c>
      <c r="O154" s="26" t="n">
        <f aca="false">IF(Returns!$O154=1,Returns!F154,"")</f>
        <v>-0.028638496371305</v>
      </c>
      <c r="P154" s="26" t="n">
        <f aca="false">IF(Returns!$O154=1,Returns!G154,"")</f>
        <v>0.00715756682809632</v>
      </c>
      <c r="Q154" s="26" t="n">
        <f aca="false">IF(Returns!$O154=1,Returns!H154,"")</f>
        <v>0.00653983353151011</v>
      </c>
      <c r="R154" s="26" t="n">
        <f aca="false">IF(Returns!$O154=1,Returns!I154,"")</f>
        <v>0.0368956960203386</v>
      </c>
      <c r="S154" s="26" t="n">
        <f aca="false">IF(Returns!$O154=1,Returns!J154,"")</f>
        <v>0.029805938766311</v>
      </c>
      <c r="T154" s="26" t="str">
        <f aca="false">IF(Returns!$O154=1,"",Returns!K154)</f>
        <v/>
      </c>
    </row>
    <row r="155" customFormat="false" ht="15" hidden="false" customHeight="false" outlineLevel="0" collapsed="false">
      <c r="A155" s="25" t="n">
        <f aca="false">Returns!A155</f>
        <v>43935</v>
      </c>
      <c r="B155" s="26" t="str">
        <f aca="false">IF(Returns!$O155=1,"",Returns!B155)</f>
        <v/>
      </c>
      <c r="C155" s="26" t="str">
        <f aca="false">IF(Returns!$O155=1,"",Returns!C155)</f>
        <v/>
      </c>
      <c r="D155" s="26" t="str">
        <f aca="false">IF(Returns!$O155=1,"",Returns!D155)</f>
        <v/>
      </c>
      <c r="E155" s="26" t="str">
        <f aca="false">IF(Returns!$O155=1,"",Returns!E155)</f>
        <v/>
      </c>
      <c r="F155" s="26" t="str">
        <f aca="false">IF(Returns!$O155=1,"",Returns!F155)</f>
        <v/>
      </c>
      <c r="G155" s="26" t="str">
        <f aca="false">IF(Returns!$O155=1,"",Returns!G155)</f>
        <v/>
      </c>
      <c r="H155" s="26" t="str">
        <f aca="false">IF(Returns!$O155=1,"",Returns!H155)</f>
        <v/>
      </c>
      <c r="I155" s="26" t="str">
        <f aca="false">IF(Returns!$O155=1,"",Returns!I155)</f>
        <v/>
      </c>
      <c r="J155" s="26" t="str">
        <f aca="false">IF(Returns!$O155=1,"",Returns!J155)</f>
        <v/>
      </c>
      <c r="K155" s="26" t="n">
        <f aca="false">IF(Returns!$O155=1,Returns!B155,"")</f>
        <v>0.0232558966691081</v>
      </c>
      <c r="L155" s="26" t="n">
        <f aca="false">IF(Returns!$O155=1,Returns!C155,"")</f>
        <v>0.00559224721891827</v>
      </c>
      <c r="M155" s="26" t="n">
        <f aca="false">IF(Returns!$O155=1,Returns!D155,"")</f>
        <v>0.0179011717344955</v>
      </c>
      <c r="N155" s="26" t="n">
        <f aca="false">IF(Returns!$O155=1,Returns!E155,"")</f>
        <v>0.0248739495798318</v>
      </c>
      <c r="O155" s="26" t="n">
        <f aca="false">IF(Returns!$O155=1,Returns!F155,"")</f>
        <v>0.0159497104071062</v>
      </c>
      <c r="P155" s="26" t="n">
        <f aca="false">IF(Returns!$O155=1,Returns!G155,"")</f>
        <v>-0.00507619263572623</v>
      </c>
      <c r="Q155" s="26" t="n">
        <f aca="false">IF(Returns!$O155=1,Returns!H155,"")</f>
        <v>-0.0118133490844654</v>
      </c>
      <c r="R155" s="26" t="n">
        <f aca="false">IF(Returns!$O155=1,Returns!I155,"")</f>
        <v>0.0866257063436591</v>
      </c>
      <c r="S155" s="26" t="n">
        <f aca="false">IF(Returns!$O155=1,Returns!J155,"")</f>
        <v>-0.000897487098945549</v>
      </c>
      <c r="T155" s="26" t="str">
        <f aca="false">IF(Returns!$O155=1,"",Returns!K155)</f>
        <v/>
      </c>
    </row>
    <row r="156" customFormat="false" ht="15" hidden="false" customHeight="false" outlineLevel="0" collapsed="false">
      <c r="A156" s="25" t="n">
        <f aca="false">Returns!A156</f>
        <v>43936</v>
      </c>
      <c r="B156" s="26" t="str">
        <f aca="false">IF(Returns!$O156=1,"",Returns!B156)</f>
        <v/>
      </c>
      <c r="C156" s="26" t="str">
        <f aca="false">IF(Returns!$O156=1,"",Returns!C156)</f>
        <v/>
      </c>
      <c r="D156" s="26" t="str">
        <f aca="false">IF(Returns!$O156=1,"",Returns!D156)</f>
        <v/>
      </c>
      <c r="E156" s="26" t="str">
        <f aca="false">IF(Returns!$O156=1,"",Returns!E156)</f>
        <v/>
      </c>
      <c r="F156" s="26" t="str">
        <f aca="false">IF(Returns!$O156=1,"",Returns!F156)</f>
        <v/>
      </c>
      <c r="G156" s="26" t="str">
        <f aca="false">IF(Returns!$O156=1,"",Returns!G156)</f>
        <v/>
      </c>
      <c r="H156" s="26" t="str">
        <f aca="false">IF(Returns!$O156=1,"",Returns!H156)</f>
        <v/>
      </c>
      <c r="I156" s="26" t="str">
        <f aca="false">IF(Returns!$O156=1,"",Returns!I156)</f>
        <v/>
      </c>
      <c r="J156" s="26" t="str">
        <f aca="false">IF(Returns!$O156=1,"",Returns!J156)</f>
        <v/>
      </c>
      <c r="K156" s="26" t="n">
        <f aca="false">IF(Returns!$O156=1,Returns!B156,"")</f>
        <v>0.0262031804169423</v>
      </c>
      <c r="L156" s="26" t="n">
        <f aca="false">IF(Returns!$O156=1,Returns!C156,"")</f>
        <v>0.00910010157230023</v>
      </c>
      <c r="M156" s="26" t="n">
        <f aca="false">IF(Returns!$O156=1,Returns!D156,"")</f>
        <v>-0.0224377804730139</v>
      </c>
      <c r="N156" s="26" t="n">
        <f aca="false">IF(Returns!$O156=1,Returns!E156,"")</f>
        <v>-0.0121350934732699</v>
      </c>
      <c r="O156" s="26" t="n">
        <f aca="false">IF(Returns!$O156=1,Returns!F156,"")</f>
        <v>0.0242625064398596</v>
      </c>
      <c r="P156" s="26" t="n">
        <f aca="false">IF(Returns!$O156=1,Returns!G156,"")</f>
        <v>-0.0285713775510205</v>
      </c>
      <c r="Q156" s="26" t="n">
        <f aca="false">IF(Returns!$O156=1,Returns!H156,"")</f>
        <v>-0.0209205618649133</v>
      </c>
      <c r="R156" s="26" t="n">
        <f aca="false">IF(Returns!$O156=1,Returns!I156,"")</f>
        <v>-0.0128725837462732</v>
      </c>
      <c r="S156" s="26" t="n">
        <f aca="false">IF(Returns!$O156=1,Returns!J156,"")</f>
        <v>-0.0300920734357079</v>
      </c>
      <c r="T156" s="26" t="str">
        <f aca="false">IF(Returns!$O156=1,"",Returns!K156)</f>
        <v/>
      </c>
    </row>
    <row r="157" customFormat="false" ht="15" hidden="false" customHeight="false" outlineLevel="0" collapsed="false">
      <c r="A157" s="25" t="n">
        <f aca="false">Returns!A157</f>
        <v>43937</v>
      </c>
      <c r="B157" s="26" t="str">
        <f aca="false">IF(Returns!$O157=1,"",Returns!B157)</f>
        <v/>
      </c>
      <c r="C157" s="26" t="str">
        <f aca="false">IF(Returns!$O157=1,"",Returns!C157)</f>
        <v/>
      </c>
      <c r="D157" s="26" t="str">
        <f aca="false">IF(Returns!$O157=1,"",Returns!D157)</f>
        <v/>
      </c>
      <c r="E157" s="26" t="str">
        <f aca="false">IF(Returns!$O157=1,"",Returns!E157)</f>
        <v/>
      </c>
      <c r="F157" s="26" t="str">
        <f aca="false">IF(Returns!$O157=1,"",Returns!F157)</f>
        <v/>
      </c>
      <c r="G157" s="26" t="str">
        <f aca="false">IF(Returns!$O157=1,"",Returns!G157)</f>
        <v/>
      </c>
      <c r="H157" s="26" t="str">
        <f aca="false">IF(Returns!$O157=1,"",Returns!H157)</f>
        <v/>
      </c>
      <c r="I157" s="26" t="str">
        <f aca="false">IF(Returns!$O157=1,"",Returns!I157)</f>
        <v/>
      </c>
      <c r="J157" s="26" t="str">
        <f aca="false">IF(Returns!$O157=1,"",Returns!J157)</f>
        <v/>
      </c>
      <c r="K157" s="26" t="n">
        <f aca="false">IF(Returns!$O157=1,Returns!B157,"")</f>
        <v>0.0448149284831962</v>
      </c>
      <c r="L157" s="26" t="n">
        <f aca="false">IF(Returns!$O157=1,Returns!C157,"")</f>
        <v>-0.0152805368377023</v>
      </c>
      <c r="M157" s="26" t="n">
        <f aca="false">IF(Returns!$O157=1,Returns!D157,"")</f>
        <v>-0.0111663144437769</v>
      </c>
      <c r="N157" s="26" t="n">
        <f aca="false">IF(Returns!$O157=1,Returns!E157,"")</f>
        <v>-0.0185923632605456</v>
      </c>
      <c r="O157" s="26" t="n">
        <f aca="false">IF(Returns!$O157=1,Returns!F157,"")</f>
        <v>0.0390153502391564</v>
      </c>
      <c r="P157" s="26" t="n">
        <f aca="false">IF(Returns!$O157=1,Returns!G157,"")</f>
        <v>-0.0126051463967886</v>
      </c>
      <c r="Q157" s="26" t="n">
        <f aca="false">IF(Returns!$O157=1,Returns!H157,"")</f>
        <v>-0.0402929817028683</v>
      </c>
      <c r="R157" s="26" t="n">
        <f aca="false">IF(Returns!$O157=1,Returns!I157,"")</f>
        <v>-0.0311141905795308</v>
      </c>
      <c r="S157" s="26" t="n">
        <f aca="false">IF(Returns!$O157=1,Returns!J157,"")</f>
        <v>-0.0099560317192875</v>
      </c>
      <c r="T157" s="26" t="str">
        <f aca="false">IF(Returns!$O157=1,"",Returns!K157)</f>
        <v/>
      </c>
    </row>
    <row r="158" customFormat="false" ht="15" hidden="false" customHeight="false" outlineLevel="0" collapsed="false">
      <c r="A158" s="25" t="n">
        <f aca="false">Returns!A158</f>
        <v>43938</v>
      </c>
      <c r="B158" s="26" t="str">
        <f aca="false">IF(Returns!$O158=1,"",Returns!B158)</f>
        <v/>
      </c>
      <c r="C158" s="26" t="str">
        <f aca="false">IF(Returns!$O158=1,"",Returns!C158)</f>
        <v/>
      </c>
      <c r="D158" s="26" t="str">
        <f aca="false">IF(Returns!$O158=1,"",Returns!D158)</f>
        <v/>
      </c>
      <c r="E158" s="26" t="str">
        <f aca="false">IF(Returns!$O158=1,"",Returns!E158)</f>
        <v/>
      </c>
      <c r="F158" s="26" t="str">
        <f aca="false">IF(Returns!$O158=1,"",Returns!F158)</f>
        <v/>
      </c>
      <c r="G158" s="26" t="str">
        <f aca="false">IF(Returns!$O158=1,"",Returns!G158)</f>
        <v/>
      </c>
      <c r="H158" s="26" t="str">
        <f aca="false">IF(Returns!$O158=1,"",Returns!H158)</f>
        <v/>
      </c>
      <c r="I158" s="26" t="str">
        <f aca="false">IF(Returns!$O158=1,"",Returns!I158)</f>
        <v/>
      </c>
      <c r="J158" s="26" t="str">
        <f aca="false">IF(Returns!$O158=1,"",Returns!J158)</f>
        <v/>
      </c>
      <c r="K158" s="26" t="n">
        <f aca="false">IF(Returns!$O158=1,Returns!B158,"")</f>
        <v>0.0548628705667267</v>
      </c>
      <c r="L158" s="26" t="n">
        <f aca="false">IF(Returns!$O158=1,Returns!C158,"")</f>
        <v>0.00559651502407843</v>
      </c>
      <c r="M158" s="26" t="n">
        <f aca="false">IF(Returns!$O158=1,Returns!D158,"")</f>
        <v>-0.00564617314930993</v>
      </c>
      <c r="N158" s="26" t="n">
        <f aca="false">IF(Returns!$O158=1,Returns!E158,"")</f>
        <v>0.0835588661555773</v>
      </c>
      <c r="O158" s="26" t="n">
        <f aca="false">IF(Returns!$O158=1,Returns!F158,"")</f>
        <v>-0.0277156657019656</v>
      </c>
      <c r="P158" s="26" t="n">
        <f aca="false">IF(Returns!$O158=1,Returns!G158,"")</f>
        <v>0.114361814593714</v>
      </c>
      <c r="Q158" s="26" t="n">
        <f aca="false">IF(Returns!$O158=1,Returns!H158,"")</f>
        <v>0.0260813613231552</v>
      </c>
      <c r="R158" s="26" t="n">
        <f aca="false">IF(Returns!$O158=1,Returns!I158,"")</f>
        <v>0.0278631228014732</v>
      </c>
      <c r="S158" s="26" t="n">
        <f aca="false">IF(Returns!$O158=1,Returns!J158,"")</f>
        <v>0.0289991126753559</v>
      </c>
      <c r="T158" s="26" t="str">
        <f aca="false">IF(Returns!$O158=1,"",Returns!K158)</f>
        <v/>
      </c>
    </row>
    <row r="159" customFormat="false" ht="15" hidden="false" customHeight="false" outlineLevel="0" collapsed="false">
      <c r="A159" s="25" t="n">
        <f aca="false">Returns!A159</f>
        <v>43941</v>
      </c>
      <c r="B159" s="26" t="str">
        <f aca="false">IF(Returns!$O159=1,"",Returns!B159)</f>
        <v/>
      </c>
      <c r="C159" s="26" t="str">
        <f aca="false">IF(Returns!$O159=1,"",Returns!C159)</f>
        <v/>
      </c>
      <c r="D159" s="26" t="str">
        <f aca="false">IF(Returns!$O159=1,"",Returns!D159)</f>
        <v/>
      </c>
      <c r="E159" s="26" t="str">
        <f aca="false">IF(Returns!$O159=1,"",Returns!E159)</f>
        <v/>
      </c>
      <c r="F159" s="26" t="str">
        <f aca="false">IF(Returns!$O159=1,"",Returns!F159)</f>
        <v/>
      </c>
      <c r="G159" s="26" t="str">
        <f aca="false">IF(Returns!$O159=1,"",Returns!G159)</f>
        <v/>
      </c>
      <c r="H159" s="26" t="str">
        <f aca="false">IF(Returns!$O159=1,"",Returns!H159)</f>
        <v/>
      </c>
      <c r="I159" s="26" t="str">
        <f aca="false">IF(Returns!$O159=1,"",Returns!I159)</f>
        <v/>
      </c>
      <c r="J159" s="26" t="str">
        <f aca="false">IF(Returns!$O159=1,"",Returns!J159)</f>
        <v/>
      </c>
      <c r="K159" s="26" t="n">
        <f aca="false">IF(Returns!$O159=1,Returns!B159,"")</f>
        <v>0.0621749660088644</v>
      </c>
      <c r="L159" s="26" t="n">
        <f aca="false">IF(Returns!$O159=1,Returns!C159,"")</f>
        <v>0.0268151291077727</v>
      </c>
      <c r="M159" s="26" t="n">
        <f aca="false">IF(Returns!$O159=1,Returns!D159,"")</f>
        <v>0.00630914826498419</v>
      </c>
      <c r="N159" s="26" t="n">
        <f aca="false">IF(Returns!$O159=1,Returns!E159,"")</f>
        <v>0.0615048723541953</v>
      </c>
      <c r="O159" s="26" t="n">
        <f aca="false">IF(Returns!$O159=1,Returns!F159,"")</f>
        <v>0.0496551398080241</v>
      </c>
      <c r="P159" s="26" t="n">
        <f aca="false">IF(Returns!$O159=1,Returns!G159,"")</f>
        <v>0.0310262037696323</v>
      </c>
      <c r="Q159" s="26" t="n">
        <f aca="false">IF(Returns!$O159=1,Returns!H159,"")</f>
        <v>-0.0111592691357267</v>
      </c>
      <c r="R159" s="26" t="n">
        <f aca="false">IF(Returns!$O159=1,Returns!I159,"")</f>
        <v>0.0521479007160877</v>
      </c>
      <c r="S159" s="26" t="n">
        <f aca="false">IF(Returns!$O159=1,Returns!J159,"")</f>
        <v>-0.0350000227272727</v>
      </c>
      <c r="T159" s="26" t="str">
        <f aca="false">IF(Returns!$O159=1,"",Returns!K159)</f>
        <v/>
      </c>
    </row>
    <row r="160" customFormat="false" ht="15" hidden="false" customHeight="false" outlineLevel="0" collapsed="false">
      <c r="A160" s="25" t="n">
        <f aca="false">Returns!A160</f>
        <v>43943</v>
      </c>
      <c r="B160" s="26" t="str">
        <f aca="false">IF(Returns!$O160=1,"",Returns!B160)</f>
        <v/>
      </c>
      <c r="C160" s="26" t="str">
        <f aca="false">IF(Returns!$O160=1,"",Returns!C160)</f>
        <v/>
      </c>
      <c r="D160" s="26" t="str">
        <f aca="false">IF(Returns!$O160=1,"",Returns!D160)</f>
        <v/>
      </c>
      <c r="E160" s="26" t="str">
        <f aca="false">IF(Returns!$O160=1,"",Returns!E160)</f>
        <v/>
      </c>
      <c r="F160" s="26" t="str">
        <f aca="false">IF(Returns!$O160=1,"",Returns!F160)</f>
        <v/>
      </c>
      <c r="G160" s="26" t="str">
        <f aca="false">IF(Returns!$O160=1,"",Returns!G160)</f>
        <v/>
      </c>
      <c r="H160" s="26" t="str">
        <f aca="false">IF(Returns!$O160=1,"",Returns!H160)</f>
        <v/>
      </c>
      <c r="I160" s="26" t="str">
        <f aca="false">IF(Returns!$O160=1,"",Returns!I160)</f>
        <v/>
      </c>
      <c r="J160" s="26" t="str">
        <f aca="false">IF(Returns!$O160=1,"",Returns!J160)</f>
        <v/>
      </c>
      <c r="K160" s="26" t="n">
        <f aca="false">IF(Returns!$O160=1,Returns!B160,"")</f>
        <v>0.0636545960382817</v>
      </c>
      <c r="L160" s="26" t="n">
        <f aca="false">IF(Returns!$O160=1,Returns!C160,"")</f>
        <v>0.0349839615668883</v>
      </c>
      <c r="M160" s="26" t="n">
        <f aca="false">IF(Returns!$O160=1,Returns!D160,"")</f>
        <v>0.0363636990595611</v>
      </c>
      <c r="N160" s="26" t="n">
        <f aca="false">IF(Returns!$O160=1,Returns!E160,"")</f>
        <v>0.0735294117647058</v>
      </c>
      <c r="O160" s="26" t="n">
        <f aca="false">IF(Returns!$O160=1,Returns!F160,"")</f>
        <v>0.102496760479914</v>
      </c>
      <c r="P160" s="26" t="n">
        <f aca="false">IF(Returns!$O160=1,Returns!G160,"")</f>
        <v>0.0740741203703703</v>
      </c>
      <c r="Q160" s="26" t="n">
        <f aca="false">IF(Returns!$O160=1,Returns!H160,"")</f>
        <v>0.0501567398119123</v>
      </c>
      <c r="R160" s="26" t="n">
        <f aca="false">IF(Returns!$O160=1,Returns!I160,"")</f>
        <v>0.0393013570167307</v>
      </c>
      <c r="S160" s="26" t="n">
        <f aca="false">IF(Returns!$O160=1,Returns!J160,"")</f>
        <v>0.0103627651993115</v>
      </c>
      <c r="T160" s="26" t="str">
        <f aca="false">IF(Returns!$O160=1,"",Returns!K160)</f>
        <v/>
      </c>
    </row>
    <row r="161" customFormat="false" ht="15" hidden="false" customHeight="false" outlineLevel="0" collapsed="false">
      <c r="A161" s="25" t="n">
        <f aca="false">Returns!A161</f>
        <v>43944</v>
      </c>
      <c r="B161" s="26" t="str">
        <f aca="false">IF(Returns!$O161=1,"",Returns!B161)</f>
        <v/>
      </c>
      <c r="C161" s="26" t="str">
        <f aca="false">IF(Returns!$O161=1,"",Returns!C161)</f>
        <v/>
      </c>
      <c r="D161" s="26" t="str">
        <f aca="false">IF(Returns!$O161=1,"",Returns!D161)</f>
        <v/>
      </c>
      <c r="E161" s="26" t="str">
        <f aca="false">IF(Returns!$O161=1,"",Returns!E161)</f>
        <v/>
      </c>
      <c r="F161" s="26" t="str">
        <f aca="false">IF(Returns!$O161=1,"",Returns!F161)</f>
        <v/>
      </c>
      <c r="G161" s="26" t="str">
        <f aca="false">IF(Returns!$O161=1,"",Returns!G161)</f>
        <v/>
      </c>
      <c r="H161" s="26" t="str">
        <f aca="false">IF(Returns!$O161=1,"",Returns!H161)</f>
        <v/>
      </c>
      <c r="I161" s="26" t="str">
        <f aca="false">IF(Returns!$O161=1,"",Returns!I161)</f>
        <v/>
      </c>
      <c r="J161" s="26" t="str">
        <f aca="false">IF(Returns!$O161=1,"",Returns!J161)</f>
        <v/>
      </c>
      <c r="K161" s="26" t="n">
        <f aca="false">IF(Returns!$O161=1,Returns!B161,"")</f>
        <v>-0.0694705990903828</v>
      </c>
      <c r="L161" s="26" t="n">
        <f aca="false">IF(Returns!$O161=1,Returns!C161,"")</f>
        <v>-0.0180909073575555</v>
      </c>
      <c r="M161" s="26" t="n">
        <f aca="false">IF(Returns!$O161=1,Returns!D161,"")</f>
        <v>0.0260131865690754</v>
      </c>
      <c r="N161" s="26" t="n">
        <f aca="false">IF(Returns!$O161=1,Returns!E161,"")</f>
        <v>-0.0416438356164385</v>
      </c>
      <c r="O161" s="26" t="n">
        <f aca="false">IF(Returns!$O161=1,Returns!F161,"")</f>
        <v>-0.0282081489411671</v>
      </c>
      <c r="P161" s="26" t="n">
        <f aca="false">IF(Returns!$O161=1,Returns!G161,"")</f>
        <v>-0.00948280131539647</v>
      </c>
      <c r="Q161" s="26" t="n">
        <f aca="false">IF(Returns!$O161=1,Returns!H161,"")</f>
        <v>0.0119403582089552</v>
      </c>
      <c r="R161" s="26" t="n">
        <f aca="false">IF(Returns!$O161=1,Returns!I161,"")</f>
        <v>-0.0508403567720125</v>
      </c>
      <c r="S161" s="26" t="n">
        <f aca="false">IF(Returns!$O161=1,Returns!J161,"")</f>
        <v>0.0142190203161296</v>
      </c>
      <c r="T161" s="26" t="str">
        <f aca="false">IF(Returns!$O161=1,"",Returns!K161)</f>
        <v/>
      </c>
    </row>
    <row r="162" customFormat="false" ht="15" hidden="false" customHeight="false" outlineLevel="0" collapsed="false">
      <c r="A162" s="25" t="n">
        <f aca="false">Returns!A162</f>
        <v>43945</v>
      </c>
      <c r="B162" s="26" t="str">
        <f aca="false">IF(Returns!$O162=1,"",Returns!B162)</f>
        <v/>
      </c>
      <c r="C162" s="26" t="str">
        <f aca="false">IF(Returns!$O162=1,"",Returns!C162)</f>
        <v/>
      </c>
      <c r="D162" s="26" t="str">
        <f aca="false">IF(Returns!$O162=1,"",Returns!D162)</f>
        <v/>
      </c>
      <c r="E162" s="26" t="str">
        <f aca="false">IF(Returns!$O162=1,"",Returns!E162)</f>
        <v/>
      </c>
      <c r="F162" s="26" t="str">
        <f aca="false">IF(Returns!$O162=1,"",Returns!F162)</f>
        <v/>
      </c>
      <c r="G162" s="26" t="str">
        <f aca="false">IF(Returns!$O162=1,"",Returns!G162)</f>
        <v/>
      </c>
      <c r="H162" s="26" t="str">
        <f aca="false">IF(Returns!$O162=1,"",Returns!H162)</f>
        <v/>
      </c>
      <c r="I162" s="26" t="str">
        <f aca="false">IF(Returns!$O162=1,"",Returns!I162)</f>
        <v/>
      </c>
      <c r="J162" s="26" t="str">
        <f aca="false">IF(Returns!$O162=1,"",Returns!J162)</f>
        <v/>
      </c>
      <c r="K162" s="26" t="n">
        <f aca="false">IF(Returns!$O162=1,Returns!B162,"")</f>
        <v>-0.0332808402680271</v>
      </c>
      <c r="L162" s="26" t="n">
        <f aca="false">IF(Returns!$O162=1,Returns!C162,"")</f>
        <v>-0.103030327272727</v>
      </c>
      <c r="M162" s="26" t="n">
        <f aca="false">IF(Returns!$O162=1,Returns!D162,"")</f>
        <v>0.00235854966736726</v>
      </c>
      <c r="N162" s="26" t="n">
        <f aca="false">IF(Returns!$O162=1,Returns!E162,"")</f>
        <v>-0.0571755288736421</v>
      </c>
      <c r="O162" s="26" t="n">
        <f aca="false">IF(Returns!$O162=1,Returns!F162,"")</f>
        <v>-0.0801308787402808</v>
      </c>
      <c r="P162" s="26" t="n">
        <f aca="false">IF(Returns!$O162=1,Returns!G162,"")</f>
        <v>-0.10443864229765</v>
      </c>
      <c r="Q162" s="26" t="n">
        <f aca="false">IF(Returns!$O162=1,Returns!H162,"")</f>
        <v>-0.0589971056638876</v>
      </c>
      <c r="R162" s="26" t="n">
        <f aca="false">IF(Returns!$O162=1,Returns!I162,"")</f>
        <v>-0.025453726577621</v>
      </c>
      <c r="S162" s="26" t="n">
        <f aca="false">IF(Returns!$O162=1,Returns!J162,"")</f>
        <v>0.005745805826054</v>
      </c>
      <c r="T162" s="26" t="str">
        <f aca="false">IF(Returns!$O162=1,"",Returns!K162)</f>
        <v/>
      </c>
    </row>
    <row r="163" customFormat="false" ht="15" hidden="false" customHeight="false" outlineLevel="0" collapsed="false">
      <c r="A163" s="25" t="n">
        <f aca="false">Returns!A163</f>
        <v>43948</v>
      </c>
      <c r="B163" s="26" t="str">
        <f aca="false">IF(Returns!$O163=1,"",Returns!B163)</f>
        <v/>
      </c>
      <c r="C163" s="26" t="str">
        <f aca="false">IF(Returns!$O163=1,"",Returns!C163)</f>
        <v/>
      </c>
      <c r="D163" s="26" t="str">
        <f aca="false">IF(Returns!$O163=1,"",Returns!D163)</f>
        <v/>
      </c>
      <c r="E163" s="26" t="str">
        <f aca="false">IF(Returns!$O163=1,"",Returns!E163)</f>
        <v/>
      </c>
      <c r="F163" s="26" t="str">
        <f aca="false">IF(Returns!$O163=1,"",Returns!F163)</f>
        <v/>
      </c>
      <c r="G163" s="26" t="str">
        <f aca="false">IF(Returns!$O163=1,"",Returns!G163)</f>
        <v/>
      </c>
      <c r="H163" s="26" t="str">
        <f aca="false">IF(Returns!$O163=1,"",Returns!H163)</f>
        <v/>
      </c>
      <c r="I163" s="26" t="str">
        <f aca="false">IF(Returns!$O163=1,"",Returns!I163)</f>
        <v/>
      </c>
      <c r="J163" s="26" t="str">
        <f aca="false">IF(Returns!$O163=1,"",Returns!J163)</f>
        <v/>
      </c>
      <c r="K163" s="26" t="n">
        <f aca="false">IF(Returns!$O163=1,Returns!B163,"")</f>
        <v>-0.0090719698035836</v>
      </c>
      <c r="L163" s="26" t="n">
        <f aca="false">IF(Returns!$O163=1,Returns!C163,"")</f>
        <v>0.0602702448721688</v>
      </c>
      <c r="M163" s="26" t="n">
        <f aca="false">IF(Returns!$O163=1,Returns!D163,"")</f>
        <v>0.0594117647058825</v>
      </c>
      <c r="N163" s="26" t="n">
        <f aca="false">IF(Returns!$O163=1,Returns!E163,"")</f>
        <v>0.0157671315949062</v>
      </c>
      <c r="O163" s="26" t="n">
        <f aca="false">IF(Returns!$O163=1,Returns!F163,"")</f>
        <v>0.0666667349678793</v>
      </c>
      <c r="P163" s="26" t="n">
        <f aca="false">IF(Returns!$O163=1,Returns!G163,"")</f>
        <v>0.0233235665694851</v>
      </c>
      <c r="Q163" s="26" t="n">
        <f aca="false">IF(Returns!$O163=1,Returns!H163,"")</f>
        <v>0.03134802507837</v>
      </c>
      <c r="R163" s="26" t="n">
        <f aca="false">IF(Returns!$O163=1,Returns!I163,"")</f>
        <v>0.0208948522487225</v>
      </c>
      <c r="S163" s="26" t="n">
        <f aca="false">IF(Returns!$O163=1,Returns!J163,"")</f>
        <v>0.0180530401303949</v>
      </c>
      <c r="T163" s="26" t="str">
        <f aca="false">IF(Returns!$O163=1,"",Returns!K163)</f>
        <v/>
      </c>
    </row>
    <row r="164" customFormat="false" ht="15" hidden="false" customHeight="false" outlineLevel="0" collapsed="false">
      <c r="A164" s="25" t="n">
        <f aca="false">Returns!A164</f>
        <v>43949</v>
      </c>
      <c r="B164" s="26" t="str">
        <f aca="false">IF(Returns!$O164=1,"",Returns!B164)</f>
        <v/>
      </c>
      <c r="C164" s="26" t="str">
        <f aca="false">IF(Returns!$O164=1,"",Returns!C164)</f>
        <v/>
      </c>
      <c r="D164" s="26" t="str">
        <f aca="false">IF(Returns!$O164=1,"",Returns!D164)</f>
        <v/>
      </c>
      <c r="E164" s="26" t="str">
        <f aca="false">IF(Returns!$O164=1,"",Returns!E164)</f>
        <v/>
      </c>
      <c r="F164" s="26" t="str">
        <f aca="false">IF(Returns!$O164=1,"",Returns!F164)</f>
        <v/>
      </c>
      <c r="G164" s="26" t="str">
        <f aca="false">IF(Returns!$O164=1,"",Returns!G164)</f>
        <v/>
      </c>
      <c r="H164" s="26" t="str">
        <f aca="false">IF(Returns!$O164=1,"",Returns!H164)</f>
        <v/>
      </c>
      <c r="I164" s="26" t="str">
        <f aca="false">IF(Returns!$O164=1,"",Returns!I164)</f>
        <v/>
      </c>
      <c r="J164" s="26" t="str">
        <f aca="false">IF(Returns!$O164=1,"",Returns!J164)</f>
        <v/>
      </c>
      <c r="K164" s="26" t="n">
        <f aca="false">IF(Returns!$O164=1,Returns!B164,"")</f>
        <v>0.0701878436707908</v>
      </c>
      <c r="L164" s="26" t="n">
        <f aca="false">IF(Returns!$O164=1,Returns!C164,"")</f>
        <v>0.014529697401463</v>
      </c>
      <c r="M164" s="26" t="n">
        <f aca="false">IF(Returns!$O164=1,Returns!D164,"")</f>
        <v>-0.00388667406996124</v>
      </c>
      <c r="N164" s="26" t="n">
        <f aca="false">IF(Returns!$O164=1,Returns!E164,"")</f>
        <v>0.0507462985074627</v>
      </c>
      <c r="O164" s="26" t="n">
        <f aca="false">IF(Returns!$O164=1,Returns!F164,"")</f>
        <v>0.0495833642533181</v>
      </c>
      <c r="P164" s="26" t="n">
        <f aca="false">IF(Returns!$O164=1,Returns!G164,"")</f>
        <v>0.0332384156333532</v>
      </c>
      <c r="Q164" s="26" t="n">
        <f aca="false">IF(Returns!$O164=1,Returns!H164,"")</f>
        <v>0.0486321550983493</v>
      </c>
      <c r="R164" s="26" t="n">
        <f aca="false">IF(Returns!$O164=1,Returns!I164,"")</f>
        <v>0.0427140557380674</v>
      </c>
      <c r="S164" s="26" t="n">
        <f aca="false">IF(Returns!$O164=1,Returns!J164,"")</f>
        <v>0.00134684627041182</v>
      </c>
      <c r="T164" s="26" t="str">
        <f aca="false">IF(Returns!$O164=1,"",Returns!K164)</f>
        <v/>
      </c>
    </row>
    <row r="165" customFormat="false" ht="15" hidden="false" customHeight="false" outlineLevel="0" collapsed="false">
      <c r="A165" s="25" t="n">
        <f aca="false">Returns!A165</f>
        <v>43950</v>
      </c>
      <c r="B165" s="26" t="str">
        <f aca="false">IF(Returns!$O165=1,"",Returns!B165)</f>
        <v/>
      </c>
      <c r="C165" s="26" t="str">
        <f aca="false">IF(Returns!$O165=1,"",Returns!C165)</f>
        <v/>
      </c>
      <c r="D165" s="26" t="str">
        <f aca="false">IF(Returns!$O165=1,"",Returns!D165)</f>
        <v/>
      </c>
      <c r="E165" s="26" t="str">
        <f aca="false">IF(Returns!$O165=1,"",Returns!E165)</f>
        <v/>
      </c>
      <c r="F165" s="26" t="str">
        <f aca="false">IF(Returns!$O165=1,"",Returns!F165)</f>
        <v/>
      </c>
      <c r="G165" s="26" t="str">
        <f aca="false">IF(Returns!$O165=1,"",Returns!G165)</f>
        <v/>
      </c>
      <c r="H165" s="26" t="str">
        <f aca="false">IF(Returns!$O165=1,"",Returns!H165)</f>
        <v/>
      </c>
      <c r="I165" s="26" t="str">
        <f aca="false">IF(Returns!$O165=1,"",Returns!I165)</f>
        <v/>
      </c>
      <c r="J165" s="26" t="str">
        <f aca="false">IF(Returns!$O165=1,"",Returns!J165)</f>
        <v/>
      </c>
      <c r="K165" s="26" t="n">
        <f aca="false">IF(Returns!$O165=1,Returns!B165,"")</f>
        <v>0.0107480149155517</v>
      </c>
      <c r="L165" s="26" t="n">
        <f aca="false">IF(Returns!$O165=1,Returns!C165,"")</f>
        <v>0.00251261319158869</v>
      </c>
      <c r="M165" s="26" t="n">
        <f aca="false">IF(Returns!$O165=1,Returns!D165,"")</f>
        <v>-0.0256410799531169</v>
      </c>
      <c r="N165" s="26" t="n">
        <f aca="false">IF(Returns!$O165=1,Returns!E165,"")</f>
        <v>0.026988664006004</v>
      </c>
      <c r="O165" s="26" t="n">
        <f aca="false">IF(Returns!$O165=1,Returns!F165,"")</f>
        <v>0.0230249597440488</v>
      </c>
      <c r="P165" s="26" t="n">
        <f aca="false">IF(Returns!$O165=1,Returns!G165,"")</f>
        <v>0.0280331341911764</v>
      </c>
      <c r="Q165" s="26" t="n">
        <f aca="false">IF(Returns!$O165=1,Returns!H165,"")</f>
        <v>0.0550725217391304</v>
      </c>
      <c r="R165" s="26" t="n">
        <f aca="false">IF(Returns!$O165=1,Returns!I165,"")</f>
        <v>0.0164284582480887</v>
      </c>
      <c r="S165" s="26" t="n">
        <f aca="false">IF(Returns!$O165=1,Returns!J165,"")</f>
        <v>0.0475229534292097</v>
      </c>
      <c r="T165" s="26" t="str">
        <f aca="false">IF(Returns!$O165=1,"",Returns!K165)</f>
        <v/>
      </c>
    </row>
    <row r="166" customFormat="false" ht="15" hidden="false" customHeight="false" outlineLevel="0" collapsed="false">
      <c r="A166" s="25" t="n">
        <f aca="false">Returns!A166</f>
        <v>43951</v>
      </c>
      <c r="B166" s="26" t="str">
        <f aca="false">IF(Returns!$O166=1,"",Returns!B166)</f>
        <v/>
      </c>
      <c r="C166" s="26" t="str">
        <f aca="false">IF(Returns!$O166=1,"",Returns!C166)</f>
        <v/>
      </c>
      <c r="D166" s="26" t="str">
        <f aca="false">IF(Returns!$O166=1,"",Returns!D166)</f>
        <v/>
      </c>
      <c r="E166" s="26" t="str">
        <f aca="false">IF(Returns!$O166=1,"",Returns!E166)</f>
        <v/>
      </c>
      <c r="F166" s="26" t="str">
        <f aca="false">IF(Returns!$O166=1,"",Returns!F166)</f>
        <v/>
      </c>
      <c r="G166" s="26" t="str">
        <f aca="false">IF(Returns!$O166=1,"",Returns!G166)</f>
        <v/>
      </c>
      <c r="H166" s="26" t="str">
        <f aca="false">IF(Returns!$O166=1,"",Returns!H166)</f>
        <v/>
      </c>
      <c r="I166" s="26" t="str">
        <f aca="false">IF(Returns!$O166=1,"",Returns!I166)</f>
        <v/>
      </c>
      <c r="J166" s="26" t="str">
        <f aca="false">IF(Returns!$O166=1,"",Returns!J166)</f>
        <v/>
      </c>
      <c r="K166" s="26" t="n">
        <f aca="false">IF(Returns!$O166=1,Returns!B166,"")</f>
        <v>-0.0776910122529942</v>
      </c>
      <c r="L166" s="26" t="n">
        <f aca="false">IF(Returns!$O166=1,Returns!C166,"")</f>
        <v>-0.0370927819548873</v>
      </c>
      <c r="M166" s="26" t="n">
        <f aca="false">IF(Returns!$O166=1,Returns!D166,"")</f>
        <v>0.0188786613272312</v>
      </c>
      <c r="N166" s="26" t="n">
        <f aca="false">IF(Returns!$O166=1,Returns!E166,"")</f>
        <v>-0.0542186138744889</v>
      </c>
      <c r="O166" s="26" t="n">
        <f aca="false">IF(Returns!$O166=1,Returns!F166,"")</f>
        <v>-0.0345363007904793</v>
      </c>
      <c r="P166" s="26" t="n">
        <f aca="false">IF(Returns!$O166=1,Returns!G166,"")</f>
        <v>-0.0661601222100973</v>
      </c>
      <c r="Q166" s="26" t="n">
        <f aca="false">IF(Returns!$O166=1,Returns!H166,"")</f>
        <v>-0.00824186767901824</v>
      </c>
      <c r="R166" s="26" t="n">
        <f aca="false">IF(Returns!$O166=1,Returns!I166,"")</f>
        <v>-0.0585642441054984</v>
      </c>
      <c r="S166" s="26" t="n">
        <f aca="false">IF(Returns!$O166=1,Returns!J166,"")</f>
        <v>-0.040017098223839</v>
      </c>
      <c r="T166" s="26" t="str">
        <f aca="false">IF(Returns!$O166=1,"",Returns!K166)</f>
        <v/>
      </c>
    </row>
    <row r="167" customFormat="false" ht="15" hidden="false" customHeight="false" outlineLevel="0" collapsed="false">
      <c r="A167" s="25" t="n">
        <f aca="false">Returns!A167</f>
        <v>43955</v>
      </c>
      <c r="B167" s="26" t="n">
        <f aca="false">IF(Returns!$O167=1,"",Returns!B167)</f>
        <v>-0.0376470117647059</v>
      </c>
      <c r="C167" s="26" t="n">
        <f aca="false">IF(Returns!$O167=1,"",Returns!C167)</f>
        <v>-0.00104109844045275</v>
      </c>
      <c r="D167" s="26" t="n">
        <f aca="false">IF(Returns!$O167=1,"",Returns!D167)</f>
        <v>-0.00168433473803131</v>
      </c>
      <c r="E167" s="26" t="n">
        <f aca="false">IF(Returns!$O167=1,"",Returns!E167)</f>
        <v>-0.0228136596318708</v>
      </c>
      <c r="F167" s="26" t="n">
        <f aca="false">IF(Returns!$O167=1,"",Returns!F167)</f>
        <v>0.0152733754953422</v>
      </c>
      <c r="G167" s="26" t="n">
        <f aca="false">IF(Returns!$O167=1,"",Returns!G167)</f>
        <v>-0.0435614669009797</v>
      </c>
      <c r="H167" s="26" t="n">
        <f aca="false">IF(Returns!$O167=1,"",Returns!H167)</f>
        <v>-0.0371191156298678</v>
      </c>
      <c r="I167" s="26" t="n">
        <f aca="false">IF(Returns!$O167=1,"",Returns!I167)</f>
        <v>-0.0434782524907098</v>
      </c>
      <c r="J167" s="26" t="n">
        <f aca="false">IF(Returns!$O167=1,"",Returns!J167)</f>
        <v>-0.0207311854495945</v>
      </c>
      <c r="K167" s="26" t="str">
        <f aca="false">IF(Returns!$O167=1,Returns!B167,"")</f>
        <v/>
      </c>
      <c r="L167" s="26" t="str">
        <f aca="false">IF(Returns!$O167=1,Returns!C167,"")</f>
        <v/>
      </c>
      <c r="M167" s="26" t="str">
        <f aca="false">IF(Returns!$O167=1,Returns!D167,"")</f>
        <v/>
      </c>
      <c r="N167" s="26" t="str">
        <f aca="false">IF(Returns!$O167=1,Returns!E167,"")</f>
        <v/>
      </c>
      <c r="O167" s="26" t="str">
        <f aca="false">IF(Returns!$O167=1,Returns!F167,"")</f>
        <v/>
      </c>
      <c r="P167" s="26" t="str">
        <f aca="false">IF(Returns!$O167=1,Returns!G167,"")</f>
        <v/>
      </c>
      <c r="Q167" s="26" t="str">
        <f aca="false">IF(Returns!$O167=1,Returns!H167,"")</f>
        <v/>
      </c>
      <c r="R167" s="26" t="str">
        <f aca="false">IF(Returns!$O167=1,Returns!I167,"")</f>
        <v/>
      </c>
      <c r="S167" s="26" t="str">
        <f aca="false">IF(Returns!$O167=1,Returns!J167,"")</f>
        <v/>
      </c>
      <c r="T167" s="26" t="n">
        <f aca="false">IF(Returns!$O167=1,"",Returns!K167)</f>
        <v>-0.0214225277278745</v>
      </c>
    </row>
    <row r="168" customFormat="false" ht="15" hidden="false" customHeight="false" outlineLevel="0" collapsed="false">
      <c r="A168" s="25" t="n">
        <f aca="false">Returns!A168</f>
        <v>43956</v>
      </c>
      <c r="B168" s="26" t="n">
        <f aca="false">IF(Returns!$O168=1,"",Returns!B168)</f>
        <v>0.0171148157890064</v>
      </c>
      <c r="C168" s="26" t="n">
        <f aca="false">IF(Returns!$O168=1,"",Returns!C168)</f>
        <v>0.00937988560135183</v>
      </c>
      <c r="D168" s="26" t="n">
        <f aca="false">IF(Returns!$O168=1,"",Returns!D168)</f>
        <v>0.0517435291482831</v>
      </c>
      <c r="E168" s="26" t="n">
        <f aca="false">IF(Returns!$O168=1,"",Returns!E168)</f>
        <v>0.00658488476504049</v>
      </c>
      <c r="F168" s="26" t="n">
        <f aca="false">IF(Returns!$O168=1,"",Returns!F168)</f>
        <v>0.0110846578837756</v>
      </c>
      <c r="G168" s="26" t="n">
        <f aca="false">IF(Returns!$O168=1,"",Returns!G168)</f>
        <v>-0.0145144644644646</v>
      </c>
      <c r="H168" s="26" t="n">
        <f aca="false">IF(Returns!$O168=1,"",Returns!H168)</f>
        <v>0.0322210605420632</v>
      </c>
      <c r="I168" s="26" t="n">
        <f aca="false">IF(Returns!$O168=1,"",Returns!I168)</f>
        <v>0.0251748549731614</v>
      </c>
      <c r="J168" s="26" t="n">
        <f aca="false">IF(Returns!$O168=1,"",Returns!J168)</f>
        <v>-0.00523557933075347</v>
      </c>
      <c r="K168" s="26" t="str">
        <f aca="false">IF(Returns!$O168=1,Returns!B168,"")</f>
        <v/>
      </c>
      <c r="L168" s="26" t="str">
        <f aca="false">IF(Returns!$O168=1,Returns!C168,"")</f>
        <v/>
      </c>
      <c r="M168" s="26" t="str">
        <f aca="false">IF(Returns!$O168=1,Returns!D168,"")</f>
        <v/>
      </c>
      <c r="N168" s="26" t="str">
        <f aca="false">IF(Returns!$O168=1,Returns!E168,"")</f>
        <v/>
      </c>
      <c r="O168" s="26" t="str">
        <f aca="false">IF(Returns!$O168=1,Returns!F168,"")</f>
        <v/>
      </c>
      <c r="P168" s="26" t="str">
        <f aca="false">IF(Returns!$O168=1,Returns!G168,"")</f>
        <v/>
      </c>
      <c r="Q168" s="26" t="str">
        <f aca="false">IF(Returns!$O168=1,Returns!H168,"")</f>
        <v/>
      </c>
      <c r="R168" s="26" t="str">
        <f aca="false">IF(Returns!$O168=1,Returns!I168,"")</f>
        <v/>
      </c>
      <c r="S168" s="26" t="str">
        <f aca="false">IF(Returns!$O168=1,Returns!J168,"")</f>
        <v/>
      </c>
      <c r="T168" s="26" t="n">
        <f aca="false">IF(Returns!$O168=1,"",Returns!K168)</f>
        <v>0.0148392938786071</v>
      </c>
    </row>
    <row r="169" customFormat="false" ht="15" hidden="false" customHeight="false" outlineLevel="0" collapsed="false">
      <c r="A169" s="25" t="n">
        <f aca="false">Returns!A169</f>
        <v>43957</v>
      </c>
      <c r="B169" s="26" t="n">
        <f aca="false">IF(Returns!$O169=1,"",Returns!B169)</f>
        <v>0.0295674052676638</v>
      </c>
      <c r="C169" s="26" t="n">
        <f aca="false">IF(Returns!$O169=1,"",Returns!C169)</f>
        <v>-0.00774393411832564</v>
      </c>
      <c r="D169" s="26" t="n">
        <f aca="false">IF(Returns!$O169=1,"",Returns!D169)</f>
        <v>-0.00641716543223725</v>
      </c>
      <c r="E169" s="26" t="n">
        <f aca="false">IF(Returns!$O169=1,"",Returns!E169)</f>
        <v>-0.0336009802675891</v>
      </c>
      <c r="F169" s="26" t="n">
        <f aca="false">IF(Returns!$O169=1,"",Returns!F169)</f>
        <v>0.07361006546974</v>
      </c>
      <c r="G169" s="26" t="n">
        <f aca="false">IF(Returns!$O169=1,"",Returns!G169)</f>
        <v>-0.0198071092022798</v>
      </c>
      <c r="H169" s="26" t="n">
        <f aca="false">IF(Returns!$O169=1,"",Returns!H169)</f>
        <v>-0.0367892956081776</v>
      </c>
      <c r="I169" s="26" t="n">
        <f aca="false">IF(Returns!$O169=1,"",Returns!I169)</f>
        <v>0.0150067403461822</v>
      </c>
      <c r="J169" s="26" t="n">
        <f aca="false">IF(Returns!$O169=1,"",Returns!J169)</f>
        <v>0.0144164985259383</v>
      </c>
      <c r="K169" s="26" t="str">
        <f aca="false">IF(Returns!$O169=1,Returns!B169,"")</f>
        <v/>
      </c>
      <c r="L169" s="26" t="str">
        <f aca="false">IF(Returns!$O169=1,Returns!C169,"")</f>
        <v/>
      </c>
      <c r="M169" s="26" t="str">
        <f aca="false">IF(Returns!$O169=1,Returns!D169,"")</f>
        <v/>
      </c>
      <c r="N169" s="26" t="str">
        <f aca="false">IF(Returns!$O169=1,Returns!E169,"")</f>
        <v/>
      </c>
      <c r="O169" s="26" t="str">
        <f aca="false">IF(Returns!$O169=1,Returns!F169,"")</f>
        <v/>
      </c>
      <c r="P169" s="26" t="str">
        <f aca="false">IF(Returns!$O169=1,Returns!G169,"")</f>
        <v/>
      </c>
      <c r="Q169" s="26" t="str">
        <f aca="false">IF(Returns!$O169=1,Returns!H169,"")</f>
        <v/>
      </c>
      <c r="R169" s="26" t="str">
        <f aca="false">IF(Returns!$O169=1,Returns!I169,"")</f>
        <v/>
      </c>
      <c r="S169" s="26" t="str">
        <f aca="false">IF(Returns!$O169=1,Returns!J169,"")</f>
        <v/>
      </c>
      <c r="T169" s="26" t="n">
        <f aca="false">IF(Returns!$O169=1,"",Returns!K169)</f>
        <v>0.00313802499787945</v>
      </c>
    </row>
    <row r="170" customFormat="false" ht="15" hidden="false" customHeight="false" outlineLevel="0" collapsed="false">
      <c r="A170" s="25" t="n">
        <f aca="false">Returns!A170</f>
        <v>43958</v>
      </c>
      <c r="B170" s="26" t="n">
        <f aca="false">IF(Returns!$O170=1,"",Returns!B170)</f>
        <v>-0.0273173463778966</v>
      </c>
      <c r="C170" s="26" t="n">
        <f aca="false">IF(Returns!$O170=1,"",Returns!C170)</f>
        <v>-0.0413631644475329</v>
      </c>
      <c r="D170" s="26" t="n">
        <f aca="false">IF(Returns!$O170=1,"",Returns!D170)</f>
        <v>0.101184015069968</v>
      </c>
      <c r="E170" s="26" t="n">
        <f aca="false">IF(Returns!$O170=1,"",Returns!E170)</f>
        <v>-0.084</v>
      </c>
      <c r="F170" s="26" t="n">
        <f aca="false">IF(Returns!$O170=1,"",Returns!F170)</f>
        <v>-0.0226112104686238</v>
      </c>
      <c r="G170" s="26" t="n">
        <f aca="false">IF(Returns!$O170=1,"",Returns!G170)</f>
        <v>-0.0445594841740666</v>
      </c>
      <c r="H170" s="26" t="n">
        <f aca="false">IF(Returns!$O170=1,"",Returns!H170)</f>
        <v>0.00925925872342259</v>
      </c>
      <c r="I170" s="26" t="n">
        <f aca="false">IF(Returns!$O170=1,"",Returns!I170)</f>
        <v>-0.0150089589306972</v>
      </c>
      <c r="J170" s="26" t="n">
        <f aca="false">IF(Returns!$O170=1,"",Returns!J170)</f>
        <v>0.0387998403428902</v>
      </c>
      <c r="K170" s="26" t="str">
        <f aca="false">IF(Returns!$O170=1,Returns!B170,"")</f>
        <v/>
      </c>
      <c r="L170" s="26" t="str">
        <f aca="false">IF(Returns!$O170=1,Returns!C170,"")</f>
        <v/>
      </c>
      <c r="M170" s="26" t="str">
        <f aca="false">IF(Returns!$O170=1,Returns!D170,"")</f>
        <v/>
      </c>
      <c r="N170" s="26" t="str">
        <f aca="false">IF(Returns!$O170=1,Returns!E170,"")</f>
        <v/>
      </c>
      <c r="O170" s="26" t="str">
        <f aca="false">IF(Returns!$O170=1,Returns!F170,"")</f>
        <v/>
      </c>
      <c r="P170" s="26" t="str">
        <f aca="false">IF(Returns!$O170=1,Returns!G170,"")</f>
        <v/>
      </c>
      <c r="Q170" s="26" t="str">
        <f aca="false">IF(Returns!$O170=1,Returns!H170,"")</f>
        <v/>
      </c>
      <c r="R170" s="26" t="str">
        <f aca="false">IF(Returns!$O170=1,Returns!I170,"")</f>
        <v/>
      </c>
      <c r="S170" s="26" t="str">
        <f aca="false">IF(Returns!$O170=1,Returns!J170,"")</f>
        <v/>
      </c>
      <c r="T170" s="26" t="n">
        <f aca="false">IF(Returns!$O170=1,"",Returns!K170)</f>
        <v>-0.00951300558472627</v>
      </c>
    </row>
    <row r="171" customFormat="false" ht="15" hidden="false" customHeight="false" outlineLevel="0" collapsed="false">
      <c r="A171" s="25" t="n">
        <f aca="false">Returns!A171</f>
        <v>43959</v>
      </c>
      <c r="B171" s="26" t="n">
        <f aca="false">IF(Returns!$O171=1,"",Returns!B171)</f>
        <v>0.000960177628420711</v>
      </c>
      <c r="C171" s="26" t="n">
        <f aca="false">IF(Returns!$O171=1,"",Returns!C171)</f>
        <v>0.0246946818098963</v>
      </c>
      <c r="D171" s="26" t="n">
        <f aca="false">IF(Returns!$O171=1,"",Returns!D171)</f>
        <v>0.0503421823236647</v>
      </c>
      <c r="E171" s="26" t="n">
        <f aca="false">IF(Returns!$O171=1,"",Returns!E171)</f>
        <v>-0.00403090359422242</v>
      </c>
      <c r="F171" s="26" t="n">
        <f aca="false">IF(Returns!$O171=1,"",Returns!F171)</f>
        <v>0.00373130937489297</v>
      </c>
      <c r="G171" s="26" t="n">
        <f aca="false">IF(Returns!$O171=1,"",Returns!G171)</f>
        <v>0.0216919185633451</v>
      </c>
      <c r="H171" s="26" t="n">
        <f aca="false">IF(Returns!$O171=1,"",Returns!H171)</f>
        <v>0.0596329667641649</v>
      </c>
      <c r="I171" s="26" t="n">
        <f aca="false">IF(Returns!$O171=1,"",Returns!I171)</f>
        <v>-0.0127359556521033</v>
      </c>
      <c r="J171" s="26" t="n">
        <f aca="false">IF(Returns!$O171=1,"",Returns!J171)</f>
        <v>0.0608034540891087</v>
      </c>
      <c r="K171" s="26" t="str">
        <f aca="false">IF(Returns!$O171=1,Returns!B171,"")</f>
        <v/>
      </c>
      <c r="L171" s="26" t="str">
        <f aca="false">IF(Returns!$O171=1,Returns!C171,"")</f>
        <v/>
      </c>
      <c r="M171" s="26" t="str">
        <f aca="false">IF(Returns!$O171=1,Returns!D171,"")</f>
        <v/>
      </c>
      <c r="N171" s="26" t="str">
        <f aca="false">IF(Returns!$O171=1,Returns!E171,"")</f>
        <v/>
      </c>
      <c r="O171" s="26" t="str">
        <f aca="false">IF(Returns!$O171=1,Returns!F171,"")</f>
        <v/>
      </c>
      <c r="P171" s="26" t="str">
        <f aca="false">IF(Returns!$O171=1,Returns!G171,"")</f>
        <v/>
      </c>
      <c r="Q171" s="26" t="str">
        <f aca="false">IF(Returns!$O171=1,Returns!H171,"")</f>
        <v/>
      </c>
      <c r="R171" s="26" t="str">
        <f aca="false">IF(Returns!$O171=1,Returns!I171,"")</f>
        <v/>
      </c>
      <c r="S171" s="26" t="str">
        <f aca="false">IF(Returns!$O171=1,Returns!J171,"")</f>
        <v/>
      </c>
      <c r="T171" s="26" t="n">
        <f aca="false">IF(Returns!$O171=1,"",Returns!K171)</f>
        <v>0.0227877590341297</v>
      </c>
    </row>
    <row r="172" customFormat="false" ht="15" hidden="false" customHeight="false" outlineLevel="0" collapsed="false">
      <c r="A172" s="25" t="n">
        <f aca="false">Returns!A172</f>
        <v>43962</v>
      </c>
      <c r="B172" s="26" t="n">
        <f aca="false">IF(Returns!$O172=1,"",Returns!B172)</f>
        <v>0.0143884409019559</v>
      </c>
      <c r="C172" s="26" t="n">
        <f aca="false">IF(Returns!$O172=1,"",Returns!C172)</f>
        <v>-0.0254237301601551</v>
      </c>
      <c r="D172" s="26" t="n">
        <f aca="false">IF(Returns!$O172=1,"",Returns!D172)</f>
        <v>0.00791065611912534</v>
      </c>
      <c r="E172" s="26" t="n">
        <f aca="false">IF(Returns!$O172=1,"",Returns!E172)</f>
        <v>-0.0522765598650926</v>
      </c>
      <c r="F172" s="26" t="n">
        <f aca="false">IF(Returns!$O172=1,"",Returns!F172)</f>
        <v>-0.0234201417466459</v>
      </c>
      <c r="G172" s="26" t="n">
        <f aca="false">IF(Returns!$O172=1,"",Returns!G172)</f>
        <v>-0.0244161889596602</v>
      </c>
      <c r="H172" s="26" t="n">
        <f aca="false">IF(Returns!$O172=1,"",Returns!H172)</f>
        <v>-0.0178571428571429</v>
      </c>
      <c r="I172" s="26" t="n">
        <f aca="false">IF(Returns!$O172=1,"",Returns!I172)</f>
        <v>-0.0359363151225066</v>
      </c>
      <c r="J172" s="26" t="n">
        <f aca="false">IF(Returns!$O172=1,"",Returns!J172)</f>
        <v>-0.0229272885538296</v>
      </c>
      <c r="K172" s="26" t="str">
        <f aca="false">IF(Returns!$O172=1,Returns!B172,"")</f>
        <v/>
      </c>
      <c r="L172" s="26" t="str">
        <f aca="false">IF(Returns!$O172=1,Returns!C172,"")</f>
        <v/>
      </c>
      <c r="M172" s="26" t="str">
        <f aca="false">IF(Returns!$O172=1,Returns!D172,"")</f>
        <v/>
      </c>
      <c r="N172" s="26" t="str">
        <f aca="false">IF(Returns!$O172=1,Returns!E172,"")</f>
        <v/>
      </c>
      <c r="O172" s="26" t="str">
        <f aca="false">IF(Returns!$O172=1,Returns!F172,"")</f>
        <v/>
      </c>
      <c r="P172" s="26" t="str">
        <f aca="false">IF(Returns!$O172=1,Returns!G172,"")</f>
        <v/>
      </c>
      <c r="Q172" s="26" t="str">
        <f aca="false">IF(Returns!$O172=1,Returns!H172,"")</f>
        <v/>
      </c>
      <c r="R172" s="26" t="str">
        <f aca="false">IF(Returns!$O172=1,Returns!I172,"")</f>
        <v/>
      </c>
      <c r="S172" s="26" t="str">
        <f aca="false">IF(Returns!$O172=1,Returns!J172,"")</f>
        <v/>
      </c>
      <c r="T172" s="26" t="n">
        <f aca="false">IF(Returns!$O172=1,"",Returns!K172)</f>
        <v>-0.0199953633604391</v>
      </c>
    </row>
    <row r="173" customFormat="false" ht="15" hidden="false" customHeight="false" outlineLevel="0" collapsed="false">
      <c r="A173" s="25" t="n">
        <f aca="false">Returns!A173</f>
        <v>43963</v>
      </c>
      <c r="B173" s="26" t="n">
        <f aca="false">IF(Returns!$O173=1,"",Returns!B173)</f>
        <v>-0.0437351783388931</v>
      </c>
      <c r="C173" s="26" t="n">
        <f aca="false">IF(Returns!$O173=1,"",Returns!C173)</f>
        <v>-0.0290760341889149</v>
      </c>
      <c r="D173" s="26" t="n">
        <f aca="false">IF(Returns!$O173=1,"",Returns!D173)</f>
        <v>-0.00277008310249305</v>
      </c>
      <c r="E173" s="26" t="n">
        <f aca="false">IF(Returns!$O173=1,"",Returns!E173)</f>
        <v>-0.0209964412811388</v>
      </c>
      <c r="F173" s="26" t="n">
        <f aca="false">IF(Returns!$O173=1,"",Returns!F173)</f>
        <v>-0.00190323743411569</v>
      </c>
      <c r="G173" s="26" t="n">
        <f aca="false">IF(Returns!$O173=1,"",Returns!G173)</f>
        <v>-0.0212186627431266</v>
      </c>
      <c r="H173" s="26" t="n">
        <f aca="false">IF(Returns!$O173=1,"",Returns!H173)</f>
        <v>-0.000551019283746457</v>
      </c>
      <c r="I173" s="26" t="n">
        <f aca="false">IF(Returns!$O173=1,"",Returns!I173)</f>
        <v>-0.0279571109990522</v>
      </c>
      <c r="J173" s="26" t="n">
        <f aca="false">IF(Returns!$O173=1,"",Returns!J173)</f>
        <v>-0.00565684056149163</v>
      </c>
      <c r="K173" s="26" t="str">
        <f aca="false">IF(Returns!$O173=1,Returns!B173,"")</f>
        <v/>
      </c>
      <c r="L173" s="26" t="str">
        <f aca="false">IF(Returns!$O173=1,Returns!C173,"")</f>
        <v/>
      </c>
      <c r="M173" s="26" t="str">
        <f aca="false">IF(Returns!$O173=1,Returns!D173,"")</f>
        <v/>
      </c>
      <c r="N173" s="26" t="str">
        <f aca="false">IF(Returns!$O173=1,Returns!E173,"")</f>
        <v/>
      </c>
      <c r="O173" s="26" t="str">
        <f aca="false">IF(Returns!$O173=1,Returns!F173,"")</f>
        <v/>
      </c>
      <c r="P173" s="26" t="str">
        <f aca="false">IF(Returns!$O173=1,Returns!G173,"")</f>
        <v/>
      </c>
      <c r="Q173" s="26" t="str">
        <f aca="false">IF(Returns!$O173=1,Returns!H173,"")</f>
        <v/>
      </c>
      <c r="R173" s="26" t="str">
        <f aca="false">IF(Returns!$O173=1,Returns!I173,"")</f>
        <v/>
      </c>
      <c r="S173" s="26" t="str">
        <f aca="false">IF(Returns!$O173=1,Returns!J173,"")</f>
        <v/>
      </c>
      <c r="T173" s="26" t="n">
        <f aca="false">IF(Returns!$O173=1,"",Returns!K173)</f>
        <v>-0.017096067548108</v>
      </c>
    </row>
    <row r="174" customFormat="false" ht="15" hidden="false" customHeight="false" outlineLevel="0" collapsed="false">
      <c r="A174" s="25" t="n">
        <f aca="false">Returns!A174</f>
        <v>43964</v>
      </c>
      <c r="B174" s="26" t="n">
        <f aca="false">IF(Returns!$O174=1,"",Returns!B174)</f>
        <v>-0.0262052403904761</v>
      </c>
      <c r="C174" s="26" t="n">
        <f aca="false">IF(Returns!$O174=1,"",Returns!C174)</f>
        <v>0.0120346767422335</v>
      </c>
      <c r="D174" s="26" t="n">
        <f aca="false">IF(Returns!$O174=1,"",Returns!D174)</f>
        <v>0.0791666203703703</v>
      </c>
      <c r="E174" s="26" t="n">
        <f aca="false">IF(Returns!$O174=1,"",Returns!E174)</f>
        <v>-0.0072701199563795</v>
      </c>
      <c r="F174" s="26" t="n">
        <f aca="false">IF(Returns!$O174=1,"",Returns!F174)</f>
        <v>0.0377574199267756</v>
      </c>
      <c r="G174" s="26" t="n">
        <f aca="false">IF(Returns!$O174=1,"",Returns!G174)</f>
        <v>0.0116732073374097</v>
      </c>
      <c r="H174" s="26" t="n">
        <f aca="false">IF(Returns!$O174=1,"",Returns!H174)</f>
        <v>-0.0303196819360354</v>
      </c>
      <c r="I174" s="26" t="n">
        <f aca="false">IF(Returns!$O174=1,"",Returns!I174)</f>
        <v>0</v>
      </c>
      <c r="J174" s="26" t="n">
        <f aca="false">IF(Returns!$O174=1,"",Returns!J174)</f>
        <v>0.0227560476771185</v>
      </c>
      <c r="K174" s="26" t="str">
        <f aca="false">IF(Returns!$O174=1,Returns!B174,"")</f>
        <v/>
      </c>
      <c r="L174" s="26" t="str">
        <f aca="false">IF(Returns!$O174=1,Returns!C174,"")</f>
        <v/>
      </c>
      <c r="M174" s="26" t="str">
        <f aca="false">IF(Returns!$O174=1,Returns!D174,"")</f>
        <v/>
      </c>
      <c r="N174" s="26" t="str">
        <f aca="false">IF(Returns!$O174=1,Returns!E174,"")</f>
        <v/>
      </c>
      <c r="O174" s="26" t="str">
        <f aca="false">IF(Returns!$O174=1,Returns!F174,"")</f>
        <v/>
      </c>
      <c r="P174" s="26" t="str">
        <f aca="false">IF(Returns!$O174=1,Returns!G174,"")</f>
        <v/>
      </c>
      <c r="Q174" s="26" t="str">
        <f aca="false">IF(Returns!$O174=1,Returns!H174,"")</f>
        <v/>
      </c>
      <c r="R174" s="26" t="str">
        <f aca="false">IF(Returns!$O174=1,Returns!I174,"")</f>
        <v/>
      </c>
      <c r="S174" s="26" t="str">
        <f aca="false">IF(Returns!$O174=1,Returns!J174,"")</f>
        <v/>
      </c>
      <c r="T174" s="26" t="n">
        <f aca="false">IF(Returns!$O174=1,"",Returns!K174)</f>
        <v>0.0110658810856685</v>
      </c>
    </row>
    <row r="175" customFormat="false" ht="15" hidden="false" customHeight="false" outlineLevel="0" collapsed="false">
      <c r="A175" s="25" t="n">
        <f aca="false">Returns!A175</f>
        <v>43965</v>
      </c>
      <c r="B175" s="26" t="n">
        <f aca="false">IF(Returns!$O175=1,"",Returns!B175)</f>
        <v>-0.0269103078677408</v>
      </c>
      <c r="C175" s="26" t="n">
        <f aca="false">IF(Returns!$O175=1,"",Returns!C175)</f>
        <v>0.045907053260704</v>
      </c>
      <c r="D175" s="26" t="n">
        <f aca="false">IF(Returns!$O175=1,"",Returns!D175)</f>
        <v>-0.0416130004981983</v>
      </c>
      <c r="E175" s="26" t="n">
        <f aca="false">IF(Returns!$O175=1,"",Returns!E175)</f>
        <v>0.0725009913035881</v>
      </c>
      <c r="F175" s="26" t="n">
        <f aca="false">IF(Returns!$O175=1,"",Returns!F175)</f>
        <v>-0.00147007131711518</v>
      </c>
      <c r="G175" s="26" t="n">
        <f aca="false">IF(Returns!$O175=1,"",Returns!G175)</f>
        <v>0.0258241194602133</v>
      </c>
      <c r="H175" s="26" t="n">
        <f aca="false">IF(Returns!$O175=1,"",Returns!H175)</f>
        <v>-0.0108015918135305</v>
      </c>
      <c r="I175" s="26" t="n">
        <f aca="false">IF(Returns!$O175=1,"",Returns!I175)</f>
        <v>-0.0690756353272356</v>
      </c>
      <c r="J175" s="26" t="n">
        <f aca="false">IF(Returns!$O175=1,"",Returns!J175)</f>
        <v>-0.00927072498412174</v>
      </c>
      <c r="K175" s="26" t="str">
        <f aca="false">IF(Returns!$O175=1,Returns!B175,"")</f>
        <v/>
      </c>
      <c r="L175" s="26" t="str">
        <f aca="false">IF(Returns!$O175=1,Returns!C175,"")</f>
        <v/>
      </c>
      <c r="M175" s="26" t="str">
        <f aca="false">IF(Returns!$O175=1,Returns!D175,"")</f>
        <v/>
      </c>
      <c r="N175" s="26" t="str">
        <f aca="false">IF(Returns!$O175=1,Returns!E175,"")</f>
        <v/>
      </c>
      <c r="O175" s="26" t="str">
        <f aca="false">IF(Returns!$O175=1,Returns!F175,"")</f>
        <v/>
      </c>
      <c r="P175" s="26" t="str">
        <f aca="false">IF(Returns!$O175=1,Returns!G175,"")</f>
        <v/>
      </c>
      <c r="Q175" s="26" t="str">
        <f aca="false">IF(Returns!$O175=1,Returns!H175,"")</f>
        <v/>
      </c>
      <c r="R175" s="26" t="str">
        <f aca="false">IF(Returns!$O175=1,Returns!I175,"")</f>
        <v/>
      </c>
      <c r="S175" s="26" t="str">
        <f aca="false">IF(Returns!$O175=1,Returns!J175,"")</f>
        <v/>
      </c>
      <c r="T175" s="26" t="n">
        <f aca="false">IF(Returns!$O175=1,"",Returns!K175)</f>
        <v>-0.00165657419815963</v>
      </c>
    </row>
    <row r="176" customFormat="false" ht="15" hidden="false" customHeight="false" outlineLevel="0" collapsed="false">
      <c r="A176" s="25" t="n">
        <f aca="false">Returns!A176</f>
        <v>43966</v>
      </c>
      <c r="B176" s="26" t="n">
        <f aca="false">IF(Returns!$O176=1,"",Returns!B176)</f>
        <v>0.0109574218128139</v>
      </c>
      <c r="C176" s="26" t="n">
        <f aca="false">IF(Returns!$O176=1,"",Returns!C176)</f>
        <v>0.0454786380475218</v>
      </c>
      <c r="D176" s="26" t="n">
        <f aca="false">IF(Returns!$O176=1,"",Returns!D176)</f>
        <v>-0.0273052820053715</v>
      </c>
      <c r="E176" s="26" t="n">
        <f aca="false">IF(Returns!$O176=1,"",Returns!E176)</f>
        <v>0.031068623043065</v>
      </c>
      <c r="F176" s="26" t="n">
        <f aca="false">IF(Returns!$O176=1,"",Returns!F176)</f>
        <v>-0.0242915371038344</v>
      </c>
      <c r="G176" s="26" t="n">
        <f aca="false">IF(Returns!$O176=1,"",Returns!G176)</f>
        <v>-0.0305302624531334</v>
      </c>
      <c r="H176" s="26" t="n">
        <f aca="false">IF(Returns!$O176=1,"",Returns!H176)</f>
        <v>-0.014367816091954</v>
      </c>
      <c r="I176" s="26" t="n">
        <f aca="false">IF(Returns!$O176=1,"",Returns!I176)</f>
        <v>-0.0242936454048009</v>
      </c>
      <c r="J176" s="26" t="n">
        <f aca="false">IF(Returns!$O176=1,"",Returns!J176)</f>
        <v>-0.000831794551881981</v>
      </c>
      <c r="K176" s="26" t="str">
        <f aca="false">IF(Returns!$O176=1,Returns!B176,"")</f>
        <v/>
      </c>
      <c r="L176" s="26" t="str">
        <f aca="false">IF(Returns!$O176=1,Returns!C176,"")</f>
        <v/>
      </c>
      <c r="M176" s="26" t="str">
        <f aca="false">IF(Returns!$O176=1,Returns!D176,"")</f>
        <v/>
      </c>
      <c r="N176" s="26" t="str">
        <f aca="false">IF(Returns!$O176=1,Returns!E176,"")</f>
        <v/>
      </c>
      <c r="O176" s="26" t="str">
        <f aca="false">IF(Returns!$O176=1,Returns!F176,"")</f>
        <v/>
      </c>
      <c r="P176" s="26" t="str">
        <f aca="false">IF(Returns!$O176=1,Returns!G176,"")</f>
        <v/>
      </c>
      <c r="Q176" s="26" t="str">
        <f aca="false">IF(Returns!$O176=1,Returns!H176,"")</f>
        <v/>
      </c>
      <c r="R176" s="26" t="str">
        <f aca="false">IF(Returns!$O176=1,Returns!I176,"")</f>
        <v/>
      </c>
      <c r="S176" s="26" t="str">
        <f aca="false">IF(Returns!$O176=1,Returns!J176,"")</f>
        <v/>
      </c>
      <c r="T176" s="26" t="n">
        <f aca="false">IF(Returns!$O176=1,"",Returns!K176)</f>
        <v>-0.00379062830084172</v>
      </c>
    </row>
    <row r="177" customFormat="false" ht="15" hidden="false" customHeight="false" outlineLevel="0" collapsed="false">
      <c r="A177" s="25" t="n">
        <f aca="false">Returns!A177</f>
        <v>43969</v>
      </c>
      <c r="B177" s="26" t="n">
        <f aca="false">IF(Returns!$O177=1,"",Returns!B177)</f>
        <v>0.0232258580645162</v>
      </c>
      <c r="C177" s="26" t="n">
        <f aca="false">IF(Returns!$O177=1,"",Returns!C177)</f>
        <v>0.0619625189681334</v>
      </c>
      <c r="D177" s="26" t="n">
        <f aca="false">IF(Returns!$O177=1,"",Returns!D177)</f>
        <v>-0.0796134376438105</v>
      </c>
      <c r="E177" s="26" t="n">
        <f aca="false">IF(Returns!$O177=1,"",Returns!E177)</f>
        <v>0.109602546039651</v>
      </c>
      <c r="F177" s="26" t="n">
        <f aca="false">IF(Returns!$O177=1,"",Returns!F177)</f>
        <v>0.0143343116353927</v>
      </c>
      <c r="G177" s="26" t="n">
        <f aca="false">IF(Returns!$O177=1,"",Returns!G177)</f>
        <v>0.0712706629834252</v>
      </c>
      <c r="H177" s="26" t="n">
        <f aca="false">IF(Returns!$O177=1,"",Returns!H177)</f>
        <v>0.0810496209912537</v>
      </c>
      <c r="I177" s="26" t="n">
        <f aca="false">IF(Returns!$O177=1,"",Returns!I177)</f>
        <v>0.055480331964689</v>
      </c>
      <c r="J177" s="26" t="n">
        <f aca="false">IF(Returns!$O177=1,"",Returns!J177)</f>
        <v>0.0668053916088531</v>
      </c>
      <c r="K177" s="26" t="str">
        <f aca="false">IF(Returns!$O177=1,Returns!B177,"")</f>
        <v/>
      </c>
      <c r="L177" s="26" t="str">
        <f aca="false">IF(Returns!$O177=1,Returns!C177,"")</f>
        <v/>
      </c>
      <c r="M177" s="26" t="str">
        <f aca="false">IF(Returns!$O177=1,Returns!D177,"")</f>
        <v/>
      </c>
      <c r="N177" s="26" t="str">
        <f aca="false">IF(Returns!$O177=1,Returns!E177,"")</f>
        <v/>
      </c>
      <c r="O177" s="26" t="str">
        <f aca="false">IF(Returns!$O177=1,Returns!F177,"")</f>
        <v/>
      </c>
      <c r="P177" s="26" t="str">
        <f aca="false">IF(Returns!$O177=1,Returns!G177,"")</f>
        <v/>
      </c>
      <c r="Q177" s="26" t="str">
        <f aca="false">IF(Returns!$O177=1,Returns!H177,"")</f>
        <v/>
      </c>
      <c r="R177" s="26" t="str">
        <f aca="false">IF(Returns!$O177=1,Returns!I177,"")</f>
        <v/>
      </c>
      <c r="S177" s="26" t="str">
        <f aca="false">IF(Returns!$O177=1,Returns!J177,"")</f>
        <v/>
      </c>
      <c r="T177" s="26" t="n">
        <f aca="false">IF(Returns!$O177=1,"",Returns!K177)</f>
        <v>0.0449019782902337</v>
      </c>
    </row>
    <row r="178" customFormat="false" ht="15" hidden="false" customHeight="false" outlineLevel="0" collapsed="false">
      <c r="A178" s="25" t="n">
        <f aca="false">Returns!A178</f>
        <v>43970</v>
      </c>
      <c r="B178" s="26" t="n">
        <f aca="false">IF(Returns!$O178=1,"",Returns!B178)</f>
        <v>0.0514501108978507</v>
      </c>
      <c r="C178" s="26" t="n">
        <f aca="false">IF(Returns!$O178=1,"",Returns!C178)</f>
        <v>-0.0302452741245665</v>
      </c>
      <c r="D178" s="26" t="n">
        <f aca="false">IF(Returns!$O178=1,"",Returns!D178)</f>
        <v>0.00200004999999992</v>
      </c>
      <c r="E178" s="26" t="n">
        <f aca="false">IF(Returns!$O178=1,"",Returns!E178)</f>
        <v>0.0465533301434395</v>
      </c>
      <c r="F178" s="26" t="n">
        <f aca="false">IF(Returns!$O178=1,"",Returns!F178)</f>
        <v>0.0342134499173885</v>
      </c>
      <c r="G178" s="26" t="n">
        <f aca="false">IF(Returns!$O178=1,"",Returns!G178)</f>
        <v>0.014440485530711</v>
      </c>
      <c r="H178" s="26" t="n">
        <f aca="false">IF(Returns!$O178=1,"",Returns!H178)</f>
        <v>0.00755118621622519</v>
      </c>
      <c r="I178" s="26" t="n">
        <f aca="false">IF(Returns!$O178=1,"",Returns!I178)</f>
        <v>0.0251283003967064</v>
      </c>
      <c r="J178" s="26" t="n">
        <f aca="false">IF(Returns!$O178=1,"",Returns!J178)</f>
        <v>0.0202887444513751</v>
      </c>
      <c r="K178" s="26" t="str">
        <f aca="false">IF(Returns!$O178=1,Returns!B178,"")</f>
        <v/>
      </c>
      <c r="L178" s="26" t="str">
        <f aca="false">IF(Returns!$O178=1,Returns!C178,"")</f>
        <v/>
      </c>
      <c r="M178" s="26" t="str">
        <f aca="false">IF(Returns!$O178=1,Returns!D178,"")</f>
        <v/>
      </c>
      <c r="N178" s="26" t="str">
        <f aca="false">IF(Returns!$O178=1,Returns!E178,"")</f>
        <v/>
      </c>
      <c r="O178" s="26" t="str">
        <f aca="false">IF(Returns!$O178=1,Returns!F178,"")</f>
        <v/>
      </c>
      <c r="P178" s="26" t="str">
        <f aca="false">IF(Returns!$O178=1,Returns!G178,"")</f>
        <v/>
      </c>
      <c r="Q178" s="26" t="str">
        <f aca="false">IF(Returns!$O178=1,Returns!H178,"")</f>
        <v/>
      </c>
      <c r="R178" s="26" t="str">
        <f aca="false">IF(Returns!$O178=1,Returns!I178,"")</f>
        <v/>
      </c>
      <c r="S178" s="26" t="str">
        <f aca="false">IF(Returns!$O178=1,Returns!J178,"")</f>
        <v/>
      </c>
      <c r="T178" s="26" t="n">
        <f aca="false">IF(Returns!$O178=1,"",Returns!K178)</f>
        <v>0.0190422648254589</v>
      </c>
    </row>
    <row r="179" customFormat="false" ht="15" hidden="false" customHeight="false" outlineLevel="0" collapsed="false">
      <c r="A179" s="25" t="n">
        <f aca="false">Returns!A179</f>
        <v>43971</v>
      </c>
      <c r="B179" s="26" t="n">
        <f aca="false">IF(Returns!$O179=1,"",Returns!B179)</f>
        <v>-0.0285439920495081</v>
      </c>
      <c r="C179" s="26" t="n">
        <f aca="false">IF(Returns!$O179=1,"",Returns!C179)</f>
        <v>-0.00196466114844451</v>
      </c>
      <c r="D179" s="26" t="n">
        <f aca="false">IF(Returns!$O179=1,"",Returns!D179)</f>
        <v>-0.00948108735124309</v>
      </c>
      <c r="E179" s="26" t="n">
        <f aca="false">IF(Returns!$O179=1,"",Returns!E179)</f>
        <v>0.00655828343313369</v>
      </c>
      <c r="F179" s="26" t="n">
        <f aca="false">IF(Returns!$O179=1,"",Returns!F179)</f>
        <v>-0.0348795659629766</v>
      </c>
      <c r="G179" s="26" t="n">
        <f aca="false">IF(Returns!$O179=1,"",Returns!G179)</f>
        <v>0.0482969496695473</v>
      </c>
      <c r="H179" s="26" t="n">
        <f aca="false">IF(Returns!$O179=1,"",Returns!H179)</f>
        <v>0.0331905246252677</v>
      </c>
      <c r="I179" s="26" t="n">
        <f aca="false">IF(Returns!$O179=1,"",Returns!I179)</f>
        <v>0.0170084513406108</v>
      </c>
      <c r="J179" s="26" t="n">
        <f aca="false">IF(Returns!$O179=1,"",Returns!J179)</f>
        <v>0.00382411097178026</v>
      </c>
      <c r="K179" s="26" t="str">
        <f aca="false">IF(Returns!$O179=1,Returns!B179,"")</f>
        <v/>
      </c>
      <c r="L179" s="26" t="str">
        <f aca="false">IF(Returns!$O179=1,Returns!C179,"")</f>
        <v/>
      </c>
      <c r="M179" s="26" t="str">
        <f aca="false">IF(Returns!$O179=1,Returns!D179,"")</f>
        <v/>
      </c>
      <c r="N179" s="26" t="str">
        <f aca="false">IF(Returns!$O179=1,Returns!E179,"")</f>
        <v/>
      </c>
      <c r="O179" s="26" t="str">
        <f aca="false">IF(Returns!$O179=1,Returns!F179,"")</f>
        <v/>
      </c>
      <c r="P179" s="26" t="str">
        <f aca="false">IF(Returns!$O179=1,Returns!G179,"")</f>
        <v/>
      </c>
      <c r="Q179" s="26" t="str">
        <f aca="false">IF(Returns!$O179=1,Returns!H179,"")</f>
        <v/>
      </c>
      <c r="R179" s="26" t="str">
        <f aca="false">IF(Returns!$O179=1,Returns!I179,"")</f>
        <v/>
      </c>
      <c r="S179" s="26" t="str">
        <f aca="false">IF(Returns!$O179=1,Returns!J179,"")</f>
        <v/>
      </c>
      <c r="T179" s="26" t="n">
        <f aca="false">IF(Returns!$O179=1,"",Returns!K179)</f>
        <v>0.0037787792809075</v>
      </c>
    </row>
    <row r="180" customFormat="false" ht="15" hidden="false" customHeight="false" outlineLevel="0" collapsed="false">
      <c r="A180" s="25" t="n">
        <f aca="false">Returns!A180</f>
        <v>43972</v>
      </c>
      <c r="B180" s="26" t="n">
        <f aca="false">IF(Returns!$O180=1,"",Returns!B180)</f>
        <v>0.077037012345679</v>
      </c>
      <c r="C180" s="26" t="n">
        <f aca="false">IF(Returns!$O180=1,"",Returns!C180)</f>
        <v>0.0733268244747451</v>
      </c>
      <c r="D180" s="26" t="n">
        <f aca="false">IF(Returns!$O180=1,"",Returns!D180)</f>
        <v>-0.039294710327456</v>
      </c>
      <c r="E180" s="26" t="n">
        <f aca="false">IF(Returns!$O180=1,"",Returns!E180)</f>
        <v>0.0280453832307472</v>
      </c>
      <c r="F180" s="26" t="n">
        <f aca="false">IF(Returns!$O180=1,"",Returns!F180)</f>
        <v>0.000372556203820595</v>
      </c>
      <c r="G180" s="26" t="n">
        <f aca="false">IF(Returns!$O180=1,"",Returns!G180)</f>
        <v>0.0523763311165699</v>
      </c>
      <c r="H180" s="26" t="n">
        <f aca="false">IF(Returns!$O180=1,"",Returns!H180)</f>
        <v>-0.00569937853364666</v>
      </c>
      <c r="I180" s="26" t="n">
        <f aca="false">IF(Returns!$O180=1,"",Returns!I180)</f>
        <v>0.0494343518739111</v>
      </c>
      <c r="J180" s="26" t="n">
        <f aca="false">IF(Returns!$O180=1,"",Returns!J180)</f>
        <v>-0.026095219047619</v>
      </c>
      <c r="K180" s="26" t="str">
        <f aca="false">IF(Returns!$O180=1,Returns!B180,"")</f>
        <v/>
      </c>
      <c r="L180" s="26" t="str">
        <f aca="false">IF(Returns!$O180=1,Returns!C180,"")</f>
        <v/>
      </c>
      <c r="M180" s="26" t="str">
        <f aca="false">IF(Returns!$O180=1,Returns!D180,"")</f>
        <v/>
      </c>
      <c r="N180" s="26" t="str">
        <f aca="false">IF(Returns!$O180=1,Returns!E180,"")</f>
        <v/>
      </c>
      <c r="O180" s="26" t="str">
        <f aca="false">IF(Returns!$O180=1,Returns!F180,"")</f>
        <v/>
      </c>
      <c r="P180" s="26" t="str">
        <f aca="false">IF(Returns!$O180=1,Returns!G180,"")</f>
        <v/>
      </c>
      <c r="Q180" s="26" t="str">
        <f aca="false">IF(Returns!$O180=1,Returns!H180,"")</f>
        <v/>
      </c>
      <c r="R180" s="26" t="str">
        <f aca="false">IF(Returns!$O180=1,Returns!I180,"")</f>
        <v/>
      </c>
      <c r="S180" s="26" t="str">
        <f aca="false">IF(Returns!$O180=1,Returns!J180,"")</f>
        <v/>
      </c>
      <c r="T180" s="26" t="n">
        <f aca="false">IF(Returns!$O180=1,"",Returns!K180)</f>
        <v>0.0232781279263057</v>
      </c>
    </row>
    <row r="181" customFormat="false" ht="15" hidden="false" customHeight="false" outlineLevel="0" collapsed="false">
      <c r="A181" s="25" t="n">
        <f aca="false">Returns!A181</f>
        <v>43973</v>
      </c>
      <c r="B181" s="26" t="n">
        <f aca="false">IF(Returns!$O181=1,"",Returns!B181)</f>
        <v>-0.0437872545572502</v>
      </c>
      <c r="C181" s="26" t="n">
        <f aca="false">IF(Returns!$O181=1,"",Returns!C181)</f>
        <v>0.00596052269601111</v>
      </c>
      <c r="D181" s="26" t="n">
        <f aca="false">IF(Returns!$O181=1,"",Returns!D181)</f>
        <v>0.00681704247509174</v>
      </c>
      <c r="E181" s="26" t="n">
        <f aca="false">IF(Returns!$O181=1,"",Returns!E181)</f>
        <v>-0.00275563508526755</v>
      </c>
      <c r="F181" s="26" t="n">
        <f aca="false">IF(Returns!$O181=1,"",Returns!F181)</f>
        <v>-0.0558658661091118</v>
      </c>
      <c r="G181" s="26" t="n">
        <f aca="false">IF(Returns!$O181=1,"",Returns!G181)</f>
        <v>-0.02350230306441</v>
      </c>
      <c r="H181" s="26" t="n">
        <f aca="false">IF(Returns!$O181=1,"",Returns!H181)</f>
        <v>-0.0270974972851745</v>
      </c>
      <c r="I181" s="26" t="n">
        <f aca="false">IF(Returns!$O181=1,"",Returns!I181)</f>
        <v>-0.033278680285239</v>
      </c>
      <c r="J181" s="26" t="n">
        <f aca="false">IF(Returns!$O181=1,"",Returns!J181)</f>
        <v>-0.0168198901462958</v>
      </c>
      <c r="K181" s="26" t="str">
        <f aca="false">IF(Returns!$O181=1,Returns!B181,"")</f>
        <v/>
      </c>
      <c r="L181" s="26" t="str">
        <f aca="false">IF(Returns!$O181=1,Returns!C181,"")</f>
        <v/>
      </c>
      <c r="M181" s="26" t="str">
        <f aca="false">IF(Returns!$O181=1,Returns!D181,"")</f>
        <v/>
      </c>
      <c r="N181" s="26" t="str">
        <f aca="false">IF(Returns!$O181=1,Returns!E181,"")</f>
        <v/>
      </c>
      <c r="O181" s="26" t="str">
        <f aca="false">IF(Returns!$O181=1,Returns!F181,"")</f>
        <v/>
      </c>
      <c r="P181" s="26" t="str">
        <f aca="false">IF(Returns!$O181=1,Returns!G181,"")</f>
        <v/>
      </c>
      <c r="Q181" s="26" t="str">
        <f aca="false">IF(Returns!$O181=1,Returns!H181,"")</f>
        <v/>
      </c>
      <c r="R181" s="26" t="str">
        <f aca="false">IF(Returns!$O181=1,Returns!I181,"")</f>
        <v/>
      </c>
      <c r="S181" s="26" t="str">
        <f aca="false">IF(Returns!$O181=1,Returns!J181,"")</f>
        <v/>
      </c>
      <c r="T181" s="26" t="n">
        <f aca="false">IF(Returns!$O181=1,"",Returns!K181)</f>
        <v>-0.0211477290401829</v>
      </c>
    </row>
    <row r="182" customFormat="false" ht="15" hidden="false" customHeight="false" outlineLevel="0" collapsed="false">
      <c r="A182" s="25" t="n">
        <f aca="false">Returns!A182</f>
        <v>43976</v>
      </c>
      <c r="B182" s="26" t="n">
        <f aca="false">IF(Returns!$O182=1,"",Returns!B182)</f>
        <v>0.0261328224917963</v>
      </c>
      <c r="C182" s="26" t="n">
        <f aca="false">IF(Returns!$O182=1,"",Returns!C182)</f>
        <v>0.0597083436512462</v>
      </c>
      <c r="D182" s="26" t="n">
        <f aca="false">IF(Returns!$O182=1,"",Returns!D182)</f>
        <v>-0.0114583848198758</v>
      </c>
      <c r="E182" s="26" t="n">
        <f aca="false">IF(Returns!$O182=1,"",Returns!E182)</f>
        <v>0.0140923463413194</v>
      </c>
      <c r="F182" s="26" t="n">
        <f aca="false">IF(Returns!$O182=1,"",Returns!F182)</f>
        <v>0.0157790681381773</v>
      </c>
      <c r="G182" s="26" t="n">
        <f aca="false">IF(Returns!$O182=1,"",Returns!G182)</f>
        <v>0.0684284063979044</v>
      </c>
      <c r="H182" s="26" t="n">
        <f aca="false">IF(Returns!$O182=1,"",Returns!H182)</f>
        <v>0.043385109801821</v>
      </c>
      <c r="I182" s="26" t="n">
        <f aca="false">IF(Returns!$O182=1,"",Returns!I182)</f>
        <v>0.0484848888039469</v>
      </c>
      <c r="J182" s="26" t="n">
        <f aca="false">IF(Returns!$O182=1,"",Returns!J182)</f>
        <v>-0.0033817783966581</v>
      </c>
      <c r="K182" s="26" t="str">
        <f aca="false">IF(Returns!$O182=1,Returns!B182,"")</f>
        <v/>
      </c>
      <c r="L182" s="26" t="str">
        <f aca="false">IF(Returns!$O182=1,Returns!C182,"")</f>
        <v/>
      </c>
      <c r="M182" s="26" t="str">
        <f aca="false">IF(Returns!$O182=1,Returns!D182,"")</f>
        <v/>
      </c>
      <c r="N182" s="26" t="str">
        <f aca="false">IF(Returns!$O182=1,Returns!E182,"")</f>
        <v/>
      </c>
      <c r="O182" s="26" t="str">
        <f aca="false">IF(Returns!$O182=1,Returns!F182,"")</f>
        <v/>
      </c>
      <c r="P182" s="26" t="str">
        <f aca="false">IF(Returns!$O182=1,Returns!G182,"")</f>
        <v/>
      </c>
      <c r="Q182" s="26" t="str">
        <f aca="false">IF(Returns!$O182=1,Returns!H182,"")</f>
        <v/>
      </c>
      <c r="R182" s="26" t="str">
        <f aca="false">IF(Returns!$O182=1,Returns!I182,"")</f>
        <v/>
      </c>
      <c r="S182" s="26" t="str">
        <f aca="false">IF(Returns!$O182=1,Returns!J182,"")</f>
        <v/>
      </c>
      <c r="T182" s="26" t="n">
        <f aca="false">IF(Returns!$O182=1,"",Returns!K182)</f>
        <v>0.0290189802677419</v>
      </c>
    </row>
    <row r="183" customFormat="false" ht="15" hidden="false" customHeight="false" outlineLevel="0" collapsed="false">
      <c r="A183" s="25" t="n">
        <f aca="false">Returns!A183</f>
        <v>43977</v>
      </c>
      <c r="B183" s="26" t="n">
        <f aca="false">IF(Returns!$O183=1,"",Returns!B183)</f>
        <v>-0.0294392062953086</v>
      </c>
      <c r="C183" s="26" t="n">
        <f aca="false">IF(Returns!$O183=1,"",Returns!C183)</f>
        <v>0</v>
      </c>
      <c r="D183" s="26" t="n">
        <f aca="false">IF(Returns!$O183=1,"",Returns!D183)</f>
        <v>-0.00948371970495265</v>
      </c>
      <c r="E183" s="26" t="n">
        <f aca="false">IF(Returns!$O183=1,"",Returns!E183)</f>
        <v>0.00490463201894742</v>
      </c>
      <c r="F183" s="26" t="n">
        <f aca="false">IF(Returns!$O183=1,"",Returns!F183)</f>
        <v>0.0446601987093795</v>
      </c>
      <c r="G183" s="26" t="n">
        <f aca="false">IF(Returns!$O183=1,"",Returns!G183)</f>
        <v>-0.0379857790629762</v>
      </c>
      <c r="H183" s="26" t="n">
        <f aca="false">IF(Returns!$O183=1,"",Returns!H183)</f>
        <v>0.00975359342915816</v>
      </c>
      <c r="I183" s="26" t="n">
        <f aca="false">IF(Returns!$O183=1,"",Returns!I183)</f>
        <v>0.0194219627361329</v>
      </c>
      <c r="J183" s="26" t="n">
        <f aca="false">IF(Returns!$O183=1,"",Returns!J183)</f>
        <v>-0.0179640126931742</v>
      </c>
      <c r="K183" s="26" t="str">
        <f aca="false">IF(Returns!$O183=1,Returns!B183,"")</f>
        <v/>
      </c>
      <c r="L183" s="26" t="str">
        <f aca="false">IF(Returns!$O183=1,Returns!C183,"")</f>
        <v/>
      </c>
      <c r="M183" s="26" t="str">
        <f aca="false">IF(Returns!$O183=1,Returns!D183,"")</f>
        <v/>
      </c>
      <c r="N183" s="26" t="str">
        <f aca="false">IF(Returns!$O183=1,Returns!E183,"")</f>
        <v/>
      </c>
      <c r="O183" s="26" t="str">
        <f aca="false">IF(Returns!$O183=1,Returns!F183,"")</f>
        <v/>
      </c>
      <c r="P183" s="26" t="str">
        <f aca="false">IF(Returns!$O183=1,Returns!G183,"")</f>
        <v/>
      </c>
      <c r="Q183" s="26" t="str">
        <f aca="false">IF(Returns!$O183=1,Returns!H183,"")</f>
        <v/>
      </c>
      <c r="R183" s="26" t="str">
        <f aca="false">IF(Returns!$O183=1,Returns!I183,"")</f>
        <v/>
      </c>
      <c r="S183" s="26" t="str">
        <f aca="false">IF(Returns!$O183=1,Returns!J183,"")</f>
        <v/>
      </c>
      <c r="T183" s="26" t="n">
        <f aca="false">IF(Returns!$O183=1,"",Returns!K183)</f>
        <v>-0.00179248120697706</v>
      </c>
    </row>
    <row r="184" customFormat="false" ht="15" hidden="false" customHeight="false" outlineLevel="0" collapsed="false">
      <c r="A184" s="25" t="n">
        <f aca="false">Returns!A184</f>
        <v>43978</v>
      </c>
      <c r="B184" s="26" t="n">
        <f aca="false">IF(Returns!$O184=1,"",Returns!B184)</f>
        <v>0.0568127333458659</v>
      </c>
      <c r="C184" s="26" t="n">
        <f aca="false">IF(Returns!$O184=1,"",Returns!C184)</f>
        <v>0.00193548387096776</v>
      </c>
      <c r="D184" s="26" t="n">
        <f aca="false">IF(Returns!$O184=1,"",Returns!D184)</f>
        <v>0.0526596836521109</v>
      </c>
      <c r="E184" s="26" t="n">
        <f aca="false">IF(Returns!$O184=1,"",Returns!E184)</f>
        <v>0.0601951447886349</v>
      </c>
      <c r="F184" s="26" t="n">
        <f aca="false">IF(Returns!$O184=1,"",Returns!F184)</f>
        <v>0.0743494398860674</v>
      </c>
      <c r="G184" s="26" t="n">
        <f aca="false">IF(Returns!$O184=1,"",Returns!G184)</f>
        <v>0.0348943969286319</v>
      </c>
      <c r="H184" s="26" t="n">
        <f aca="false">IF(Returns!$O184=1,"",Returns!H184)</f>
        <v>0.0132180986273511</v>
      </c>
      <c r="I184" s="26" t="n">
        <f aca="false">IF(Returns!$O184=1,"",Returns!I184)</f>
        <v>-0.00181448066675227</v>
      </c>
      <c r="J184" s="26" t="n">
        <f aca="false">IF(Returns!$O184=1,"",Returns!J184)</f>
        <v>0.0292682514376372</v>
      </c>
      <c r="K184" s="26" t="str">
        <f aca="false">IF(Returns!$O184=1,Returns!B184,"")</f>
        <v/>
      </c>
      <c r="L184" s="26" t="str">
        <f aca="false">IF(Returns!$O184=1,Returns!C184,"")</f>
        <v/>
      </c>
      <c r="M184" s="26" t="str">
        <f aca="false">IF(Returns!$O184=1,Returns!D184,"")</f>
        <v/>
      </c>
      <c r="N184" s="26" t="str">
        <f aca="false">IF(Returns!$O184=1,Returns!E184,"")</f>
        <v/>
      </c>
      <c r="O184" s="26" t="str">
        <f aca="false">IF(Returns!$O184=1,Returns!F184,"")</f>
        <v/>
      </c>
      <c r="P184" s="26" t="str">
        <f aca="false">IF(Returns!$O184=1,Returns!G184,"")</f>
        <v/>
      </c>
      <c r="Q184" s="26" t="str">
        <f aca="false">IF(Returns!$O184=1,Returns!H184,"")</f>
        <v/>
      </c>
      <c r="R184" s="26" t="str">
        <f aca="false">IF(Returns!$O184=1,Returns!I184,"")</f>
        <v/>
      </c>
      <c r="S184" s="26" t="str">
        <f aca="false">IF(Returns!$O184=1,Returns!J184,"")</f>
        <v/>
      </c>
      <c r="T184" s="26" t="n">
        <f aca="false">IF(Returns!$O184=1,"",Returns!K184)</f>
        <v>0.0357243057633905</v>
      </c>
    </row>
    <row r="185" customFormat="false" ht="15" hidden="false" customHeight="false" outlineLevel="0" collapsed="false">
      <c r="A185" s="25" t="n">
        <f aca="false">Returns!A185</f>
        <v>43979</v>
      </c>
      <c r="B185" s="26" t="n">
        <f aca="false">IF(Returns!$O185=1,"",Returns!B185)</f>
        <v>-0.00706154865323239</v>
      </c>
      <c r="C185" s="26" t="n">
        <f aca="false">IF(Returns!$O185=1,"",Returns!C185)</f>
        <v>-0.0137368963296844</v>
      </c>
      <c r="D185" s="26" t="n">
        <f aca="false">IF(Returns!$O185=1,"",Returns!D185)</f>
        <v>-0.0151592210632027</v>
      </c>
      <c r="E185" s="26" t="n">
        <f aca="false">IF(Returns!$O185=1,"",Returns!E185)</f>
        <v>-0.0455242478529027</v>
      </c>
      <c r="F185" s="26" t="n">
        <f aca="false">IF(Returns!$O185=1,"",Returns!F185)</f>
        <v>-0.00657445633529752</v>
      </c>
      <c r="G185" s="26" t="n">
        <f aca="false">IF(Returns!$O185=1,"",Returns!G185)</f>
        <v>-0.0550133959621386</v>
      </c>
      <c r="H185" s="26" t="n">
        <f aca="false">IF(Returns!$O185=1,"",Returns!H185)</f>
        <v>-0.0080280983442047</v>
      </c>
      <c r="I185" s="26" t="n">
        <f aca="false">IF(Returns!$O185=1,"",Returns!I185)</f>
        <v>-0.000454475434133683</v>
      </c>
      <c r="J185" s="26" t="n">
        <f aca="false">IF(Returns!$O185=1,"",Returns!J185)</f>
        <v>-0.0108609599301137</v>
      </c>
      <c r="K185" s="26" t="str">
        <f aca="false">IF(Returns!$O185=1,Returns!B185,"")</f>
        <v/>
      </c>
      <c r="L185" s="26" t="str">
        <f aca="false">IF(Returns!$O185=1,Returns!C185,"")</f>
        <v/>
      </c>
      <c r="M185" s="26" t="str">
        <f aca="false">IF(Returns!$O185=1,Returns!D185,"")</f>
        <v/>
      </c>
      <c r="N185" s="26" t="str">
        <f aca="false">IF(Returns!$O185=1,Returns!E185,"")</f>
        <v/>
      </c>
      <c r="O185" s="26" t="str">
        <f aca="false">IF(Returns!$O185=1,Returns!F185,"")</f>
        <v/>
      </c>
      <c r="P185" s="26" t="str">
        <f aca="false">IF(Returns!$O185=1,Returns!G185,"")</f>
        <v/>
      </c>
      <c r="Q185" s="26" t="str">
        <f aca="false">IF(Returns!$O185=1,Returns!H185,"")</f>
        <v/>
      </c>
      <c r="R185" s="26" t="str">
        <f aca="false">IF(Returns!$O185=1,Returns!I185,"")</f>
        <v/>
      </c>
      <c r="S185" s="26" t="str">
        <f aca="false">IF(Returns!$O185=1,Returns!J185,"")</f>
        <v/>
      </c>
      <c r="T185" s="26" t="n">
        <f aca="false">IF(Returns!$O185=1,"",Returns!K185)</f>
        <v>-0.0180459222116567</v>
      </c>
    </row>
    <row r="186" customFormat="false" ht="15" hidden="false" customHeight="false" outlineLevel="0" collapsed="false">
      <c r="A186" s="25" t="n">
        <f aca="false">Returns!A186</f>
        <v>43980</v>
      </c>
      <c r="B186" s="26" t="n">
        <f aca="false">IF(Returns!$O186=1,"",Returns!B186)</f>
        <v>-0.034182197751778</v>
      </c>
      <c r="C186" s="26" t="n">
        <f aca="false">IF(Returns!$O186=1,"",Returns!C186)</f>
        <v>-0.00870509287073307</v>
      </c>
      <c r="D186" s="26" t="n">
        <f aca="false">IF(Returns!$O186=1,"",Returns!D186)</f>
        <v>0.00359153412006163</v>
      </c>
      <c r="E186" s="26" t="n">
        <f aca="false">IF(Returns!$O186=1,"",Returns!E186)</f>
        <v>0.0310825294748123</v>
      </c>
      <c r="F186" s="26" t="n">
        <f aca="false">IF(Returns!$O186=1,"",Returns!F186)</f>
        <v>-0.0160222874948596</v>
      </c>
      <c r="G186" s="26" t="n">
        <f aca="false">IF(Returns!$O186=1,"",Returns!G186)</f>
        <v>-0.0286384051003946</v>
      </c>
      <c r="H186" s="26" t="n">
        <f aca="false">IF(Returns!$O186=1,"",Returns!H186)</f>
        <v>0.0288315629742033</v>
      </c>
      <c r="I186" s="26" t="n">
        <f aca="false">IF(Returns!$O186=1,"",Returns!I186)</f>
        <v>0.0161400962099709</v>
      </c>
      <c r="J186" s="26" t="n">
        <f aca="false">IF(Returns!$O186=1,"",Returns!J186)</f>
        <v>0.0580954282291875</v>
      </c>
      <c r="K186" s="26" t="str">
        <f aca="false">IF(Returns!$O186=1,Returns!B186,"")</f>
        <v/>
      </c>
      <c r="L186" s="26" t="str">
        <f aca="false">IF(Returns!$O186=1,Returns!C186,"")</f>
        <v/>
      </c>
      <c r="M186" s="26" t="str">
        <f aca="false">IF(Returns!$O186=1,Returns!D186,"")</f>
        <v/>
      </c>
      <c r="N186" s="26" t="str">
        <f aca="false">IF(Returns!$O186=1,Returns!E186,"")</f>
        <v/>
      </c>
      <c r="O186" s="26" t="str">
        <f aca="false">IF(Returns!$O186=1,Returns!F186,"")</f>
        <v/>
      </c>
      <c r="P186" s="26" t="str">
        <f aca="false">IF(Returns!$O186=1,Returns!G186,"")</f>
        <v/>
      </c>
      <c r="Q186" s="26" t="str">
        <f aca="false">IF(Returns!$O186=1,Returns!H186,"")</f>
        <v/>
      </c>
      <c r="R186" s="26" t="str">
        <f aca="false">IF(Returns!$O186=1,Returns!I186,"")</f>
        <v/>
      </c>
      <c r="S186" s="26" t="str">
        <f aca="false">IF(Returns!$O186=1,Returns!J186,"")</f>
        <v/>
      </c>
      <c r="T186" s="26" t="n">
        <f aca="false">IF(Returns!$O186=1,"",Returns!K186)</f>
        <v>0.00557701864338559</v>
      </c>
    </row>
    <row r="187" customFormat="false" ht="15" hidden="false" customHeight="false" outlineLevel="0" collapsed="false">
      <c r="A187" s="25" t="n">
        <f aca="false">Returns!A187</f>
        <v>43983</v>
      </c>
      <c r="B187" s="26" t="n">
        <f aca="false">IF(Returns!$O187=1,"",Returns!B187)</f>
        <v>0.0166271029276535</v>
      </c>
      <c r="C187" s="26" t="n">
        <f aca="false">IF(Returns!$O187=1,"",Returns!C187)</f>
        <v>-0.000439099899870343</v>
      </c>
      <c r="D187" s="26" t="n">
        <f aca="false">IF(Returns!$O187=1,"",Returns!D187)</f>
        <v>-0.00408992863445445</v>
      </c>
      <c r="E187" s="26" t="n">
        <f aca="false">IF(Returns!$O187=1,"",Returns!E187)</f>
        <v>-0.0226091216216217</v>
      </c>
      <c r="F187" s="26" t="n">
        <f aca="false">IF(Returns!$O187=1,"",Returns!F187)</f>
        <v>0.0371681798335248</v>
      </c>
      <c r="G187" s="26" t="n">
        <f aca="false">IF(Returns!$O187=1,"",Returns!G187)</f>
        <v>0.076848715473721</v>
      </c>
      <c r="H187" s="26" t="n">
        <f aca="false">IF(Returns!$O187=1,"",Returns!H187)</f>
        <v>-0.000491642084562538</v>
      </c>
      <c r="I187" s="26" t="n">
        <f aca="false">IF(Returns!$O187=1,"",Returns!I187)</f>
        <v>0.0225950515991771</v>
      </c>
      <c r="J187" s="26" t="n">
        <f aca="false">IF(Returns!$O187=1,"",Returns!J187)</f>
        <v>0.00792449056603783</v>
      </c>
      <c r="K187" s="26" t="str">
        <f aca="false">IF(Returns!$O187=1,Returns!B187,"")</f>
        <v/>
      </c>
      <c r="L187" s="26" t="str">
        <f aca="false">IF(Returns!$O187=1,Returns!C187,"")</f>
        <v/>
      </c>
      <c r="M187" s="26" t="str">
        <f aca="false">IF(Returns!$O187=1,Returns!D187,"")</f>
        <v/>
      </c>
      <c r="N187" s="26" t="str">
        <f aca="false">IF(Returns!$O187=1,Returns!E187,"")</f>
        <v/>
      </c>
      <c r="O187" s="26" t="str">
        <f aca="false">IF(Returns!$O187=1,Returns!F187,"")</f>
        <v/>
      </c>
      <c r="P187" s="26" t="str">
        <f aca="false">IF(Returns!$O187=1,Returns!G187,"")</f>
        <v/>
      </c>
      <c r="Q187" s="26" t="str">
        <f aca="false">IF(Returns!$O187=1,Returns!H187,"")</f>
        <v/>
      </c>
      <c r="R187" s="26" t="str">
        <f aca="false">IF(Returns!$O187=1,Returns!I187,"")</f>
        <v/>
      </c>
      <c r="S187" s="26" t="str">
        <f aca="false">IF(Returns!$O187=1,Returns!J187,"")</f>
        <v/>
      </c>
      <c r="T187" s="26" t="n">
        <f aca="false">IF(Returns!$O187=1,"",Returns!K187)</f>
        <v>0.014837083128845</v>
      </c>
    </row>
    <row r="188" customFormat="false" ht="15" hidden="false" customHeight="false" outlineLevel="0" collapsed="false">
      <c r="A188" s="25" t="n">
        <f aca="false">Returns!A188</f>
        <v>43984</v>
      </c>
      <c r="B188" s="26" t="n">
        <f aca="false">IF(Returns!$O188=1,"",Returns!B188)</f>
        <v>0.0981308667787586</v>
      </c>
      <c r="C188" s="26" t="n">
        <f aca="false">IF(Returns!$O188=1,"",Returns!C188)</f>
        <v>0.0204260935833995</v>
      </c>
      <c r="D188" s="26" t="n">
        <f aca="false">IF(Returns!$O188=1,"",Returns!D188)</f>
        <v>0.0118069301848049</v>
      </c>
      <c r="E188" s="26" t="n">
        <f aca="false">IF(Returns!$O188=1,"",Returns!E188)</f>
        <v>0.0170167238230066</v>
      </c>
      <c r="F188" s="26" t="n">
        <f aca="false">IF(Returns!$O188=1,"",Returns!F188)</f>
        <v>0.0215016662425651</v>
      </c>
      <c r="G188" s="26" t="n">
        <f aca="false">IF(Returns!$O188=1,"",Returns!G188)</f>
        <v>0.0192997298339439</v>
      </c>
      <c r="H188" s="26" t="n">
        <f aca="false">IF(Returns!$O188=1,"",Returns!H188)</f>
        <v>0.0526315789473684</v>
      </c>
      <c r="I188" s="26" t="n">
        <f aca="false">IF(Returns!$O188=1,"",Returns!I188)</f>
        <v>0.0063443009437969</v>
      </c>
      <c r="J188" s="26" t="n">
        <f aca="false">IF(Returns!$O188=1,"",Returns!J188)</f>
        <v>0</v>
      </c>
      <c r="K188" s="26" t="str">
        <f aca="false">IF(Returns!$O188=1,Returns!B188,"")</f>
        <v/>
      </c>
      <c r="L188" s="26" t="str">
        <f aca="false">IF(Returns!$O188=1,Returns!C188,"")</f>
        <v/>
      </c>
      <c r="M188" s="26" t="str">
        <f aca="false">IF(Returns!$O188=1,Returns!D188,"")</f>
        <v/>
      </c>
      <c r="N188" s="26" t="str">
        <f aca="false">IF(Returns!$O188=1,Returns!E188,"")</f>
        <v/>
      </c>
      <c r="O188" s="26" t="str">
        <f aca="false">IF(Returns!$O188=1,Returns!F188,"")</f>
        <v/>
      </c>
      <c r="P188" s="26" t="str">
        <f aca="false">IF(Returns!$O188=1,Returns!G188,"")</f>
        <v/>
      </c>
      <c r="Q188" s="26" t="str">
        <f aca="false">IF(Returns!$O188=1,Returns!H188,"")</f>
        <v/>
      </c>
      <c r="R188" s="26" t="str">
        <f aca="false">IF(Returns!$O188=1,Returns!I188,"")</f>
        <v/>
      </c>
      <c r="S188" s="26" t="str">
        <f aca="false">IF(Returns!$O188=1,Returns!J188,"")</f>
        <v/>
      </c>
      <c r="T188" s="26" t="n">
        <f aca="false">IF(Returns!$O188=1,"",Returns!K188)</f>
        <v>0.0274619878152938</v>
      </c>
    </row>
    <row r="189" customFormat="false" ht="15" hidden="false" customHeight="false" outlineLevel="0" collapsed="false">
      <c r="A189" s="25" t="n">
        <f aca="false">Returns!A189</f>
        <v>43985</v>
      </c>
      <c r="B189" s="26" t="n">
        <f aca="false">IF(Returns!$O189=1,"",Returns!B189)</f>
        <v>-0.00553187234042563</v>
      </c>
      <c r="C189" s="26" t="n">
        <f aca="false">IF(Returns!$O189=1,"",Returns!C189)</f>
        <v>0.0507964076967891</v>
      </c>
      <c r="D189" s="26" t="n">
        <f aca="false">IF(Returns!$O189=1,"",Returns!D189)</f>
        <v>-0.0116691533064004</v>
      </c>
      <c r="E189" s="26" t="n">
        <f aca="false">IF(Returns!$O189=1,"",Returns!E189)</f>
        <v>0.0724183006535948</v>
      </c>
      <c r="F189" s="26" t="n">
        <f aca="false">IF(Returns!$O189=1,"",Returns!F189)</f>
        <v>0.0100233982430256</v>
      </c>
      <c r="G189" s="26" t="n">
        <f aca="false">IF(Returns!$O189=1,"",Returns!G189)</f>
        <v>0.0374284472667745</v>
      </c>
      <c r="H189" s="26" t="n">
        <f aca="false">IF(Returns!$O189=1,"",Returns!H189)</f>
        <v>0.0032709813084113</v>
      </c>
      <c r="I189" s="26" t="n">
        <f aca="false">IF(Returns!$O189=1,"",Returns!I189)</f>
        <v>0.0260869644868886</v>
      </c>
      <c r="J189" s="26" t="n">
        <f aca="false">IF(Returns!$O189=1,"",Returns!J189)</f>
        <v>0.0044927369708998</v>
      </c>
      <c r="K189" s="26" t="str">
        <f aca="false">IF(Returns!$O189=1,Returns!B189,"")</f>
        <v/>
      </c>
      <c r="L189" s="26" t="str">
        <f aca="false">IF(Returns!$O189=1,Returns!C189,"")</f>
        <v/>
      </c>
      <c r="M189" s="26" t="str">
        <f aca="false">IF(Returns!$O189=1,Returns!D189,"")</f>
        <v/>
      </c>
      <c r="N189" s="26" t="str">
        <f aca="false">IF(Returns!$O189=1,Returns!E189,"")</f>
        <v/>
      </c>
      <c r="O189" s="26" t="str">
        <f aca="false">IF(Returns!$O189=1,Returns!F189,"")</f>
        <v/>
      </c>
      <c r="P189" s="26" t="str">
        <f aca="false">IF(Returns!$O189=1,Returns!G189,"")</f>
        <v/>
      </c>
      <c r="Q189" s="26" t="str">
        <f aca="false">IF(Returns!$O189=1,Returns!H189,"")</f>
        <v/>
      </c>
      <c r="R189" s="26" t="str">
        <f aca="false">IF(Returns!$O189=1,Returns!I189,"")</f>
        <v/>
      </c>
      <c r="S189" s="26" t="str">
        <f aca="false">IF(Returns!$O189=1,Returns!J189,"")</f>
        <v/>
      </c>
      <c r="T189" s="26" t="n">
        <f aca="false">IF(Returns!$O189=1,"",Returns!K189)</f>
        <v>0.020812912331062</v>
      </c>
    </row>
    <row r="190" customFormat="false" ht="15" hidden="false" customHeight="false" outlineLevel="0" collapsed="false">
      <c r="A190" s="25" t="n">
        <f aca="false">Returns!A190</f>
        <v>43986</v>
      </c>
      <c r="B190" s="26" t="n">
        <f aca="false">IF(Returns!$O190=1,"",Returns!B190)</f>
        <v>-0.0295250522240029</v>
      </c>
      <c r="C190" s="26" t="n">
        <f aca="false">IF(Returns!$O190=1,"",Returns!C190)</f>
        <v>0.0155674316994556</v>
      </c>
      <c r="D190" s="26" t="n">
        <f aca="false">IF(Returns!$O190=1,"",Returns!D190)</f>
        <v>0.0118069301848049</v>
      </c>
      <c r="E190" s="26" t="n">
        <f aca="false">IF(Returns!$O190=1,"",Returns!E190)</f>
        <v>-0.0248659190638714</v>
      </c>
      <c r="F190" s="26" t="n">
        <f aca="false">IF(Returns!$O190=1,"",Returns!F190)</f>
        <v>0.00529284051516843</v>
      </c>
      <c r="G190" s="26" t="n">
        <f aca="false">IF(Returns!$O190=1,"",Returns!G190)</f>
        <v>-0.0241935069691642</v>
      </c>
      <c r="H190" s="26" t="n">
        <f aca="false">IF(Returns!$O190=1,"",Returns!H190)</f>
        <v>-0.00186301825165436</v>
      </c>
      <c r="I190" s="26" t="n">
        <f aca="false">IF(Returns!$O190=1,"",Returns!I190)</f>
        <v>-0.00847455590309731</v>
      </c>
      <c r="J190" s="26" t="n">
        <f aca="false">IF(Returns!$O190=1,"",Returns!J190)</f>
        <v>0.0372717107715244</v>
      </c>
      <c r="K190" s="26" t="str">
        <f aca="false">IF(Returns!$O190=1,Returns!B190,"")</f>
        <v/>
      </c>
      <c r="L190" s="26" t="str">
        <f aca="false">IF(Returns!$O190=1,Returns!C190,"")</f>
        <v/>
      </c>
      <c r="M190" s="26" t="str">
        <f aca="false">IF(Returns!$O190=1,Returns!D190,"")</f>
        <v/>
      </c>
      <c r="N190" s="26" t="str">
        <f aca="false">IF(Returns!$O190=1,Returns!E190,"")</f>
        <v/>
      </c>
      <c r="O190" s="26" t="str">
        <f aca="false">IF(Returns!$O190=1,Returns!F190,"")</f>
        <v/>
      </c>
      <c r="P190" s="26" t="str">
        <f aca="false">IF(Returns!$O190=1,Returns!G190,"")</f>
        <v/>
      </c>
      <c r="Q190" s="26" t="str">
        <f aca="false">IF(Returns!$O190=1,Returns!H190,"")</f>
        <v/>
      </c>
      <c r="R190" s="26" t="str">
        <f aca="false">IF(Returns!$O190=1,Returns!I190,"")</f>
        <v/>
      </c>
      <c r="S190" s="26" t="str">
        <f aca="false">IF(Returns!$O190=1,Returns!J190,"")</f>
        <v/>
      </c>
      <c r="T190" s="26" t="n">
        <f aca="false">IF(Returns!$O190=1,"",Returns!K190)</f>
        <v>-0.00210923769342631</v>
      </c>
    </row>
    <row r="191" customFormat="false" ht="15" hidden="false" customHeight="false" outlineLevel="0" collapsed="false">
      <c r="A191" s="25" t="n">
        <f aca="false">Returns!A191</f>
        <v>43987</v>
      </c>
      <c r="B191" s="26" t="n">
        <f aca="false">IF(Returns!$O191=1,"",Returns!B191)</f>
        <v>0.0163138664833804</v>
      </c>
      <c r="C191" s="26" t="n">
        <f aca="false">IF(Returns!$O191=1,"",Returns!C191)</f>
        <v>-0.0102864056013229</v>
      </c>
      <c r="D191" s="26" t="n">
        <f aca="false">IF(Returns!$O191=1,"",Returns!D191)</f>
        <v>-0.0329781853362854</v>
      </c>
      <c r="E191" s="26" t="n">
        <f aca="false">IF(Returns!$O191=1,"",Returns!E191)</f>
        <v>0.0210000000000001</v>
      </c>
      <c r="F191" s="26" t="n">
        <f aca="false">IF(Returns!$O191=1,"",Returns!F191)</f>
        <v>-0.0227048451914191</v>
      </c>
      <c r="G191" s="26" t="n">
        <f aca="false">IF(Returns!$O191=1,"",Returns!G191)</f>
        <v>0.00434971726837752</v>
      </c>
      <c r="H191" s="26" t="n">
        <f aca="false">IF(Returns!$O191=1,"",Returns!H191)</f>
        <v>0.0312645823611759</v>
      </c>
      <c r="I191" s="26" t="n">
        <f aca="false">IF(Returns!$O191=1,"",Returns!I191)</f>
        <v>-0.0128205510003646</v>
      </c>
      <c r="J191" s="26" t="n">
        <f aca="false">IF(Returns!$O191=1,"",Returns!J191)</f>
        <v>-0.0188645167085878</v>
      </c>
      <c r="K191" s="26" t="str">
        <f aca="false">IF(Returns!$O191=1,Returns!B191,"")</f>
        <v/>
      </c>
      <c r="L191" s="26" t="str">
        <f aca="false">IF(Returns!$O191=1,Returns!C191,"")</f>
        <v/>
      </c>
      <c r="M191" s="26" t="str">
        <f aca="false">IF(Returns!$O191=1,Returns!D191,"")</f>
        <v/>
      </c>
      <c r="N191" s="26" t="str">
        <f aca="false">IF(Returns!$O191=1,Returns!E191,"")</f>
        <v/>
      </c>
      <c r="O191" s="26" t="str">
        <f aca="false">IF(Returns!$O191=1,Returns!F191,"")</f>
        <v/>
      </c>
      <c r="P191" s="26" t="str">
        <f aca="false">IF(Returns!$O191=1,Returns!G191,"")</f>
        <v/>
      </c>
      <c r="Q191" s="26" t="str">
        <f aca="false">IF(Returns!$O191=1,Returns!H191,"")</f>
        <v/>
      </c>
      <c r="R191" s="26" t="str">
        <f aca="false">IF(Returns!$O191=1,Returns!I191,"")</f>
        <v/>
      </c>
      <c r="S191" s="26" t="str">
        <f aca="false">IF(Returns!$O191=1,Returns!J191,"")</f>
        <v/>
      </c>
      <c r="T191" s="26" t="n">
        <f aca="false">IF(Returns!$O191=1,"",Returns!K191)</f>
        <v>-0.00274737085833843</v>
      </c>
    </row>
    <row r="192" customFormat="false" ht="15" hidden="false" customHeight="false" outlineLevel="0" collapsed="false">
      <c r="A192" s="25" t="n">
        <f aca="false">Returns!A192</f>
        <v>43990</v>
      </c>
      <c r="B192" s="26" t="n">
        <f aca="false">IF(Returns!$O192=1,"",Returns!B192)</f>
        <v>0.0260303915848326</v>
      </c>
      <c r="C192" s="26" t="n">
        <f aca="false">IF(Returns!$O192=1,"",Returns!C192)</f>
        <v>0.0540044619114637</v>
      </c>
      <c r="D192" s="26" t="n">
        <f aca="false">IF(Returns!$O192=1,"",Returns!D192)</f>
        <v>0.0283316384224364</v>
      </c>
      <c r="E192" s="26" t="n">
        <f aca="false">IF(Returns!$O192=1,"",Returns!E192)</f>
        <v>0.0577865083251714</v>
      </c>
      <c r="F192" s="26" t="n">
        <f aca="false">IF(Returns!$O192=1,"",Returns!F192)</f>
        <v>0.00336697280275611</v>
      </c>
      <c r="G192" s="26" t="n">
        <f aca="false">IF(Returns!$O192=1,"",Returns!G192)</f>
        <v>-0.0103941100043308</v>
      </c>
      <c r="H192" s="26" t="n">
        <f aca="false">IF(Returns!$O192=1,"",Returns!H192)</f>
        <v>0.0194570588235292</v>
      </c>
      <c r="I192" s="26" t="n">
        <f aca="false">IF(Returns!$O192=1,"",Returns!I192)</f>
        <v>0.00216454377212161</v>
      </c>
      <c r="J192" s="26" t="n">
        <f aca="false">IF(Returns!$O192=1,"",Returns!J192)</f>
        <v>0.00311294628981962</v>
      </c>
      <c r="K192" s="26" t="str">
        <f aca="false">IF(Returns!$O192=1,Returns!B192,"")</f>
        <v/>
      </c>
      <c r="L192" s="26" t="str">
        <f aca="false">IF(Returns!$O192=1,Returns!C192,"")</f>
        <v/>
      </c>
      <c r="M192" s="26" t="str">
        <f aca="false">IF(Returns!$O192=1,Returns!D192,"")</f>
        <v/>
      </c>
      <c r="N192" s="26" t="str">
        <f aca="false">IF(Returns!$O192=1,Returns!E192,"")</f>
        <v/>
      </c>
      <c r="O192" s="26" t="str">
        <f aca="false">IF(Returns!$O192=1,Returns!F192,"")</f>
        <v/>
      </c>
      <c r="P192" s="26" t="str">
        <f aca="false">IF(Returns!$O192=1,Returns!G192,"")</f>
        <v/>
      </c>
      <c r="Q192" s="26" t="str">
        <f aca="false">IF(Returns!$O192=1,Returns!H192,"")</f>
        <v/>
      </c>
      <c r="R192" s="26" t="str">
        <f aca="false">IF(Returns!$O192=1,Returns!I192,"")</f>
        <v/>
      </c>
      <c r="S192" s="26" t="str">
        <f aca="false">IF(Returns!$O192=1,Returns!J192,"")</f>
        <v/>
      </c>
      <c r="T192" s="26" t="n">
        <f aca="false">IF(Returns!$O192=1,"",Returns!K192)</f>
        <v>0.0204289346586444</v>
      </c>
    </row>
    <row r="193" customFormat="false" ht="15" hidden="false" customHeight="false" outlineLevel="0" collapsed="false">
      <c r="A193" s="25" t="n">
        <f aca="false">Returns!A193</f>
        <v>43991</v>
      </c>
      <c r="B193" s="26" t="n">
        <f aca="false">IF(Returns!$O193=1,"",Returns!B193)</f>
        <v>-0.0126849474140581</v>
      </c>
      <c r="C193" s="26" t="n">
        <f aca="false">IF(Returns!$O193=1,"",Returns!C193)</f>
        <v>-0.0125676914153131</v>
      </c>
      <c r="D193" s="26" t="n">
        <f aca="false">IF(Returns!$O193=1,"",Returns!D193)</f>
        <v>0.00408163265306105</v>
      </c>
      <c r="E193" s="26" t="n">
        <f aca="false">IF(Returns!$O193=1,"",Returns!E193)</f>
        <v>-0.00694442113554583</v>
      </c>
      <c r="F193" s="26" t="n">
        <f aca="false">IF(Returns!$O193=1,"",Returns!F193)</f>
        <v>0.0151006858692293</v>
      </c>
      <c r="G193" s="26" t="n">
        <f aca="false">IF(Returns!$O193=1,"",Returns!G193)</f>
        <v>0.0472647702407001</v>
      </c>
      <c r="H193" s="26" t="n">
        <f aca="false">IF(Returns!$O193=1,"",Returns!H193)</f>
        <v>-0.0359521510895626</v>
      </c>
      <c r="I193" s="26" t="n">
        <f aca="false">IF(Returns!$O193=1,"",Returns!I193)</f>
        <v>-0.0103671594679835</v>
      </c>
      <c r="J193" s="26" t="n">
        <f aca="false">IF(Returns!$O193=1,"",Returns!J193)</f>
        <v>0.00383357071620249</v>
      </c>
      <c r="K193" s="26" t="str">
        <f aca="false">IF(Returns!$O193=1,Returns!B193,"")</f>
        <v/>
      </c>
      <c r="L193" s="26" t="str">
        <f aca="false">IF(Returns!$O193=1,Returns!C193,"")</f>
        <v/>
      </c>
      <c r="M193" s="26" t="str">
        <f aca="false">IF(Returns!$O193=1,Returns!D193,"")</f>
        <v/>
      </c>
      <c r="N193" s="26" t="str">
        <f aca="false">IF(Returns!$O193=1,Returns!E193,"")</f>
        <v/>
      </c>
      <c r="O193" s="26" t="str">
        <f aca="false">IF(Returns!$O193=1,Returns!F193,"")</f>
        <v/>
      </c>
      <c r="P193" s="26" t="str">
        <f aca="false">IF(Returns!$O193=1,Returns!G193,"")</f>
        <v/>
      </c>
      <c r="Q193" s="26" t="str">
        <f aca="false">IF(Returns!$O193=1,Returns!H193,"")</f>
        <v/>
      </c>
      <c r="R193" s="26" t="str">
        <f aca="false">IF(Returns!$O193=1,Returns!I193,"")</f>
        <v/>
      </c>
      <c r="S193" s="26" t="str">
        <f aca="false">IF(Returns!$O193=1,Returns!J193,"")</f>
        <v/>
      </c>
      <c r="T193" s="26" t="n">
        <f aca="false">IF(Returns!$O193=1,"",Returns!K193)</f>
        <v>-0.000915079004807807</v>
      </c>
    </row>
    <row r="194" customFormat="false" ht="15" hidden="false" customHeight="false" outlineLevel="0" collapsed="false">
      <c r="A194" s="25" t="n">
        <f aca="false">Returns!A194</f>
        <v>43992</v>
      </c>
      <c r="B194" s="26" t="n">
        <f aca="false">IF(Returns!$O194=1,"",Returns!B194)</f>
        <v>-0.0389721619063776</v>
      </c>
      <c r="C194" s="26" t="n">
        <f aca="false">IF(Returns!$O194=1,"",Returns!C194)</f>
        <v>-0.00646166059255271</v>
      </c>
      <c r="D194" s="26" t="n">
        <f aca="false">IF(Returns!$O194=1,"",Returns!D194)</f>
        <v>-0.00660574186991869</v>
      </c>
      <c r="E194" s="26" t="n">
        <f aca="false">IF(Returns!$O194=1,"",Returns!E194)</f>
        <v>-0.0419581332420451</v>
      </c>
      <c r="F194" s="26" t="n">
        <f aca="false">IF(Returns!$O194=1,"",Returns!F194)</f>
        <v>0.0125619690353367</v>
      </c>
      <c r="G194" s="26" t="n">
        <f aca="false">IF(Returns!$O194=1,"",Returns!G194)</f>
        <v>-0.0513998746343501</v>
      </c>
      <c r="H194" s="26" t="n">
        <f aca="false">IF(Returns!$O194=1,"",Returns!H194)</f>
        <v>-0.0147329196470039</v>
      </c>
      <c r="I194" s="26" t="n">
        <f aca="false">IF(Returns!$O194=1,"",Returns!I194)</f>
        <v>-0.0163684053302392</v>
      </c>
      <c r="J194" s="26" t="n">
        <f aca="false">IF(Returns!$O194=1,"",Returns!J194)</f>
        <v>-0.0143662660714214</v>
      </c>
      <c r="K194" s="26" t="str">
        <f aca="false">IF(Returns!$O194=1,Returns!B194,"")</f>
        <v/>
      </c>
      <c r="L194" s="26" t="str">
        <f aca="false">IF(Returns!$O194=1,Returns!C194,"")</f>
        <v/>
      </c>
      <c r="M194" s="26" t="str">
        <f aca="false">IF(Returns!$O194=1,Returns!D194,"")</f>
        <v/>
      </c>
      <c r="N194" s="26" t="str">
        <f aca="false">IF(Returns!$O194=1,Returns!E194,"")</f>
        <v/>
      </c>
      <c r="O194" s="26" t="str">
        <f aca="false">IF(Returns!$O194=1,Returns!F194,"")</f>
        <v/>
      </c>
      <c r="P194" s="26" t="str">
        <f aca="false">IF(Returns!$O194=1,Returns!G194,"")</f>
        <v/>
      </c>
      <c r="Q194" s="26" t="str">
        <f aca="false">IF(Returns!$O194=1,Returns!H194,"")</f>
        <v/>
      </c>
      <c r="R194" s="26" t="str">
        <f aca="false">IF(Returns!$O194=1,Returns!I194,"")</f>
        <v/>
      </c>
      <c r="S194" s="26" t="str">
        <f aca="false">IF(Returns!$O194=1,Returns!J194,"")</f>
        <v/>
      </c>
      <c r="T194" s="26" t="n">
        <f aca="false">IF(Returns!$O194=1,"",Returns!K194)</f>
        <v>-0.0198114660287302</v>
      </c>
    </row>
    <row r="195" customFormat="false" ht="15" hidden="false" customHeight="false" outlineLevel="0" collapsed="false">
      <c r="A195" s="25" t="n">
        <f aca="false">Returns!A195</f>
        <v>43994</v>
      </c>
      <c r="B195" s="26" t="n">
        <f aca="false">IF(Returns!$O195=1,"",Returns!B195)</f>
        <v>-0.0260695626989848</v>
      </c>
      <c r="C195" s="26" t="n">
        <f aca="false">IF(Returns!$O195=1,"",Returns!C195)</f>
        <v>-0.0175404210665975</v>
      </c>
      <c r="D195" s="26" t="n">
        <f aca="false">IF(Returns!$O195=1,"",Returns!D195)</f>
        <v>-0.0158567271537968</v>
      </c>
      <c r="E195" s="26" t="n">
        <f aca="false">IF(Returns!$O195=1,"",Returns!E195)</f>
        <v>-0.0197079571634043</v>
      </c>
      <c r="F195" s="26" t="n">
        <f aca="false">IF(Returns!$O195=1,"",Returns!F195)</f>
        <v>0.0218739291011241</v>
      </c>
      <c r="G195" s="26" t="n">
        <f aca="false">IF(Returns!$O195=1,"",Returns!G195)</f>
        <v>-0.0308370470996896</v>
      </c>
      <c r="H195" s="26" t="n">
        <f aca="false">IF(Returns!$O195=1,"",Returns!H195)</f>
        <v>-0.0373831775700934</v>
      </c>
      <c r="I195" s="26" t="n">
        <f aca="false">IF(Returns!$O195=1,"",Returns!I195)</f>
        <v>-0.00687817755838094</v>
      </c>
      <c r="J195" s="26" t="n">
        <f aca="false">IF(Returns!$O195=1,"",Returns!J195)</f>
        <v>-0.0147601288789644</v>
      </c>
      <c r="K195" s="26" t="str">
        <f aca="false">IF(Returns!$O195=1,Returns!B195,"")</f>
        <v/>
      </c>
      <c r="L195" s="26" t="str">
        <f aca="false">IF(Returns!$O195=1,Returns!C195,"")</f>
        <v/>
      </c>
      <c r="M195" s="26" t="str">
        <f aca="false">IF(Returns!$O195=1,Returns!D195,"")</f>
        <v/>
      </c>
      <c r="N195" s="26" t="str">
        <f aca="false">IF(Returns!$O195=1,Returns!E195,"")</f>
        <v/>
      </c>
      <c r="O195" s="26" t="str">
        <f aca="false">IF(Returns!$O195=1,Returns!F195,"")</f>
        <v/>
      </c>
      <c r="P195" s="26" t="str">
        <f aca="false">IF(Returns!$O195=1,Returns!G195,"")</f>
        <v/>
      </c>
      <c r="Q195" s="26" t="str">
        <f aca="false">IF(Returns!$O195=1,Returns!H195,"")</f>
        <v/>
      </c>
      <c r="R195" s="26" t="str">
        <f aca="false">IF(Returns!$O195=1,Returns!I195,"")</f>
        <v/>
      </c>
      <c r="S195" s="26" t="str">
        <f aca="false">IF(Returns!$O195=1,Returns!J195,"")</f>
        <v/>
      </c>
      <c r="T195" s="26" t="n">
        <f aca="false">IF(Returns!$O195=1,"",Returns!K195)</f>
        <v>-0.0163510300098653</v>
      </c>
    </row>
    <row r="196" customFormat="false" ht="15" hidden="false" customHeight="false" outlineLevel="0" collapsed="false">
      <c r="A196" s="25" t="n">
        <f aca="false">Returns!A196</f>
        <v>43997</v>
      </c>
      <c r="B196" s="26" t="n">
        <f aca="false">IF(Returns!$O196=1,"",Returns!B196)</f>
        <v>0.0130404944644358</v>
      </c>
      <c r="C196" s="26" t="n">
        <f aca="false">IF(Returns!$O196=1,"",Returns!C196)</f>
        <v>-0.00682056154823341</v>
      </c>
      <c r="D196" s="26" t="n">
        <f aca="false">IF(Returns!$O196=1,"",Returns!D196)</f>
        <v>0.00571725571725579</v>
      </c>
      <c r="E196" s="26" t="n">
        <f aca="false">IF(Returns!$O196=1,"",Returns!E196)</f>
        <v>0.0101762221351149</v>
      </c>
      <c r="F196" s="26" t="n">
        <f aca="false">IF(Returns!$O196=1,"",Returns!F196)</f>
        <v>0.015974489283588</v>
      </c>
      <c r="G196" s="26" t="n">
        <f aca="false">IF(Returns!$O196=1,"",Returns!G196)</f>
        <v>-0.0145454545454545</v>
      </c>
      <c r="H196" s="26" t="n">
        <f aca="false">IF(Returns!$O196=1,"",Returns!H196)</f>
        <v>0.00485441747572812</v>
      </c>
      <c r="I196" s="26" t="n">
        <f aca="false">IF(Returns!$O196=1,"",Returns!I196)</f>
        <v>-0.0270331247181025</v>
      </c>
      <c r="J196" s="26" t="n">
        <f aca="false">IF(Returns!$O196=1,"",Returns!J196)</f>
        <v>0.008988744981695</v>
      </c>
      <c r="K196" s="26" t="str">
        <f aca="false">IF(Returns!$O196=1,Returns!B196,"")</f>
        <v/>
      </c>
      <c r="L196" s="26" t="str">
        <f aca="false">IF(Returns!$O196=1,Returns!C196,"")</f>
        <v/>
      </c>
      <c r="M196" s="26" t="str">
        <f aca="false">IF(Returns!$O196=1,Returns!D196,"")</f>
        <v/>
      </c>
      <c r="N196" s="26" t="str">
        <f aca="false">IF(Returns!$O196=1,Returns!E196,"")</f>
        <v/>
      </c>
      <c r="O196" s="26" t="str">
        <f aca="false">IF(Returns!$O196=1,Returns!F196,"")</f>
        <v/>
      </c>
      <c r="P196" s="26" t="str">
        <f aca="false">IF(Returns!$O196=1,Returns!G196,"")</f>
        <v/>
      </c>
      <c r="Q196" s="26" t="str">
        <f aca="false">IF(Returns!$O196=1,Returns!H196,"")</f>
        <v/>
      </c>
      <c r="R196" s="26" t="str">
        <f aca="false">IF(Returns!$O196=1,Returns!I196,"")</f>
        <v/>
      </c>
      <c r="S196" s="26" t="str">
        <f aca="false">IF(Returns!$O196=1,Returns!J196,"")</f>
        <v/>
      </c>
      <c r="T196" s="26" t="n">
        <f aca="false">IF(Returns!$O196=1,"",Returns!K196)</f>
        <v>0.00115027591622525</v>
      </c>
    </row>
    <row r="197" customFormat="false" ht="15" hidden="false" customHeight="false" outlineLevel="0" collapsed="false">
      <c r="A197" s="25" t="n">
        <f aca="false">Returns!A197</f>
        <v>43998</v>
      </c>
      <c r="B197" s="26" t="n">
        <f aca="false">IF(Returns!$O197=1,"",Returns!B197)</f>
        <v>-0.0289069338054863</v>
      </c>
      <c r="C197" s="26" t="n">
        <f aca="false">IF(Returns!$O197=1,"",Returns!C197)</f>
        <v>-0.000201898622653962</v>
      </c>
      <c r="D197" s="26" t="n">
        <f aca="false">IF(Returns!$O197=1,"",Returns!D197)</f>
        <v>-0.0124030490956073</v>
      </c>
      <c r="E197" s="26" t="n">
        <f aca="false">IF(Returns!$O197=1,"",Returns!E197)</f>
        <v>-0.0130221864122313</v>
      </c>
      <c r="F197" s="26" t="n">
        <f aca="false">IF(Returns!$O197=1,"",Returns!F197)</f>
        <v>-0.0075471645782812</v>
      </c>
      <c r="G197" s="26" t="n">
        <f aca="false">IF(Returns!$O197=1,"",Returns!G197)</f>
        <v>-0.0119926199261992</v>
      </c>
      <c r="H197" s="26" t="n">
        <f aca="false">IF(Returns!$O197=1,"",Returns!H197)</f>
        <v>0.0323671481948236</v>
      </c>
      <c r="I197" s="26" t="n">
        <f aca="false">IF(Returns!$O197=1,"",Returns!I197)</f>
        <v>-0.0319172554190922</v>
      </c>
      <c r="J197" s="26" t="n">
        <f aca="false">IF(Returns!$O197=1,"",Returns!J197)</f>
        <v>0.0280252036372457</v>
      </c>
      <c r="K197" s="26" t="str">
        <f aca="false">IF(Returns!$O197=1,Returns!B197,"")</f>
        <v/>
      </c>
      <c r="L197" s="26" t="str">
        <f aca="false">IF(Returns!$O197=1,Returns!C197,"")</f>
        <v/>
      </c>
      <c r="M197" s="26" t="str">
        <f aca="false">IF(Returns!$O197=1,Returns!D197,"")</f>
        <v/>
      </c>
      <c r="N197" s="26" t="str">
        <f aca="false">IF(Returns!$O197=1,Returns!E197,"")</f>
        <v/>
      </c>
      <c r="O197" s="26" t="str">
        <f aca="false">IF(Returns!$O197=1,Returns!F197,"")</f>
        <v/>
      </c>
      <c r="P197" s="26" t="str">
        <f aca="false">IF(Returns!$O197=1,Returns!G197,"")</f>
        <v/>
      </c>
      <c r="Q197" s="26" t="str">
        <f aca="false">IF(Returns!$O197=1,Returns!H197,"")</f>
        <v/>
      </c>
      <c r="R197" s="26" t="str">
        <f aca="false">IF(Returns!$O197=1,Returns!I197,"")</f>
        <v/>
      </c>
      <c r="S197" s="26" t="str">
        <f aca="false">IF(Returns!$O197=1,Returns!J197,"")</f>
        <v/>
      </c>
      <c r="T197" s="26" t="n">
        <f aca="false">IF(Returns!$O197=1,"",Returns!K197)</f>
        <v>-0.00506652844749801</v>
      </c>
    </row>
    <row r="198" customFormat="false" ht="15" hidden="false" customHeight="false" outlineLevel="0" collapsed="false">
      <c r="A198" s="25" t="n">
        <f aca="false">Returns!A198</f>
        <v>43999</v>
      </c>
      <c r="B198" s="26" t="n">
        <f aca="false">IF(Returns!$O198=1,"",Returns!B198)</f>
        <v>0.0265116046511629</v>
      </c>
      <c r="C198" s="26" t="n">
        <f aca="false">IF(Returns!$O198=1,"",Returns!C198)</f>
        <v>0.034343393939394</v>
      </c>
      <c r="D198" s="26" t="n">
        <f aca="false">IF(Returns!$O198=1,"",Returns!D198)</f>
        <v>0.0230244885910784</v>
      </c>
      <c r="E198" s="26" t="n">
        <f aca="false">IF(Returns!$O198=1,"",Returns!E198)</f>
        <v>0.0164302721648131</v>
      </c>
      <c r="F198" s="26" t="n">
        <f aca="false">IF(Returns!$O198=1,"",Returns!F198)</f>
        <v>0.0361216636457968</v>
      </c>
      <c r="G198" s="26" t="n">
        <f aca="false">IF(Returns!$O198=1,"",Returns!G198)</f>
        <v>0.0546218487394956</v>
      </c>
      <c r="H198" s="26" t="n">
        <f aca="false">IF(Returns!$O198=1,"",Returns!H198)</f>
        <v>0.00327561987479563</v>
      </c>
      <c r="I198" s="26" t="n">
        <f aca="false">IF(Returns!$O198=1,"",Returns!I198)</f>
        <v>-0.00379511343556771</v>
      </c>
      <c r="J198" s="26" t="n">
        <f aca="false">IF(Returns!$O198=1,"",Returns!J198)</f>
        <v>0.0146236146348369</v>
      </c>
      <c r="K198" s="26" t="str">
        <f aca="false">IF(Returns!$O198=1,Returns!B198,"")</f>
        <v/>
      </c>
      <c r="L198" s="26" t="str">
        <f aca="false">IF(Returns!$O198=1,Returns!C198,"")</f>
        <v/>
      </c>
      <c r="M198" s="26" t="str">
        <f aca="false">IF(Returns!$O198=1,Returns!D198,"")</f>
        <v/>
      </c>
      <c r="N198" s="26" t="str">
        <f aca="false">IF(Returns!$O198=1,Returns!E198,"")</f>
        <v/>
      </c>
      <c r="O198" s="26" t="str">
        <f aca="false">IF(Returns!$O198=1,Returns!F198,"")</f>
        <v/>
      </c>
      <c r="P198" s="26" t="str">
        <f aca="false">IF(Returns!$O198=1,Returns!G198,"")</f>
        <v/>
      </c>
      <c r="Q198" s="26" t="str">
        <f aca="false">IF(Returns!$O198=1,Returns!H198,"")</f>
        <v/>
      </c>
      <c r="R198" s="26" t="str">
        <f aca="false">IF(Returns!$O198=1,Returns!I198,"")</f>
        <v/>
      </c>
      <c r="S198" s="26" t="str">
        <f aca="false">IF(Returns!$O198=1,Returns!J198,"")</f>
        <v/>
      </c>
      <c r="T198" s="26" t="n">
        <f aca="false">IF(Returns!$O198=1,"",Returns!K198)</f>
        <v>0.0227952658673117</v>
      </c>
    </row>
    <row r="199" customFormat="false" ht="15" hidden="false" customHeight="false" outlineLevel="0" collapsed="false">
      <c r="A199" s="25" t="n">
        <f aca="false">Returns!A199</f>
        <v>44000</v>
      </c>
      <c r="B199" s="26" t="n">
        <f aca="false">IF(Returns!$O199=1,"",Returns!B199)</f>
        <v>-0.0043044405143734</v>
      </c>
      <c r="C199" s="26" t="n">
        <f aca="false">IF(Returns!$O199=1,"",Returns!C199)</f>
        <v>-0.0164061920471169</v>
      </c>
      <c r="D199" s="26" t="n">
        <f aca="false">IF(Returns!$O199=1,"",Returns!D199)</f>
        <v>0.0271100269621496</v>
      </c>
      <c r="E199" s="26" t="n">
        <f aca="false">IF(Returns!$O199=1,"",Returns!E199)</f>
        <v>0.00930680826319841</v>
      </c>
      <c r="F199" s="26" t="n">
        <f aca="false">IF(Returns!$O199=1,"",Returns!F199)</f>
        <v>0.0214066875248264</v>
      </c>
      <c r="G199" s="26" t="n">
        <f aca="false">IF(Returns!$O199=1,"",Returns!G199)</f>
        <v>-0.0345285967242142</v>
      </c>
      <c r="H199" s="26" t="n">
        <f aca="false">IF(Returns!$O199=1,"",Returns!H199)</f>
        <v>0.00746263957730231</v>
      </c>
      <c r="I199" s="26" t="n">
        <f aca="false">IF(Returns!$O199=1,"",Returns!I199)</f>
        <v>0.0414285432793473</v>
      </c>
      <c r="J199" s="26" t="n">
        <f aca="false">IF(Returns!$O199=1,"",Returns!J199)</f>
        <v>-0.000533861200465169</v>
      </c>
      <c r="K199" s="26" t="str">
        <f aca="false">IF(Returns!$O199=1,Returns!B199,"")</f>
        <v/>
      </c>
      <c r="L199" s="26" t="str">
        <f aca="false">IF(Returns!$O199=1,Returns!C199,"")</f>
        <v/>
      </c>
      <c r="M199" s="26" t="str">
        <f aca="false">IF(Returns!$O199=1,Returns!D199,"")</f>
        <v/>
      </c>
      <c r="N199" s="26" t="str">
        <f aca="false">IF(Returns!$O199=1,Returns!E199,"")</f>
        <v/>
      </c>
      <c r="O199" s="26" t="str">
        <f aca="false">IF(Returns!$O199=1,Returns!F199,"")</f>
        <v/>
      </c>
      <c r="P199" s="26" t="str">
        <f aca="false">IF(Returns!$O199=1,Returns!G199,"")</f>
        <v/>
      </c>
      <c r="Q199" s="26" t="str">
        <f aca="false">IF(Returns!$O199=1,Returns!H199,"")</f>
        <v/>
      </c>
      <c r="R199" s="26" t="str">
        <f aca="false">IF(Returns!$O199=1,Returns!I199,"")</f>
        <v/>
      </c>
      <c r="S199" s="26" t="str">
        <f aca="false">IF(Returns!$O199=1,Returns!J199,"")</f>
        <v/>
      </c>
      <c r="T199" s="26" t="n">
        <f aca="false">IF(Returns!$O199=1,"",Returns!K199)</f>
        <v>0.00566017945785049</v>
      </c>
    </row>
    <row r="200" customFormat="false" ht="15" hidden="false" customHeight="false" outlineLevel="0" collapsed="false">
      <c r="A200" s="25" t="n">
        <f aca="false">Returns!A200</f>
        <v>44001</v>
      </c>
      <c r="B200" s="26" t="n">
        <f aca="false">IF(Returns!$O200=1,"",Returns!B200)</f>
        <v>0.0143344934167351</v>
      </c>
      <c r="C200" s="26" t="n">
        <f aca="false">IF(Returns!$O200=1,"",Returns!C200)</f>
        <v>0.0127084786991962</v>
      </c>
      <c r="D200" s="26" t="n">
        <f aca="false">IF(Returns!$O200=1,"",Returns!D200)</f>
        <v>0.0214143426294822</v>
      </c>
      <c r="E200" s="26" t="n">
        <f aca="false">IF(Returns!$O200=1,"",Returns!E200)</f>
        <v>0.0167435820612372</v>
      </c>
      <c r="F200" s="26" t="n">
        <f aca="false">IF(Returns!$O200=1,"",Returns!F200)</f>
        <v>-0.0140718046280361</v>
      </c>
      <c r="G200" s="26" t="n">
        <f aca="false">IF(Returns!$O200=1,"",Returns!G200)</f>
        <v>0.0100872081653922</v>
      </c>
      <c r="H200" s="26" t="n">
        <f aca="false">IF(Returns!$O200=1,"",Returns!H200)</f>
        <v>-0.00601856481481478</v>
      </c>
      <c r="I200" s="26" t="n">
        <f aca="false">IF(Returns!$O200=1,"",Returns!I200)</f>
        <v>0.0301784124012849</v>
      </c>
      <c r="J200" s="26" t="n">
        <f aca="false">IF(Returns!$O200=1,"",Returns!J200)</f>
        <v>-0.0178030983729072</v>
      </c>
      <c r="K200" s="26" t="str">
        <f aca="false">IF(Returns!$O200=1,Returns!B200,"")</f>
        <v/>
      </c>
      <c r="L200" s="26" t="str">
        <f aca="false">IF(Returns!$O200=1,Returns!C200,"")</f>
        <v/>
      </c>
      <c r="M200" s="26" t="str">
        <f aca="false">IF(Returns!$O200=1,Returns!D200,"")</f>
        <v/>
      </c>
      <c r="N200" s="26" t="str">
        <f aca="false">IF(Returns!$O200=1,Returns!E200,"")</f>
        <v/>
      </c>
      <c r="O200" s="26" t="str">
        <f aca="false">IF(Returns!$O200=1,Returns!F200,"")</f>
        <v/>
      </c>
      <c r="P200" s="26" t="str">
        <f aca="false">IF(Returns!$O200=1,Returns!G200,"")</f>
        <v/>
      </c>
      <c r="Q200" s="26" t="str">
        <f aca="false">IF(Returns!$O200=1,Returns!H200,"")</f>
        <v/>
      </c>
      <c r="R200" s="26" t="str">
        <f aca="false">IF(Returns!$O200=1,Returns!I200,"")</f>
        <v/>
      </c>
      <c r="S200" s="26" t="str">
        <f aca="false">IF(Returns!$O200=1,Returns!J200,"")</f>
        <v/>
      </c>
      <c r="T200" s="26" t="n">
        <f aca="false">IF(Returns!$O200=1,"",Returns!K200)</f>
        <v>0.00750811661750775</v>
      </c>
    </row>
    <row r="201" customFormat="false" ht="15" hidden="false" customHeight="false" outlineLevel="0" collapsed="false">
      <c r="A201" s="25" t="n">
        <f aca="false">Returns!A201</f>
        <v>44004</v>
      </c>
      <c r="B201" s="26" t="n">
        <f aca="false">IF(Returns!$O201=1,"",Returns!B201)</f>
        <v>0.0383579839229258</v>
      </c>
      <c r="C201" s="26" t="n">
        <f aca="false">IF(Returns!$O201=1,"",Returns!C201)</f>
        <v>-0.0131372352941177</v>
      </c>
      <c r="D201" s="26" t="n">
        <f aca="false">IF(Returns!$O201=1,"",Returns!D201)</f>
        <v>-0.00731345685031692</v>
      </c>
      <c r="E201" s="26" t="n">
        <f aca="false">IF(Returns!$O201=1,"",Returns!E201)</f>
        <v>-0.0157517892242584</v>
      </c>
      <c r="F201" s="26" t="n">
        <f aca="false">IF(Returns!$O201=1,"",Returns!F201)</f>
        <v>-0.0130579596761101</v>
      </c>
      <c r="G201" s="26" t="n">
        <f aca="false">IF(Returns!$O201=1,"",Returns!G201)</f>
        <v>-0.00136182472256807</v>
      </c>
      <c r="H201" s="26" t="n">
        <f aca="false">IF(Returns!$O201=1,"",Returns!H201)</f>
        <v>-0.0242197496143339</v>
      </c>
      <c r="I201" s="26" t="n">
        <f aca="false">IF(Returns!$O201=1,"",Returns!I201)</f>
        <v>-0.00954289448386025</v>
      </c>
      <c r="J201" s="26" t="n">
        <f aca="false">IF(Returns!$O201=1,"",Returns!J201)</f>
        <v>-0.0030813486707032</v>
      </c>
      <c r="K201" s="26" t="str">
        <f aca="false">IF(Returns!$O201=1,Returns!B201,"")</f>
        <v/>
      </c>
      <c r="L201" s="26" t="str">
        <f aca="false">IF(Returns!$O201=1,Returns!C201,"")</f>
        <v/>
      </c>
      <c r="M201" s="26" t="str">
        <f aca="false">IF(Returns!$O201=1,Returns!D201,"")</f>
        <v/>
      </c>
      <c r="N201" s="26" t="str">
        <f aca="false">IF(Returns!$O201=1,Returns!E201,"")</f>
        <v/>
      </c>
      <c r="O201" s="26" t="str">
        <f aca="false">IF(Returns!$O201=1,Returns!F201,"")</f>
        <v/>
      </c>
      <c r="P201" s="26" t="str">
        <f aca="false">IF(Returns!$O201=1,Returns!G201,"")</f>
        <v/>
      </c>
      <c r="Q201" s="26" t="str">
        <f aca="false">IF(Returns!$O201=1,Returns!H201,"")</f>
        <v/>
      </c>
      <c r="R201" s="26" t="str">
        <f aca="false">IF(Returns!$O201=1,Returns!I201,"")</f>
        <v/>
      </c>
      <c r="S201" s="26" t="str">
        <f aca="false">IF(Returns!$O201=1,Returns!J201,"")</f>
        <v/>
      </c>
      <c r="T201" s="26" t="n">
        <f aca="false">IF(Returns!$O201=1,"",Returns!K201)</f>
        <v>-0.00545647495703809</v>
      </c>
    </row>
    <row r="202" customFormat="false" ht="15" hidden="false" customHeight="false" outlineLevel="0" collapsed="false">
      <c r="A202" s="25" t="n">
        <f aca="false">Returns!A202</f>
        <v>44005</v>
      </c>
      <c r="B202" s="26" t="n">
        <f aca="false">IF(Returns!$O202=1,"",Returns!B202)</f>
        <v>0.0298119889865633</v>
      </c>
      <c r="C202" s="26" t="n">
        <f aca="false">IF(Returns!$O202=1,"",Returns!C202)</f>
        <v>0.038744227324772</v>
      </c>
      <c r="D202" s="26" t="n">
        <f aca="false">IF(Returns!$O202=1,"",Returns!D202)</f>
        <v>-0.0191553035778338</v>
      </c>
      <c r="E202" s="26" t="n">
        <f aca="false">IF(Returns!$O202=1,"",Returns!E202)</f>
        <v>0.0126090197570796</v>
      </c>
      <c r="F202" s="26" t="n">
        <f aca="false">IF(Returns!$O202=1,"",Returns!F202)</f>
        <v>0.00584605440437769</v>
      </c>
      <c r="G202" s="26" t="n">
        <f aca="false">IF(Returns!$O202=1,"",Returns!G202)</f>
        <v>-0.00409090909090903</v>
      </c>
      <c r="H202" s="26" t="n">
        <f aca="false">IF(Returns!$O202=1,"",Returns!H202)</f>
        <v>0.0334128385005805</v>
      </c>
      <c r="I202" s="26" t="n">
        <f aca="false">IF(Returns!$O202=1,"",Returns!I202)</f>
        <v>-0.000672182287838052</v>
      </c>
      <c r="J202" s="26" t="n">
        <f aca="false">IF(Returns!$O202=1,"",Returns!J202)</f>
        <v>0.0107272727272727</v>
      </c>
      <c r="K202" s="26" t="str">
        <f aca="false">IF(Returns!$O202=1,Returns!B202,"")</f>
        <v/>
      </c>
      <c r="L202" s="26" t="str">
        <f aca="false">IF(Returns!$O202=1,Returns!C202,"")</f>
        <v/>
      </c>
      <c r="M202" s="26" t="str">
        <f aca="false">IF(Returns!$O202=1,Returns!D202,"")</f>
        <v/>
      </c>
      <c r="N202" s="26" t="str">
        <f aca="false">IF(Returns!$O202=1,Returns!E202,"")</f>
        <v/>
      </c>
      <c r="O202" s="26" t="str">
        <f aca="false">IF(Returns!$O202=1,Returns!F202,"")</f>
        <v/>
      </c>
      <c r="P202" s="26" t="str">
        <f aca="false">IF(Returns!$O202=1,Returns!G202,"")</f>
        <v/>
      </c>
      <c r="Q202" s="26" t="str">
        <f aca="false">IF(Returns!$O202=1,Returns!H202,"")</f>
        <v/>
      </c>
      <c r="R202" s="26" t="str">
        <f aca="false">IF(Returns!$O202=1,Returns!I202,"")</f>
        <v/>
      </c>
      <c r="S202" s="26" t="str">
        <f aca="false">IF(Returns!$O202=1,Returns!J202,"")</f>
        <v/>
      </c>
      <c r="T202" s="26" t="n">
        <f aca="false">IF(Returns!$O202=1,"",Returns!K202)</f>
        <v>0.0119147785271183</v>
      </c>
    </row>
    <row r="203" customFormat="false" ht="15" hidden="false" customHeight="false" outlineLevel="0" collapsed="false">
      <c r="A203" s="25" t="n">
        <f aca="false">Returns!A203</f>
        <v>44006</v>
      </c>
      <c r="B203" s="26" t="n">
        <f aca="false">IF(Returns!$O203=1,"",Returns!B203)</f>
        <v>-0.0467799264434624</v>
      </c>
      <c r="C203" s="26" t="n">
        <f aca="false">IF(Returns!$O203=1,"",Returns!C203)</f>
        <v>0.00707725734802045</v>
      </c>
      <c r="D203" s="26" t="n">
        <f aca="false">IF(Returns!$O203=1,"",Returns!D203)</f>
        <v>0.0265398611186709</v>
      </c>
      <c r="E203" s="26" t="n">
        <f aca="false">IF(Returns!$O203=1,"",Returns!E203)</f>
        <v>-0.0186781139213658</v>
      </c>
      <c r="F203" s="26" t="n">
        <f aca="false">IF(Returns!$O203=1,"",Returns!F203)</f>
        <v>-0.0272254055057186</v>
      </c>
      <c r="G203" s="26" t="n">
        <f aca="false">IF(Returns!$O203=1,"",Returns!G203)</f>
        <v>-0.0232770424463716</v>
      </c>
      <c r="H203" s="26" t="n">
        <f aca="false">IF(Returns!$O203=1,"",Returns!H203)</f>
        <v>-0.0300230946882216</v>
      </c>
      <c r="I203" s="26" t="n">
        <f aca="false">IF(Returns!$O203=1,"",Returns!I203)</f>
        <v>-0.00762331929813276</v>
      </c>
      <c r="J203" s="26" t="n">
        <f aca="false">IF(Returns!$O203=1,"",Returns!J203)</f>
        <v>-0.00359778737182948</v>
      </c>
      <c r="K203" s="26" t="str">
        <f aca="false">IF(Returns!$O203=1,Returns!B203,"")</f>
        <v/>
      </c>
      <c r="L203" s="26" t="str">
        <f aca="false">IF(Returns!$O203=1,Returns!C203,"")</f>
        <v/>
      </c>
      <c r="M203" s="26" t="str">
        <f aca="false">IF(Returns!$O203=1,Returns!D203,"")</f>
        <v/>
      </c>
      <c r="N203" s="26" t="str">
        <f aca="false">IF(Returns!$O203=1,Returns!E203,"")</f>
        <v/>
      </c>
      <c r="O203" s="26" t="str">
        <f aca="false">IF(Returns!$O203=1,Returns!F203,"")</f>
        <v/>
      </c>
      <c r="P203" s="26" t="str">
        <f aca="false">IF(Returns!$O203=1,Returns!G203,"")</f>
        <v/>
      </c>
      <c r="Q203" s="26" t="str">
        <f aca="false">IF(Returns!$O203=1,Returns!H203,"")</f>
        <v/>
      </c>
      <c r="R203" s="26" t="str">
        <f aca="false">IF(Returns!$O203=1,Returns!I203,"")</f>
        <v/>
      </c>
      <c r="S203" s="26" t="str">
        <f aca="false">IF(Returns!$O203=1,Returns!J203,"")</f>
        <v/>
      </c>
      <c r="T203" s="26" t="n">
        <f aca="false">IF(Returns!$O203=1,"",Returns!K203)</f>
        <v>-0.0137319523564901</v>
      </c>
    </row>
    <row r="204" customFormat="false" ht="15" hidden="false" customHeight="false" outlineLevel="0" collapsed="false">
      <c r="A204" s="25" t="n">
        <f aca="false">Returns!A204</f>
        <v>44007</v>
      </c>
      <c r="B204" s="26" t="n">
        <f aca="false">IF(Returns!$O204=1,"",Returns!B204)</f>
        <v>0.0541373911561927</v>
      </c>
      <c r="C204" s="26" t="n">
        <f aca="false">IF(Returns!$O204=1,"",Returns!C204)</f>
        <v>0.0446343615176275</v>
      </c>
      <c r="D204" s="26" t="n">
        <f aca="false">IF(Returns!$O204=1,"",Returns!D204)</f>
        <v>-0.00195126829268288</v>
      </c>
      <c r="E204" s="26" t="n">
        <f aca="false">IF(Returns!$O204=1,"",Returns!E204)</f>
        <v>0.0114690336749634</v>
      </c>
      <c r="F204" s="26" t="n">
        <f aca="false">IF(Returns!$O204=1,"",Returns!F204)</f>
        <v>0.0188679429628731</v>
      </c>
      <c r="G204" s="26" t="n">
        <f aca="false">IF(Returns!$O204=1,"",Returns!G204)</f>
        <v>-0.00467294392523354</v>
      </c>
      <c r="H204" s="26" t="n">
        <f aca="false">IF(Returns!$O204=1,"",Returns!H204)</f>
        <v>0.0223809047619048</v>
      </c>
      <c r="I204" s="26" t="n">
        <f aca="false">IF(Returns!$O204=1,"",Returns!I204)</f>
        <v>0.0499322003199216</v>
      </c>
      <c r="J204" s="26" t="n">
        <f aca="false">IF(Returns!$O204=1,"",Returns!J204)</f>
        <v>0.0110128364508546</v>
      </c>
      <c r="K204" s="26" t="str">
        <f aca="false">IF(Returns!$O204=1,Returns!B204,"")</f>
        <v/>
      </c>
      <c r="L204" s="26" t="str">
        <f aca="false">IF(Returns!$O204=1,Returns!C204,"")</f>
        <v/>
      </c>
      <c r="M204" s="26" t="str">
        <f aca="false">IF(Returns!$O204=1,Returns!D204,"")</f>
        <v/>
      </c>
      <c r="N204" s="26" t="str">
        <f aca="false">IF(Returns!$O204=1,Returns!E204,"")</f>
        <v/>
      </c>
      <c r="O204" s="26" t="str">
        <f aca="false">IF(Returns!$O204=1,Returns!F204,"")</f>
        <v/>
      </c>
      <c r="P204" s="26" t="str">
        <f aca="false">IF(Returns!$O204=1,Returns!G204,"")</f>
        <v/>
      </c>
      <c r="Q204" s="26" t="str">
        <f aca="false">IF(Returns!$O204=1,Returns!H204,"")</f>
        <v/>
      </c>
      <c r="R204" s="26" t="str">
        <f aca="false">IF(Returns!$O204=1,Returns!I204,"")</f>
        <v/>
      </c>
      <c r="S204" s="26" t="str">
        <f aca="false">IF(Returns!$O204=1,Returns!J204,"")</f>
        <v/>
      </c>
      <c r="T204" s="26" t="n">
        <f aca="false">IF(Returns!$O204=1,"",Returns!K204)</f>
        <v>0.022867828736269</v>
      </c>
    </row>
    <row r="205" customFormat="false" ht="15" hidden="false" customHeight="false" outlineLevel="0" collapsed="false">
      <c r="A205" s="25" t="n">
        <f aca="false">Returns!A205</f>
        <v>44008</v>
      </c>
      <c r="B205" s="26" t="n">
        <f aca="false">IF(Returns!$O205=1,"",Returns!B205)</f>
        <v>-0.0336117104963796</v>
      </c>
      <c r="C205" s="26" t="n">
        <f aca="false">IF(Returns!$O205=1,"",Returns!C205)</f>
        <v>-0.0281817838677659</v>
      </c>
      <c r="D205" s="26" t="n">
        <f aca="false">IF(Returns!$O205=1,"",Returns!D205)</f>
        <v>0.00244384176167367</v>
      </c>
      <c r="E205" s="26" t="n">
        <f aca="false">IF(Returns!$O205=1,"",Returns!E205)</f>
        <v>-0.0289505662496847</v>
      </c>
      <c r="F205" s="26" t="n">
        <f aca="false">IF(Returns!$O205=1,"",Returns!F205)</f>
        <v>-0.0391975622655375</v>
      </c>
      <c r="G205" s="26" t="n">
        <f aca="false">IF(Returns!$O205=1,"",Returns!G205)</f>
        <v>-0.0502346971941172</v>
      </c>
      <c r="H205" s="26" t="n">
        <f aca="false">IF(Returns!$O205=1,"",Returns!H205)</f>
        <v>-0.0293432244687111</v>
      </c>
      <c r="I205" s="26" t="n">
        <f aca="false">IF(Returns!$O205=1,"",Returns!I205)</f>
        <v>-0.0185065700333531</v>
      </c>
      <c r="J205" s="26" t="n">
        <f aca="false">IF(Returns!$O205=1,"",Returns!J205)</f>
        <v>-0.00678573214285716</v>
      </c>
      <c r="K205" s="26" t="str">
        <f aca="false">IF(Returns!$O205=1,Returns!B205,"")</f>
        <v/>
      </c>
      <c r="L205" s="26" t="str">
        <f aca="false">IF(Returns!$O205=1,Returns!C205,"")</f>
        <v/>
      </c>
      <c r="M205" s="26" t="str">
        <f aca="false">IF(Returns!$O205=1,Returns!D205,"")</f>
        <v/>
      </c>
      <c r="N205" s="26" t="str">
        <f aca="false">IF(Returns!$O205=1,Returns!E205,"")</f>
        <v/>
      </c>
      <c r="O205" s="26" t="str">
        <f aca="false">IF(Returns!$O205=1,Returns!F205,"")</f>
        <v/>
      </c>
      <c r="P205" s="26" t="str">
        <f aca="false">IF(Returns!$O205=1,Returns!G205,"")</f>
        <v/>
      </c>
      <c r="Q205" s="26" t="str">
        <f aca="false">IF(Returns!$O205=1,Returns!H205,"")</f>
        <v/>
      </c>
      <c r="R205" s="26" t="str">
        <f aca="false">IF(Returns!$O205=1,Returns!I205,"")</f>
        <v/>
      </c>
      <c r="S205" s="26" t="str">
        <f aca="false">IF(Returns!$O205=1,Returns!J205,"")</f>
        <v/>
      </c>
      <c r="T205" s="26" t="n">
        <f aca="false">IF(Returns!$O205=1,"",Returns!K205)</f>
        <v>-0.0258186672174147</v>
      </c>
    </row>
    <row r="206" customFormat="false" ht="15" hidden="false" customHeight="false" outlineLevel="0" collapsed="false">
      <c r="A206" s="25" t="n">
        <f aca="false">Returns!A206</f>
        <v>44011</v>
      </c>
      <c r="B206" s="26" t="n">
        <f aca="false">IF(Returns!$O206=1,"",Returns!B206)</f>
        <v>0.0250594075381421</v>
      </c>
      <c r="C206" s="26" t="n">
        <f aca="false">IF(Returns!$O206=1,"",Returns!C206)</f>
        <v>0.0282507400655094</v>
      </c>
      <c r="D206" s="26" t="n">
        <f aca="false">IF(Returns!$O206=1,"",Returns!D206)</f>
        <v>-0.0131643100926379</v>
      </c>
      <c r="E206" s="26" t="n">
        <f aca="false">IF(Returns!$O206=1,"",Returns!E206)</f>
        <v>0.0238509068322983</v>
      </c>
      <c r="F206" s="26" t="n">
        <f aca="false">IF(Returns!$O206=1,"",Returns!F206)</f>
        <v>0.0279473389740286</v>
      </c>
      <c r="G206" s="26" t="n">
        <f aca="false">IF(Returns!$O206=1,"",Returns!G206)</f>
        <v>0.0242214038556599</v>
      </c>
      <c r="H206" s="26" t="n">
        <f aca="false">IF(Returns!$O206=1,"",Returns!H206)</f>
        <v>0.0393474088291748</v>
      </c>
      <c r="I206" s="26" t="n">
        <f aca="false">IF(Returns!$O206=1,"",Returns!I206)</f>
        <v>0.00745448298332807</v>
      </c>
      <c r="J206" s="26" t="n">
        <f aca="false">IF(Returns!$O206=1,"",Returns!J206)</f>
        <v>0.000179827403448796</v>
      </c>
      <c r="K206" s="26" t="str">
        <f aca="false">IF(Returns!$O206=1,Returns!B206,"")</f>
        <v/>
      </c>
      <c r="L206" s="26" t="str">
        <f aca="false">IF(Returns!$O206=1,Returns!C206,"")</f>
        <v/>
      </c>
      <c r="M206" s="26" t="str">
        <f aca="false">IF(Returns!$O206=1,Returns!D206,"")</f>
        <v/>
      </c>
      <c r="N206" s="26" t="str">
        <f aca="false">IF(Returns!$O206=1,Returns!E206,"")</f>
        <v/>
      </c>
      <c r="O206" s="26" t="str">
        <f aca="false">IF(Returns!$O206=1,Returns!F206,"")</f>
        <v/>
      </c>
      <c r="P206" s="26" t="str">
        <f aca="false">IF(Returns!$O206=1,Returns!G206,"")</f>
        <v/>
      </c>
      <c r="Q206" s="26" t="str">
        <f aca="false">IF(Returns!$O206=1,Returns!H206,"")</f>
        <v/>
      </c>
      <c r="R206" s="26" t="str">
        <f aca="false">IF(Returns!$O206=1,Returns!I206,"")</f>
        <v/>
      </c>
      <c r="S206" s="26" t="str">
        <f aca="false">IF(Returns!$O206=1,Returns!J206,"")</f>
        <v/>
      </c>
      <c r="T206" s="26" t="n">
        <f aca="false">IF(Returns!$O206=1,"",Returns!K206)</f>
        <v>0.0181274673765502</v>
      </c>
    </row>
    <row r="207" customFormat="false" ht="15" hidden="false" customHeight="false" outlineLevel="0" collapsed="false">
      <c r="A207" s="25" t="n">
        <f aca="false">Returns!A207</f>
        <v>44012</v>
      </c>
      <c r="B207" s="26" t="n">
        <f aca="false">IF(Returns!$O207=1,"",Returns!B207)</f>
        <v>0.00948368789286214</v>
      </c>
      <c r="C207" s="26" t="n">
        <f aca="false">IF(Returns!$O207=1,"",Returns!C207)</f>
        <v>0.00236533842794762</v>
      </c>
      <c r="D207" s="26" t="n">
        <f aca="false">IF(Returns!$O207=1,"",Returns!D207)</f>
        <v>0.0217391304347827</v>
      </c>
      <c r="E207" s="26" t="n">
        <f aca="false">IF(Returns!$O207=1,"",Returns!E207)</f>
        <v>-0.00727976237029282</v>
      </c>
      <c r="F207" s="26" t="n">
        <f aca="false">IF(Returns!$O207=1,"",Returns!F207)</f>
        <v>0.00562491776493257</v>
      </c>
      <c r="G207" s="26" t="n">
        <f aca="false">IF(Returns!$O207=1,"",Returns!G207)</f>
        <v>-0.0106177128676503</v>
      </c>
      <c r="H207" s="26" t="n">
        <f aca="false">IF(Returns!$O207=1,"",Returns!H207)</f>
        <v>-0.00507853185595575</v>
      </c>
      <c r="I207" s="26" t="n">
        <f aca="false">IF(Returns!$O207=1,"",Returns!I207)</f>
        <v>-0.0191511964754143</v>
      </c>
      <c r="J207" s="26" t="n">
        <f aca="false">IF(Returns!$O207=1,"",Returns!J207)</f>
        <v>0.0052129605390443</v>
      </c>
      <c r="K207" s="26" t="str">
        <f aca="false">IF(Returns!$O207=1,Returns!B207,"")</f>
        <v/>
      </c>
      <c r="L207" s="26" t="str">
        <f aca="false">IF(Returns!$O207=1,Returns!C207,"")</f>
        <v/>
      </c>
      <c r="M207" s="26" t="str">
        <f aca="false">IF(Returns!$O207=1,Returns!D207,"")</f>
        <v/>
      </c>
      <c r="N207" s="26" t="str">
        <f aca="false">IF(Returns!$O207=1,Returns!E207,"")</f>
        <v/>
      </c>
      <c r="O207" s="26" t="str">
        <f aca="false">IF(Returns!$O207=1,Returns!F207,"")</f>
        <v/>
      </c>
      <c r="P207" s="26" t="str">
        <f aca="false">IF(Returns!$O207=1,Returns!G207,"")</f>
        <v/>
      </c>
      <c r="Q207" s="26" t="str">
        <f aca="false">IF(Returns!$O207=1,Returns!H207,"")</f>
        <v/>
      </c>
      <c r="R207" s="26" t="str">
        <f aca="false">IF(Returns!$O207=1,Returns!I207,"")</f>
        <v/>
      </c>
      <c r="S207" s="26" t="str">
        <f aca="false">IF(Returns!$O207=1,Returns!J207,"")</f>
        <v/>
      </c>
      <c r="T207" s="26" t="n">
        <f aca="false">IF(Returns!$O207=1,"",Returns!K207)</f>
        <v>0.000255425721139568</v>
      </c>
    </row>
    <row r="208" customFormat="false" ht="15" hidden="false" customHeight="false" outlineLevel="0" collapsed="false">
      <c r="A208" s="25" t="n">
        <f aca="false">Returns!A208</f>
        <v>44013</v>
      </c>
      <c r="B208" s="26" t="n">
        <f aca="false">IF(Returns!$O208=1,"",Returns!B208)</f>
        <v>0.00187891432655873</v>
      </c>
      <c r="C208" s="26" t="n">
        <f aca="false">IF(Returns!$O208=1,"",Returns!C208)</f>
        <v>0.0170629699956975</v>
      </c>
      <c r="D208" s="26" t="n">
        <f aca="false">IF(Returns!$O208=1,"",Returns!D208)</f>
        <v>0.00580265957446802</v>
      </c>
      <c r="E208" s="26" t="n">
        <f aca="false">IF(Returns!$O208=1,"",Returns!E208)</f>
        <v>0.0351991689073576</v>
      </c>
      <c r="F208" s="26" t="n">
        <f aca="false">IF(Returns!$O208=1,"",Returns!F208)</f>
        <v>0.0127409521206987</v>
      </c>
      <c r="G208" s="26" t="n">
        <f aca="false">IF(Returns!$O208=1,"",Returns!G208)</f>
        <v>0.021951268292683</v>
      </c>
      <c r="H208" s="26" t="n">
        <f aca="false">IF(Returns!$O208=1,"",Returns!H208)</f>
        <v>0.00742459431204612</v>
      </c>
      <c r="I208" s="26" t="n">
        <f aca="false">IF(Returns!$O208=1,"",Returns!I208)</f>
        <v>0.0295096901926724</v>
      </c>
      <c r="J208" s="26" t="n">
        <f aca="false">IF(Returns!$O208=1,"",Returns!J208)</f>
        <v>-0.0246780588225344</v>
      </c>
      <c r="K208" s="26" t="str">
        <f aca="false">IF(Returns!$O208=1,Returns!B208,"")</f>
        <v/>
      </c>
      <c r="L208" s="26" t="str">
        <f aca="false">IF(Returns!$O208=1,Returns!C208,"")</f>
        <v/>
      </c>
      <c r="M208" s="26" t="str">
        <f aca="false">IF(Returns!$O208=1,Returns!D208,"")</f>
        <v/>
      </c>
      <c r="N208" s="26" t="str">
        <f aca="false">IF(Returns!$O208=1,Returns!E208,"")</f>
        <v/>
      </c>
      <c r="O208" s="26" t="str">
        <f aca="false">IF(Returns!$O208=1,Returns!F208,"")</f>
        <v/>
      </c>
      <c r="P208" s="26" t="str">
        <f aca="false">IF(Returns!$O208=1,Returns!G208,"")</f>
        <v/>
      </c>
      <c r="Q208" s="26" t="str">
        <f aca="false">IF(Returns!$O208=1,Returns!H208,"")</f>
        <v/>
      </c>
      <c r="R208" s="26" t="str">
        <f aca="false">IF(Returns!$O208=1,Returns!I208,"")</f>
        <v/>
      </c>
      <c r="S208" s="26" t="str">
        <f aca="false">IF(Returns!$O208=1,Returns!J208,"")</f>
        <v/>
      </c>
      <c r="T208" s="26" t="n">
        <f aca="false">IF(Returns!$O208=1,"",Returns!K208)</f>
        <v>0.0118769065444053</v>
      </c>
    </row>
    <row r="209" customFormat="false" ht="15" hidden="false" customHeight="false" outlineLevel="0" collapsed="false">
      <c r="A209" s="25" t="n">
        <f aca="false">Returns!A209</f>
        <v>44014</v>
      </c>
      <c r="B209" s="26" t="n">
        <f aca="false">IF(Returns!$O209=1,"",Returns!B209)</f>
        <v>0.0070848090400164</v>
      </c>
      <c r="C209" s="26" t="n">
        <f aca="false">IF(Returns!$O209=1,"",Returns!C209)</f>
        <v>0.00303416037958804</v>
      </c>
      <c r="D209" s="26" t="n">
        <f aca="false">IF(Returns!$O209=1,"",Returns!D209)</f>
        <v>-0.00384615403106503</v>
      </c>
      <c r="E209" s="26" t="n">
        <f aca="false">IF(Returns!$O209=1,"",Returns!E209)</f>
        <v>0.00094453369277625</v>
      </c>
      <c r="F209" s="26" t="n">
        <f aca="false">IF(Returns!$O209=1,"",Returns!F209)</f>
        <v>-0.0426511783017407</v>
      </c>
      <c r="G209" s="26" t="n">
        <f aca="false">IF(Returns!$O209=1,"",Returns!G209)</f>
        <v>-0.00954658665648756</v>
      </c>
      <c r="H209" s="26" t="n">
        <f aca="false">IF(Returns!$O209=1,"",Returns!H209)</f>
        <v>0.0161216036905392</v>
      </c>
      <c r="I209" s="26" t="n">
        <f aca="false">IF(Returns!$O209=1,"",Returns!I209)</f>
        <v>-0.0043104273269915</v>
      </c>
      <c r="J209" s="26" t="n">
        <f aca="false">IF(Returns!$O209=1,"",Returns!J209)</f>
        <v>0.0174184265233146</v>
      </c>
      <c r="K209" s="26" t="str">
        <f aca="false">IF(Returns!$O209=1,Returns!B209,"")</f>
        <v/>
      </c>
      <c r="L209" s="26" t="str">
        <f aca="false">IF(Returns!$O209=1,Returns!C209,"")</f>
        <v/>
      </c>
      <c r="M209" s="26" t="str">
        <f aca="false">IF(Returns!$O209=1,Returns!D209,"")</f>
        <v/>
      </c>
      <c r="N209" s="26" t="str">
        <f aca="false">IF(Returns!$O209=1,Returns!E209,"")</f>
        <v/>
      </c>
      <c r="O209" s="26" t="str">
        <f aca="false">IF(Returns!$O209=1,Returns!F209,"")</f>
        <v/>
      </c>
      <c r="P209" s="26" t="str">
        <f aca="false">IF(Returns!$O209=1,Returns!G209,"")</f>
        <v/>
      </c>
      <c r="Q209" s="26" t="str">
        <f aca="false">IF(Returns!$O209=1,Returns!H209,"")</f>
        <v/>
      </c>
      <c r="R209" s="26" t="str">
        <f aca="false">IF(Returns!$O209=1,Returns!I209,"")</f>
        <v/>
      </c>
      <c r="S209" s="26" t="str">
        <f aca="false">IF(Returns!$O209=1,Returns!J209,"")</f>
        <v/>
      </c>
      <c r="T209" s="26" t="n">
        <f aca="false">IF(Returns!$O209=1,"",Returns!K209)</f>
        <v>-0.00175009033222781</v>
      </c>
    </row>
    <row r="210" customFormat="false" ht="15" hidden="false" customHeight="false" outlineLevel="0" collapsed="false">
      <c r="A210" s="25" t="n">
        <f aca="false">Returns!A210</f>
        <v>44015</v>
      </c>
      <c r="B210" s="26" t="n">
        <f aca="false">IF(Returns!$O210=1,"",Returns!B210)</f>
        <v>0.00869021275852622</v>
      </c>
      <c r="C210" s="26" t="n">
        <f aca="false">IF(Returns!$O210=1,"",Returns!C210)</f>
        <v>0.00533797134028569</v>
      </c>
      <c r="D210" s="26" t="n">
        <f aca="false">IF(Returns!$O210=1,"",Returns!D210)</f>
        <v>0.00723947911387435</v>
      </c>
      <c r="E210" s="26" t="n">
        <f aca="false">IF(Returns!$O210=1,"",Returns!E210)</f>
        <v>0.00731309288306425</v>
      </c>
      <c r="F210" s="26" t="n">
        <f aca="false">IF(Returns!$O210=1,"",Returns!F210)</f>
        <v>-0.00641019854718661</v>
      </c>
      <c r="G210" s="26" t="n">
        <f aca="false">IF(Returns!$O210=1,"",Returns!G210)</f>
        <v>0.0289156626506024</v>
      </c>
      <c r="H210" s="26" t="n">
        <f aca="false">IF(Returns!$O210=1,"",Returns!H210)</f>
        <v>-0.00362642808823344</v>
      </c>
      <c r="I210" s="26" t="n">
        <f aca="false">IF(Returns!$O210=1,"",Returns!I210)</f>
        <v>0.0510822976098957</v>
      </c>
      <c r="J210" s="26" t="n">
        <f aca="false">IF(Returns!$O210=1,"",Returns!J210)</f>
        <v>-0.0041449629070115</v>
      </c>
      <c r="K210" s="26" t="str">
        <f aca="false">IF(Returns!$O210=1,Returns!B210,"")</f>
        <v/>
      </c>
      <c r="L210" s="26" t="str">
        <f aca="false">IF(Returns!$O210=1,Returns!C210,"")</f>
        <v/>
      </c>
      <c r="M210" s="26" t="str">
        <f aca="false">IF(Returns!$O210=1,Returns!D210,"")</f>
        <v/>
      </c>
      <c r="N210" s="26" t="str">
        <f aca="false">IF(Returns!$O210=1,Returns!E210,"")</f>
        <v/>
      </c>
      <c r="O210" s="26" t="str">
        <f aca="false">IF(Returns!$O210=1,Returns!F210,"")</f>
        <v/>
      </c>
      <c r="P210" s="26" t="str">
        <f aca="false">IF(Returns!$O210=1,Returns!G210,"")</f>
        <v/>
      </c>
      <c r="Q210" s="26" t="str">
        <f aca="false">IF(Returns!$O210=1,Returns!H210,"")</f>
        <v/>
      </c>
      <c r="R210" s="26" t="str">
        <f aca="false">IF(Returns!$O210=1,Returns!I210,"")</f>
        <v/>
      </c>
      <c r="S210" s="26" t="str">
        <f aca="false">IF(Returns!$O210=1,Returns!J210,"")</f>
        <v/>
      </c>
      <c r="T210" s="26" t="n">
        <f aca="false">IF(Returns!$O210=1,"",Returns!K210)</f>
        <v>0.0104885696459797</v>
      </c>
    </row>
    <row r="211" customFormat="false" ht="15" hidden="false" customHeight="false" outlineLevel="0" collapsed="false">
      <c r="A211" s="25" t="n">
        <f aca="false">Returns!A211</f>
        <v>44018</v>
      </c>
      <c r="B211" s="26" t="n">
        <f aca="false">IF(Returns!$O211=1,"",Returns!B211)</f>
        <v>0.0256410256410256</v>
      </c>
      <c r="C211" s="26" t="n">
        <f aca="false">IF(Returns!$O211=1,"",Returns!C211)</f>
        <v>0.00035405312241088</v>
      </c>
      <c r="D211" s="26" t="n">
        <f aca="false">IF(Returns!$O211=1,"",Returns!D211)</f>
        <v>-0.0110206990406948</v>
      </c>
      <c r="E211" s="26" t="n">
        <f aca="false">IF(Returns!$O211=1,"",Returns!E211)</f>
        <v>0.0128805383400343</v>
      </c>
      <c r="F211" s="26" t="n">
        <f aca="false">IF(Returns!$O211=1,"",Returns!F211)</f>
        <v>0.0516128222952268</v>
      </c>
      <c r="G211" s="26" t="n">
        <f aca="false">IF(Returns!$O211=1,"",Returns!G211)</f>
        <v>0.067915644028103</v>
      </c>
      <c r="H211" s="26" t="n">
        <f aca="false">IF(Returns!$O211=1,"",Returns!H211)</f>
        <v>0.0241128298453139</v>
      </c>
      <c r="I211" s="26" t="n">
        <f aca="false">IF(Returns!$O211=1,"",Returns!I211)</f>
        <v>-0.0102965598438705</v>
      </c>
      <c r="J211" s="26" t="n">
        <f aca="false">IF(Returns!$O211=1,"",Returns!J211)</f>
        <v>0.023706153590523</v>
      </c>
      <c r="K211" s="26" t="str">
        <f aca="false">IF(Returns!$O211=1,Returns!B211,"")</f>
        <v/>
      </c>
      <c r="L211" s="26" t="str">
        <f aca="false">IF(Returns!$O211=1,Returns!C211,"")</f>
        <v/>
      </c>
      <c r="M211" s="26" t="str">
        <f aca="false">IF(Returns!$O211=1,Returns!D211,"")</f>
        <v/>
      </c>
      <c r="N211" s="26" t="str">
        <f aca="false">IF(Returns!$O211=1,Returns!E211,"")</f>
        <v/>
      </c>
      <c r="O211" s="26" t="str">
        <f aca="false">IF(Returns!$O211=1,Returns!F211,"")</f>
        <v/>
      </c>
      <c r="P211" s="26" t="str">
        <f aca="false">IF(Returns!$O211=1,Returns!G211,"")</f>
        <v/>
      </c>
      <c r="Q211" s="26" t="str">
        <f aca="false">IF(Returns!$O211=1,Returns!H211,"")</f>
        <v/>
      </c>
      <c r="R211" s="26" t="str">
        <f aca="false">IF(Returns!$O211=1,Returns!I211,"")</f>
        <v/>
      </c>
      <c r="S211" s="26" t="str">
        <f aca="false">IF(Returns!$O211=1,Returns!J211,"")</f>
        <v/>
      </c>
      <c r="T211" s="26" t="n">
        <f aca="false">IF(Returns!$O211=1,"",Returns!K211)</f>
        <v>0.0205450897753414</v>
      </c>
    </row>
    <row r="212" customFormat="false" ht="15" hidden="false" customHeight="false" outlineLevel="0" collapsed="false">
      <c r="A212" s="25" t="n">
        <f aca="false">Returns!A212</f>
        <v>44019</v>
      </c>
      <c r="B212" s="26" t="n">
        <f aca="false">IF(Returns!$O212=1,"",Returns!B212)</f>
        <v>0.01739998</v>
      </c>
      <c r="C212" s="26" t="n">
        <f aca="false">IF(Returns!$O212=1,"",Returns!C212)</f>
        <v>0.0115002653927814</v>
      </c>
      <c r="D212" s="26" t="n">
        <f aca="false">IF(Returns!$O212=1,"",Returns!D212)</f>
        <v>-0.0024224322879085</v>
      </c>
      <c r="E212" s="26" t="n">
        <f aca="false">IF(Returns!$O212=1,"",Returns!E212)</f>
        <v>0.0175722080924856</v>
      </c>
      <c r="F212" s="26" t="n">
        <f aca="false">IF(Returns!$O212=1,"",Returns!F212)</f>
        <v>-0.0260736153409806</v>
      </c>
      <c r="G212" s="26" t="n">
        <f aca="false">IF(Returns!$O212=1,"",Returns!G212)</f>
        <v>-0.0175438165589393</v>
      </c>
      <c r="H212" s="26" t="n">
        <f aca="false">IF(Returns!$O212=1,"",Returns!H212)</f>
        <v>-0.0124389160373168</v>
      </c>
      <c r="I212" s="26" t="n">
        <f aca="false">IF(Returns!$O212=1,"",Returns!I212)</f>
        <v>-0.0112359234827886</v>
      </c>
      <c r="J212" s="26" t="n">
        <f aca="false">IF(Returns!$O212=1,"",Returns!J212)</f>
        <v>-0.00353546049142661</v>
      </c>
      <c r="K212" s="26" t="str">
        <f aca="false">IF(Returns!$O212=1,Returns!B212,"")</f>
        <v/>
      </c>
      <c r="L212" s="26" t="str">
        <f aca="false">IF(Returns!$O212=1,Returns!C212,"")</f>
        <v/>
      </c>
      <c r="M212" s="26" t="str">
        <f aca="false">IF(Returns!$O212=1,Returns!D212,"")</f>
        <v/>
      </c>
      <c r="N212" s="26" t="str">
        <f aca="false">IF(Returns!$O212=1,Returns!E212,"")</f>
        <v/>
      </c>
      <c r="O212" s="26" t="str">
        <f aca="false">IF(Returns!$O212=1,Returns!F212,"")</f>
        <v/>
      </c>
      <c r="P212" s="26" t="str">
        <f aca="false">IF(Returns!$O212=1,Returns!G212,"")</f>
        <v/>
      </c>
      <c r="Q212" s="26" t="str">
        <f aca="false">IF(Returns!$O212=1,Returns!H212,"")</f>
        <v/>
      </c>
      <c r="R212" s="26" t="str">
        <f aca="false">IF(Returns!$O212=1,Returns!I212,"")</f>
        <v/>
      </c>
      <c r="S212" s="26" t="str">
        <f aca="false">IF(Returns!$O212=1,Returns!J212,"")</f>
        <v/>
      </c>
      <c r="T212" s="26" t="n">
        <f aca="false">IF(Returns!$O212=1,"",Returns!K212)</f>
        <v>-0.00297530119045484</v>
      </c>
    </row>
    <row r="213" customFormat="false" ht="15" hidden="false" customHeight="false" outlineLevel="0" collapsed="false">
      <c r="A213" s="25" t="n">
        <f aca="false">Returns!A213</f>
        <v>44020</v>
      </c>
      <c r="B213" s="26" t="n">
        <f aca="false">IF(Returns!$O213=1,"",Returns!B213)</f>
        <v>0.0208374488074985</v>
      </c>
      <c r="C213" s="26" t="n">
        <f aca="false">IF(Returns!$O213=1,"",Returns!C213)</f>
        <v>0.0608710915577306</v>
      </c>
      <c r="D213" s="26" t="n">
        <f aca="false">IF(Returns!$O213=1,"",Returns!D213)</f>
        <v>0.0199125789218066</v>
      </c>
      <c r="E213" s="26" t="n">
        <f aca="false">IF(Returns!$O213=1,"",Returns!E213)</f>
        <v>0.00931606495414972</v>
      </c>
      <c r="F213" s="26" t="n">
        <f aca="false">IF(Returns!$O213=1,"",Returns!F213)</f>
        <v>0.0116535487654097</v>
      </c>
      <c r="G213" s="26" t="n">
        <f aca="false">IF(Returns!$O213=1,"",Returns!G213)</f>
        <v>0.0200892857142858</v>
      </c>
      <c r="H213" s="26" t="n">
        <f aca="false">IF(Returns!$O213=1,"",Returns!H213)</f>
        <v>0.0188933873144399</v>
      </c>
      <c r="I213" s="26" t="n">
        <f aca="false">IF(Returns!$O213=1,"",Returns!I213)</f>
        <v>-0.00399832492373475</v>
      </c>
      <c r="J213" s="26" t="n">
        <f aca="false">IF(Returns!$O213=1,"",Returns!J213)</f>
        <v>0.0168529539977462</v>
      </c>
      <c r="K213" s="26" t="str">
        <f aca="false">IF(Returns!$O213=1,Returns!B213,"")</f>
        <v/>
      </c>
      <c r="L213" s="26" t="str">
        <f aca="false">IF(Returns!$O213=1,Returns!C213,"")</f>
        <v/>
      </c>
      <c r="M213" s="26" t="str">
        <f aca="false">IF(Returns!$O213=1,Returns!D213,"")</f>
        <v/>
      </c>
      <c r="N213" s="26" t="str">
        <f aca="false">IF(Returns!$O213=1,Returns!E213,"")</f>
        <v/>
      </c>
      <c r="O213" s="26" t="str">
        <f aca="false">IF(Returns!$O213=1,Returns!F213,"")</f>
        <v/>
      </c>
      <c r="P213" s="26" t="str">
        <f aca="false">IF(Returns!$O213=1,Returns!G213,"")</f>
        <v/>
      </c>
      <c r="Q213" s="26" t="str">
        <f aca="false">IF(Returns!$O213=1,Returns!H213,"")</f>
        <v/>
      </c>
      <c r="R213" s="26" t="str">
        <f aca="false">IF(Returns!$O213=1,Returns!I213,"")</f>
        <v/>
      </c>
      <c r="S213" s="26" t="str">
        <f aca="false">IF(Returns!$O213=1,Returns!J213,"")</f>
        <v/>
      </c>
      <c r="T213" s="26" t="n">
        <f aca="false">IF(Returns!$O213=1,"",Returns!K213)</f>
        <v>0.0193808927899258</v>
      </c>
    </row>
    <row r="214" customFormat="false" ht="15" hidden="false" customHeight="false" outlineLevel="0" collapsed="false">
      <c r="A214" s="25" t="n">
        <f aca="false">Returns!A214</f>
        <v>44021</v>
      </c>
      <c r="B214" s="26" t="n">
        <f aca="false">IF(Returns!$O214=1,"",Returns!B214)</f>
        <v>0.0032735990756787</v>
      </c>
      <c r="C214" s="26" t="n">
        <f aca="false">IF(Returns!$O214=1,"",Returns!C214)</f>
        <v>-0.0290189306693264</v>
      </c>
      <c r="D214" s="26" t="n">
        <f aca="false">IF(Returns!$O214=1,"",Returns!D214)</f>
        <v>-0.0171429047619048</v>
      </c>
      <c r="E214" s="26" t="n">
        <f aca="false">IF(Returns!$O214=1,"",Returns!E214)</f>
        <v>-0.0245384072282038</v>
      </c>
      <c r="F214" s="26" t="n">
        <f aca="false">IF(Returns!$O214=1,"",Returns!F214)</f>
        <v>0.10118310276838</v>
      </c>
      <c r="G214" s="26" t="n">
        <f aca="false">IF(Returns!$O214=1,"",Returns!G214)</f>
        <v>0.0227571553610502</v>
      </c>
      <c r="H214" s="26" t="n">
        <f aca="false">IF(Returns!$O214=1,"",Returns!H214)</f>
        <v>-0.0225166004415011</v>
      </c>
      <c r="I214" s="26" t="n">
        <f aca="false">IF(Returns!$O214=1,"",Returns!I214)</f>
        <v>-0.00697234155153359</v>
      </c>
      <c r="J214" s="26" t="n">
        <f aca="false">IF(Returns!$O214=1,"",Returns!J214)</f>
        <v>-0.0157013607815771</v>
      </c>
      <c r="K214" s="26" t="str">
        <f aca="false">IF(Returns!$O214=1,Returns!B214,"")</f>
        <v/>
      </c>
      <c r="L214" s="26" t="str">
        <f aca="false">IF(Returns!$O214=1,Returns!C214,"")</f>
        <v/>
      </c>
      <c r="M214" s="26" t="str">
        <f aca="false">IF(Returns!$O214=1,Returns!D214,"")</f>
        <v/>
      </c>
      <c r="N214" s="26" t="str">
        <f aca="false">IF(Returns!$O214=1,Returns!E214,"")</f>
        <v/>
      </c>
      <c r="O214" s="26" t="str">
        <f aca="false">IF(Returns!$O214=1,Returns!F214,"")</f>
        <v/>
      </c>
      <c r="P214" s="26" t="str">
        <f aca="false">IF(Returns!$O214=1,Returns!G214,"")</f>
        <v/>
      </c>
      <c r="Q214" s="26" t="str">
        <f aca="false">IF(Returns!$O214=1,Returns!H214,"")</f>
        <v/>
      </c>
      <c r="R214" s="26" t="str">
        <f aca="false">IF(Returns!$O214=1,Returns!I214,"")</f>
        <v/>
      </c>
      <c r="S214" s="26" t="str">
        <f aca="false">IF(Returns!$O214=1,Returns!J214,"")</f>
        <v/>
      </c>
      <c r="T214" s="26" t="n">
        <f aca="false">IF(Returns!$O214=1,"",Returns!K214)</f>
        <v>0.00125814575234026</v>
      </c>
    </row>
    <row r="215" customFormat="false" ht="15" hidden="false" customHeight="false" outlineLevel="0" collapsed="false">
      <c r="A215" s="25" t="n">
        <f aca="false">Returns!A215</f>
        <v>44022</v>
      </c>
      <c r="B215" s="26" t="n">
        <f aca="false">IF(Returns!$O215=1,"",Returns!B215)</f>
        <v>0.0038387909343105</v>
      </c>
      <c r="C215" s="26" t="n">
        <f aca="false">IF(Returns!$O215=1,"",Returns!C215)</f>
        <v>0.0179997462047756</v>
      </c>
      <c r="D215" s="26" t="n">
        <f aca="false">IF(Returns!$O215=1,"",Returns!D215)</f>
        <v>-0.00920532990335898</v>
      </c>
      <c r="E215" s="26" t="n">
        <f aca="false">IF(Returns!$O215=1,"",Returns!E215)</f>
        <v>0.00484650335349612</v>
      </c>
      <c r="F215" s="26" t="n">
        <f aca="false">IF(Returns!$O215=1,"",Returns!F215)</f>
        <v>-0.00593725203301931</v>
      </c>
      <c r="G215" s="26" t="n">
        <f aca="false">IF(Returns!$O215=1,"",Returns!G215)</f>
        <v>0.00128365420266774</v>
      </c>
      <c r="H215" s="26" t="n">
        <f aca="false">IF(Returns!$O215=1,"",Returns!H215)</f>
        <v>0.0167118797069503</v>
      </c>
      <c r="I215" s="26" t="n">
        <f aca="false">IF(Returns!$O215=1,"",Returns!I215)</f>
        <v>0.0140425928567332</v>
      </c>
      <c r="J215" s="26" t="n">
        <f aca="false">IF(Returns!$O215=1,"",Returns!J215)</f>
        <v>0.00974836971812731</v>
      </c>
      <c r="K215" s="26" t="str">
        <f aca="false">IF(Returns!$O215=1,Returns!B215,"")</f>
        <v/>
      </c>
      <c r="L215" s="26" t="str">
        <f aca="false">IF(Returns!$O215=1,Returns!C215,"")</f>
        <v/>
      </c>
      <c r="M215" s="26" t="str">
        <f aca="false">IF(Returns!$O215=1,Returns!D215,"")</f>
        <v/>
      </c>
      <c r="N215" s="26" t="str">
        <f aca="false">IF(Returns!$O215=1,Returns!E215,"")</f>
        <v/>
      </c>
      <c r="O215" s="26" t="str">
        <f aca="false">IF(Returns!$O215=1,Returns!F215,"")</f>
        <v/>
      </c>
      <c r="P215" s="26" t="str">
        <f aca="false">IF(Returns!$O215=1,Returns!G215,"")</f>
        <v/>
      </c>
      <c r="Q215" s="26" t="str">
        <f aca="false">IF(Returns!$O215=1,Returns!H215,"")</f>
        <v/>
      </c>
      <c r="R215" s="26" t="str">
        <f aca="false">IF(Returns!$O215=1,Returns!I215,"")</f>
        <v/>
      </c>
      <c r="S215" s="26" t="str">
        <f aca="false">IF(Returns!$O215=1,Returns!J215,"")</f>
        <v/>
      </c>
      <c r="T215" s="26" t="n">
        <f aca="false">IF(Returns!$O215=1,"",Returns!K215)</f>
        <v>0.00592543944896472</v>
      </c>
    </row>
    <row r="216" customFormat="false" ht="15" hidden="false" customHeight="false" outlineLevel="0" collapsed="false">
      <c r="A216" s="25" t="n">
        <f aca="false">Returns!A216</f>
        <v>44025</v>
      </c>
      <c r="B216" s="26" t="n">
        <f aca="false">IF(Returns!$O216=1,"",Returns!B216)</f>
        <v>0.0128107459428441</v>
      </c>
      <c r="C216" s="26" t="n">
        <f aca="false">IF(Returns!$O216=1,"",Returns!C216)</f>
        <v>-0.00100088403666776</v>
      </c>
      <c r="D216" s="26" t="n">
        <f aca="false">IF(Returns!$O216=1,"",Returns!D216)</f>
        <v>-0.0210269427370688</v>
      </c>
      <c r="E216" s="26" t="n">
        <f aca="false">IF(Returns!$O216=1,"",Returns!E216)</f>
        <v>-0.0330731044310265</v>
      </c>
      <c r="F216" s="26" t="n">
        <f aca="false">IF(Returns!$O216=1,"",Returns!F216)</f>
        <v>-0.0287258075242395</v>
      </c>
      <c r="G216" s="26" t="n">
        <f aca="false">IF(Returns!$O216=1,"",Returns!G216)</f>
        <v>-0.0205128205128203</v>
      </c>
      <c r="H216" s="26" t="n">
        <f aca="false">IF(Returns!$O216=1,"",Returns!H216)</f>
        <v>-0.015548645046646</v>
      </c>
      <c r="I216" s="26" t="n">
        <f aca="false">IF(Returns!$O216=1,"",Returns!I216)</f>
        <v>-0.0142677990339003</v>
      </c>
      <c r="J216" s="26" t="n">
        <f aca="false">IF(Returns!$O216=1,"",Returns!J216)</f>
        <v>0.0119361240664186</v>
      </c>
      <c r="K216" s="26" t="str">
        <f aca="false">IF(Returns!$O216=1,Returns!B216,"")</f>
        <v/>
      </c>
      <c r="L216" s="26" t="str">
        <f aca="false">IF(Returns!$O216=1,Returns!C216,"")</f>
        <v/>
      </c>
      <c r="M216" s="26" t="str">
        <f aca="false">IF(Returns!$O216=1,Returns!D216,"")</f>
        <v/>
      </c>
      <c r="N216" s="26" t="str">
        <f aca="false">IF(Returns!$O216=1,Returns!E216,"")</f>
        <v/>
      </c>
      <c r="O216" s="26" t="str">
        <f aca="false">IF(Returns!$O216=1,Returns!F216,"")</f>
        <v/>
      </c>
      <c r="P216" s="26" t="str">
        <f aca="false">IF(Returns!$O216=1,Returns!G216,"")</f>
        <v/>
      </c>
      <c r="Q216" s="26" t="str">
        <f aca="false">IF(Returns!$O216=1,Returns!H216,"")</f>
        <v/>
      </c>
      <c r="R216" s="26" t="str">
        <f aca="false">IF(Returns!$O216=1,Returns!I216,"")</f>
        <v/>
      </c>
      <c r="S216" s="26" t="str">
        <f aca="false">IF(Returns!$O216=1,Returns!J216,"")</f>
        <v/>
      </c>
      <c r="T216" s="26" t="n">
        <f aca="false">IF(Returns!$O216=1,"",Returns!K216)</f>
        <v>-0.0121565703681229</v>
      </c>
    </row>
    <row r="217" customFormat="false" ht="15" hidden="false" customHeight="false" outlineLevel="0" collapsed="false">
      <c r="A217" s="25" t="n">
        <f aca="false">Returns!A217</f>
        <v>44026</v>
      </c>
      <c r="B217" s="26" t="n">
        <f aca="false">IF(Returns!$O217=1,"",Returns!B217)</f>
        <v>-0.00887296566220575</v>
      </c>
      <c r="C217" s="26" t="n">
        <f aca="false">IF(Returns!$O217=1,"",Returns!C217)</f>
        <v>0.0208715648834792</v>
      </c>
      <c r="D217" s="26" t="n">
        <f aca="false">IF(Returns!$O217=1,"",Returns!D217)</f>
        <v>0.0189810189810189</v>
      </c>
      <c r="E217" s="26" t="n">
        <f aca="false">IF(Returns!$O217=1,"",Returns!E217)</f>
        <v>0.042755441461066</v>
      </c>
      <c r="F217" s="26" t="n">
        <f aca="false">IF(Returns!$O217=1,"",Returns!F217)</f>
        <v>0.0146412732650572</v>
      </c>
      <c r="G217" s="26" t="n">
        <f aca="false">IF(Returns!$O217=1,"",Returns!G217)</f>
        <v>-0.00218145724258301</v>
      </c>
      <c r="H217" s="26" t="n">
        <f aca="false">IF(Returns!$O217=1,"",Returns!H217)</f>
        <v>0.0333935018050542</v>
      </c>
      <c r="I217" s="26" t="n">
        <f aca="false">IF(Returns!$O217=1,"",Returns!I217)</f>
        <v>0.0134100125260292</v>
      </c>
      <c r="J217" s="26" t="n">
        <f aca="false">IF(Returns!$O217=1,"",Returns!J217)</f>
        <v>0.0702514979964788</v>
      </c>
      <c r="K217" s="26" t="str">
        <f aca="false">IF(Returns!$O217=1,Returns!B217,"")</f>
        <v/>
      </c>
      <c r="L217" s="26" t="str">
        <f aca="false">IF(Returns!$O217=1,Returns!C217,"")</f>
        <v/>
      </c>
      <c r="M217" s="26" t="str">
        <f aca="false">IF(Returns!$O217=1,Returns!D217,"")</f>
        <v/>
      </c>
      <c r="N217" s="26" t="str">
        <f aca="false">IF(Returns!$O217=1,Returns!E217,"")</f>
        <v/>
      </c>
      <c r="O217" s="26" t="str">
        <f aca="false">IF(Returns!$O217=1,Returns!F217,"")</f>
        <v/>
      </c>
      <c r="P217" s="26" t="str">
        <f aca="false">IF(Returns!$O217=1,Returns!G217,"")</f>
        <v/>
      </c>
      <c r="Q217" s="26" t="str">
        <f aca="false">IF(Returns!$O217=1,Returns!H217,"")</f>
        <v/>
      </c>
      <c r="R217" s="26" t="str">
        <f aca="false">IF(Returns!$O217=1,Returns!I217,"")</f>
        <v/>
      </c>
      <c r="S217" s="26" t="str">
        <f aca="false">IF(Returns!$O217=1,Returns!J217,"")</f>
        <v/>
      </c>
      <c r="T217" s="26" t="n">
        <f aca="false">IF(Returns!$O217=1,"",Returns!K217)</f>
        <v>0.0225833208903772</v>
      </c>
    </row>
    <row r="218" customFormat="false" ht="15" hidden="false" customHeight="false" outlineLevel="0" collapsed="false">
      <c r="A218" s="25" t="n">
        <f aca="false">Returns!A218</f>
        <v>44027</v>
      </c>
      <c r="B218" s="26" t="n">
        <f aca="false">IF(Returns!$O218=1,"",Returns!B218)</f>
        <v>0.00876188571428571</v>
      </c>
      <c r="C218" s="26" t="n">
        <f aca="false">IF(Returns!$O218=1,"",Returns!C218)</f>
        <v>0.0122669289630486</v>
      </c>
      <c r="D218" s="26" t="n">
        <f aca="false">IF(Returns!$O218=1,"",Returns!D218)</f>
        <v>0.0274509313725491</v>
      </c>
      <c r="E218" s="26" t="n">
        <f aca="false">IF(Returns!$O218=1,"",Returns!E218)</f>
        <v>0.0191343954836265</v>
      </c>
      <c r="F218" s="26" t="n">
        <f aca="false">IF(Returns!$O218=1,"",Returns!F218)</f>
        <v>0.0187590372074795</v>
      </c>
      <c r="G218" s="26" t="n">
        <f aca="false">IF(Returns!$O218=1,"",Returns!G218)</f>
        <v>-0.00524709203117213</v>
      </c>
      <c r="H218" s="26" t="n">
        <f aca="false">IF(Returns!$O218=1,"",Returns!H218)</f>
        <v>0.0192139737991266</v>
      </c>
      <c r="I218" s="26" t="n">
        <f aca="false">IF(Returns!$O218=1,"",Returns!I218)</f>
        <v>-0.0138626727940979</v>
      </c>
      <c r="J218" s="26" t="n">
        <f aca="false">IF(Returns!$O218=1,"",Returns!J218)</f>
        <v>0.00145867096501329</v>
      </c>
      <c r="K218" s="26" t="str">
        <f aca="false">IF(Returns!$O218=1,Returns!B218,"")</f>
        <v/>
      </c>
      <c r="L218" s="26" t="str">
        <f aca="false">IF(Returns!$O218=1,Returns!C218,"")</f>
        <v/>
      </c>
      <c r="M218" s="26" t="str">
        <f aca="false">IF(Returns!$O218=1,Returns!D218,"")</f>
        <v/>
      </c>
      <c r="N218" s="26" t="str">
        <f aca="false">IF(Returns!$O218=1,Returns!E218,"")</f>
        <v/>
      </c>
      <c r="O218" s="26" t="str">
        <f aca="false">IF(Returns!$O218=1,Returns!F218,"")</f>
        <v/>
      </c>
      <c r="P218" s="26" t="str">
        <f aca="false">IF(Returns!$O218=1,Returns!G218,"")</f>
        <v/>
      </c>
      <c r="Q218" s="26" t="str">
        <f aca="false">IF(Returns!$O218=1,Returns!H218,"")</f>
        <v/>
      </c>
      <c r="R218" s="26" t="str">
        <f aca="false">IF(Returns!$O218=1,Returns!I218,"")</f>
        <v/>
      </c>
      <c r="S218" s="26" t="str">
        <f aca="false">IF(Returns!$O218=1,Returns!J218,"")</f>
        <v/>
      </c>
      <c r="T218" s="26" t="n">
        <f aca="false">IF(Returns!$O218=1,"",Returns!K218)</f>
        <v>0.00977067318665102</v>
      </c>
    </row>
    <row r="219" customFormat="false" ht="15" hidden="false" customHeight="false" outlineLevel="0" collapsed="false">
      <c r="A219" s="25" t="n">
        <f aca="false">Returns!A219</f>
        <v>44028</v>
      </c>
      <c r="B219" s="26" t="n">
        <f aca="false">IF(Returns!$O219=1,"",Returns!B219)</f>
        <v>0.0101963936970617</v>
      </c>
      <c r="C219" s="26" t="n">
        <f aca="false">IF(Returns!$O219=1,"",Returns!C219)</f>
        <v>-0.00630145449837405</v>
      </c>
      <c r="D219" s="26" t="n">
        <f aca="false">IF(Returns!$O219=1,"",Returns!D219)</f>
        <v>-0.0133587315533746</v>
      </c>
      <c r="E219" s="26" t="n">
        <f aca="false">IF(Returns!$O219=1,"",Returns!E219)</f>
        <v>-0.00335274906782512</v>
      </c>
      <c r="F219" s="26" t="n">
        <f aca="false">IF(Returns!$O219=1,"",Returns!F219)</f>
        <v>-0.0164306164403437</v>
      </c>
      <c r="G219" s="26" t="n">
        <f aca="false">IF(Returns!$O219=1,"",Returns!G219)</f>
        <v>-0.00967028571428574</v>
      </c>
      <c r="H219" s="26" t="n">
        <f aca="false">IF(Returns!$O219=1,"",Returns!H219)</f>
        <v>-0.0265638817480719</v>
      </c>
      <c r="I219" s="26" t="n">
        <f aca="false">IF(Returns!$O219=1,"",Returns!I219)</f>
        <v>-0.00788069150729986</v>
      </c>
      <c r="J219" s="26" t="n">
        <f aca="false">IF(Returns!$O219=1,"",Returns!J219)</f>
        <v>-0.0270270589573222</v>
      </c>
      <c r="K219" s="26" t="str">
        <f aca="false">IF(Returns!$O219=1,Returns!B219,"")</f>
        <v/>
      </c>
      <c r="L219" s="26" t="str">
        <f aca="false">IF(Returns!$O219=1,Returns!C219,"")</f>
        <v/>
      </c>
      <c r="M219" s="26" t="str">
        <f aca="false">IF(Returns!$O219=1,Returns!D219,"")</f>
        <v/>
      </c>
      <c r="N219" s="26" t="str">
        <f aca="false">IF(Returns!$O219=1,Returns!E219,"")</f>
        <v/>
      </c>
      <c r="O219" s="26" t="str">
        <f aca="false">IF(Returns!$O219=1,Returns!F219,"")</f>
        <v/>
      </c>
      <c r="P219" s="26" t="str">
        <f aca="false">IF(Returns!$O219=1,Returns!G219,"")</f>
        <v/>
      </c>
      <c r="Q219" s="26" t="str">
        <f aca="false">IF(Returns!$O219=1,Returns!H219,"")</f>
        <v/>
      </c>
      <c r="R219" s="26" t="str">
        <f aca="false">IF(Returns!$O219=1,Returns!I219,"")</f>
        <v/>
      </c>
      <c r="S219" s="26" t="str">
        <f aca="false">IF(Returns!$O219=1,Returns!J219,"")</f>
        <v/>
      </c>
      <c r="T219" s="26" t="n">
        <f aca="false">IF(Returns!$O219=1,"",Returns!K219)</f>
        <v>-0.0111543417544262</v>
      </c>
    </row>
    <row r="220" customFormat="false" ht="15" hidden="false" customHeight="false" outlineLevel="0" collapsed="false">
      <c r="A220" s="25" t="n">
        <f aca="false">Returns!A220</f>
        <v>44029</v>
      </c>
      <c r="B220" s="26" t="n">
        <f aca="false">IF(Returns!$O220=1,"",Returns!B220)</f>
        <v>-0.0177570280373832</v>
      </c>
      <c r="C220" s="26" t="n">
        <f aca="false">IF(Returns!$O220=1,"",Returns!C220)</f>
        <v>0.0388617073170732</v>
      </c>
      <c r="D220" s="26" t="n">
        <f aca="false">IF(Returns!$O220=1,"",Returns!D220)</f>
        <v>0.0125725822050289</v>
      </c>
      <c r="E220" s="26" t="n">
        <f aca="false">IF(Returns!$O220=1,"",Returns!E220)</f>
        <v>0.0305001345593181</v>
      </c>
      <c r="F220" s="26" t="n">
        <f aca="false">IF(Returns!$O220=1,"",Returns!F220)</f>
        <v>0.0195851919651855</v>
      </c>
      <c r="G220" s="26" t="n">
        <f aca="false">IF(Returns!$O220=1,"",Returns!G220)</f>
        <v>0.0106524185240826</v>
      </c>
      <c r="H220" s="26" t="n">
        <f aca="false">IF(Returns!$O220=1,"",Returns!H220)</f>
        <v>0.000880325742971921</v>
      </c>
      <c r="I220" s="26" t="n">
        <f aca="false">IF(Returns!$O220=1,"",Returns!I220)</f>
        <v>0.0523829580447441</v>
      </c>
      <c r="J220" s="26" t="n">
        <f aca="false">IF(Returns!$O220=1,"",Returns!J220)</f>
        <v>0.0153027613989147</v>
      </c>
      <c r="K220" s="26" t="str">
        <f aca="false">IF(Returns!$O220=1,Returns!B220,"")</f>
        <v/>
      </c>
      <c r="L220" s="26" t="str">
        <f aca="false">IF(Returns!$O220=1,Returns!C220,"")</f>
        <v/>
      </c>
      <c r="M220" s="26" t="str">
        <f aca="false">IF(Returns!$O220=1,Returns!D220,"")</f>
        <v/>
      </c>
      <c r="N220" s="26" t="str">
        <f aca="false">IF(Returns!$O220=1,Returns!E220,"")</f>
        <v/>
      </c>
      <c r="O220" s="26" t="str">
        <f aca="false">IF(Returns!$O220=1,Returns!F220,"")</f>
        <v/>
      </c>
      <c r="P220" s="26" t="str">
        <f aca="false">IF(Returns!$O220=1,Returns!G220,"")</f>
        <v/>
      </c>
      <c r="Q220" s="26" t="str">
        <f aca="false">IF(Returns!$O220=1,Returns!H220,"")</f>
        <v/>
      </c>
      <c r="R220" s="26" t="str">
        <f aca="false">IF(Returns!$O220=1,Returns!I220,"")</f>
        <v/>
      </c>
      <c r="S220" s="26" t="str">
        <f aca="false">IF(Returns!$O220=1,Returns!J220,"")</f>
        <v/>
      </c>
      <c r="T220" s="26" t="n">
        <f aca="false">IF(Returns!$O220=1,"",Returns!K220)</f>
        <v>0.0181090057466595</v>
      </c>
    </row>
    <row r="221" customFormat="false" ht="15" hidden="false" customHeight="false" outlineLevel="0" collapsed="false">
      <c r="A221" s="25" t="n">
        <f aca="false">Returns!A221</f>
        <v>44032</v>
      </c>
      <c r="B221" s="26" t="n">
        <f aca="false">IF(Returns!$O221=1,"",Returns!B221)</f>
        <v>0.0523311142213343</v>
      </c>
      <c r="C221" s="26" t="n">
        <f aca="false">IF(Returns!$O221=1,"",Returns!C221)</f>
        <v>0.054938179287696</v>
      </c>
      <c r="D221" s="26" t="n">
        <f aca="false">IF(Returns!$O221=1,"",Returns!D221)</f>
        <v>0.0157592638128337</v>
      </c>
      <c r="E221" s="26" t="n">
        <f aca="false">IF(Returns!$O221=1,"",Returns!E221)</f>
        <v>0.00565828061679485</v>
      </c>
      <c r="F221" s="26" t="n">
        <f aca="false">IF(Returns!$O221=1,"",Returns!F221)</f>
        <v>-0.00197728429080912</v>
      </c>
      <c r="G221" s="26" t="n">
        <f aca="false">IF(Returns!$O221=1,"",Returns!G221)</f>
        <v>0.0184453667105842</v>
      </c>
      <c r="H221" s="26" t="n">
        <f aca="false">IF(Returns!$O221=1,"",Returns!H221)</f>
        <v>0</v>
      </c>
      <c r="I221" s="26" t="n">
        <f aca="false">IF(Returns!$O221=1,"",Returns!I221)</f>
        <v>0.0483476167260719</v>
      </c>
      <c r="J221" s="26" t="n">
        <f aca="false">IF(Returns!$O221=1,"",Returns!J221)</f>
        <v>-0.0039318806695301</v>
      </c>
      <c r="K221" s="26" t="str">
        <f aca="false">IF(Returns!$O221=1,Returns!B221,"")</f>
        <v/>
      </c>
      <c r="L221" s="26" t="str">
        <f aca="false">IF(Returns!$O221=1,Returns!C221,"")</f>
        <v/>
      </c>
      <c r="M221" s="26" t="str">
        <f aca="false">IF(Returns!$O221=1,Returns!D221,"")</f>
        <v/>
      </c>
      <c r="N221" s="26" t="str">
        <f aca="false">IF(Returns!$O221=1,Returns!E221,"")</f>
        <v/>
      </c>
      <c r="O221" s="26" t="str">
        <f aca="false">IF(Returns!$O221=1,Returns!F221,"")</f>
        <v/>
      </c>
      <c r="P221" s="26" t="str">
        <f aca="false">IF(Returns!$O221=1,Returns!G221,"")</f>
        <v/>
      </c>
      <c r="Q221" s="26" t="str">
        <f aca="false">IF(Returns!$O221=1,Returns!H221,"")</f>
        <v/>
      </c>
      <c r="R221" s="26" t="str">
        <f aca="false">IF(Returns!$O221=1,Returns!I221,"")</f>
        <v/>
      </c>
      <c r="S221" s="26" t="str">
        <f aca="false">IF(Returns!$O221=1,Returns!J221,"")</f>
        <v/>
      </c>
      <c r="T221" s="26" t="n">
        <f aca="false">IF(Returns!$O221=1,"",Returns!K221)</f>
        <v>0.0210634062683306</v>
      </c>
    </row>
    <row r="222" customFormat="false" ht="15" hidden="false" customHeight="false" outlineLevel="0" collapsed="false">
      <c r="A222" s="25" t="n">
        <f aca="false">Returns!A222</f>
        <v>44033</v>
      </c>
      <c r="B222" s="26" t="n">
        <f aca="false">IF(Returns!$O222=1,"",Returns!B222)</f>
        <v>-0.00976493688544189</v>
      </c>
      <c r="C222" s="26" t="n">
        <f aca="false">IF(Returns!$O222=1,"",Returns!C222)</f>
        <v>-0.0188426720209697</v>
      </c>
      <c r="D222" s="26" t="n">
        <f aca="false">IF(Returns!$O222=1,"",Returns!D222)</f>
        <v>-0.0131640808650683</v>
      </c>
      <c r="E222" s="26" t="n">
        <f aca="false">IF(Returns!$O222=1,"",Returns!E222)</f>
        <v>0.0147154298791481</v>
      </c>
      <c r="F222" s="26" t="n">
        <f aca="false">IF(Returns!$O222=1,"",Returns!F222)</f>
        <v>0.00877434708767688</v>
      </c>
      <c r="G222" s="26" t="n">
        <f aca="false">IF(Returns!$O222=1,"",Returns!G222)</f>
        <v>-0.00689952536008942</v>
      </c>
      <c r="H222" s="26" t="n">
        <f aca="false">IF(Returns!$O222=1,"",Returns!H222)</f>
        <v>0.0277045294635006</v>
      </c>
      <c r="I222" s="26" t="n">
        <f aca="false">IF(Returns!$O222=1,"",Returns!I222)</f>
        <v>-0.00739438759088218</v>
      </c>
      <c r="J222" s="26" t="n">
        <f aca="false">IF(Returns!$O222=1,"",Returns!J222)</f>
        <v>-0.018092072665988</v>
      </c>
      <c r="K222" s="26" t="str">
        <f aca="false">IF(Returns!$O222=1,Returns!B222,"")</f>
        <v/>
      </c>
      <c r="L222" s="26" t="str">
        <f aca="false">IF(Returns!$O222=1,Returns!C222,"")</f>
        <v/>
      </c>
      <c r="M222" s="26" t="str">
        <f aca="false">IF(Returns!$O222=1,Returns!D222,"")</f>
        <v/>
      </c>
      <c r="N222" s="26" t="str">
        <f aca="false">IF(Returns!$O222=1,Returns!E222,"")</f>
        <v/>
      </c>
      <c r="O222" s="26" t="str">
        <f aca="false">IF(Returns!$O222=1,Returns!F222,"")</f>
        <v/>
      </c>
      <c r="P222" s="26" t="str">
        <f aca="false">IF(Returns!$O222=1,Returns!G222,"")</f>
        <v/>
      </c>
      <c r="Q222" s="26" t="str">
        <f aca="false">IF(Returns!$O222=1,Returns!H222,"")</f>
        <v/>
      </c>
      <c r="R222" s="26" t="str">
        <f aca="false">IF(Returns!$O222=1,Returns!I222,"")</f>
        <v/>
      </c>
      <c r="S222" s="26" t="str">
        <f aca="false">IF(Returns!$O222=1,Returns!J222,"")</f>
        <v/>
      </c>
      <c r="T222" s="26" t="n">
        <f aca="false">IF(Returns!$O222=1,"",Returns!K222)</f>
        <v>-0.00255148543979043</v>
      </c>
    </row>
    <row r="223" customFormat="false" ht="15" hidden="false" customHeight="false" outlineLevel="0" collapsed="false">
      <c r="A223" s="25" t="n">
        <f aca="false">Returns!A223</f>
        <v>44034</v>
      </c>
      <c r="B223" s="26" t="n">
        <f aca="false">IF(Returns!$O223=1,"",Returns!B223)</f>
        <v>-0.0158874914495066</v>
      </c>
      <c r="C223" s="26" t="n">
        <f aca="false">IF(Returns!$O223=1,"",Returns!C223)</f>
        <v>0.00861943155329548</v>
      </c>
      <c r="D223" s="26" t="n">
        <f aca="false">IF(Returns!$O223=1,"",Returns!D223)</f>
        <v>0.00666979514054322</v>
      </c>
      <c r="E223" s="26" t="n">
        <f aca="false">IF(Returns!$O223=1,"",Returns!E223)</f>
        <v>-0.0106632546526606</v>
      </c>
      <c r="F223" s="26" t="n">
        <f aca="false">IF(Returns!$O223=1,"",Returns!F223)</f>
        <v>0.0269360087565482</v>
      </c>
      <c r="G223" s="26" t="n">
        <f aca="false">IF(Returns!$O223=1,"",Returns!G223)</f>
        <v>-0.0373426384132591</v>
      </c>
      <c r="H223" s="26" t="n">
        <f aca="false">IF(Returns!$O223=1,"",Returns!H223)</f>
        <v>-0.0136928535005197</v>
      </c>
      <c r="I223" s="26" t="n">
        <f aca="false">IF(Returns!$O223=1,"",Returns!I223)</f>
        <v>0.00333268020717004</v>
      </c>
      <c r="J223" s="26" t="n">
        <f aca="false">IF(Returns!$O223=1,"",Returns!J223)</f>
        <v>-0.00770517575033214</v>
      </c>
      <c r="K223" s="26" t="str">
        <f aca="false">IF(Returns!$O223=1,Returns!B223,"")</f>
        <v/>
      </c>
      <c r="L223" s="26" t="str">
        <f aca="false">IF(Returns!$O223=1,Returns!C223,"")</f>
        <v/>
      </c>
      <c r="M223" s="26" t="str">
        <f aca="false">IF(Returns!$O223=1,Returns!D223,"")</f>
        <v/>
      </c>
      <c r="N223" s="26" t="str">
        <f aca="false">IF(Returns!$O223=1,Returns!E223,"")</f>
        <v/>
      </c>
      <c r="O223" s="26" t="str">
        <f aca="false">IF(Returns!$O223=1,Returns!F223,"")</f>
        <v/>
      </c>
      <c r="P223" s="26" t="str">
        <f aca="false">IF(Returns!$O223=1,Returns!G223,"")</f>
        <v/>
      </c>
      <c r="Q223" s="26" t="str">
        <f aca="false">IF(Returns!$O223=1,Returns!H223,"")</f>
        <v/>
      </c>
      <c r="R223" s="26" t="str">
        <f aca="false">IF(Returns!$O223=1,Returns!I223,"")</f>
        <v/>
      </c>
      <c r="S223" s="26" t="str">
        <f aca="false">IF(Returns!$O223=1,Returns!J223,"")</f>
        <v/>
      </c>
      <c r="T223" s="26" t="n">
        <f aca="false">IF(Returns!$O223=1,"",Returns!K223)</f>
        <v>-0.00441483312319125</v>
      </c>
    </row>
    <row r="224" customFormat="false" ht="15" hidden="false" customHeight="false" outlineLevel="0" collapsed="false">
      <c r="A224" s="25" t="n">
        <f aca="false">Returns!A224</f>
        <v>44035</v>
      </c>
      <c r="B224" s="26" t="n">
        <f aca="false">IF(Returns!$O224=1,"",Returns!B224)</f>
        <v>-0.0378549088486716</v>
      </c>
      <c r="C224" s="26" t="n">
        <f aca="false">IF(Returns!$O224=1,"",Returns!C224)</f>
        <v>-0.0176911838773258</v>
      </c>
      <c r="D224" s="26" t="n">
        <f aca="false">IF(Returns!$O224=1,"",Returns!D224)</f>
        <v>0.0108850928009983</v>
      </c>
      <c r="E224" s="26" t="n">
        <f aca="false">IF(Returns!$O224=1,"",Returns!E224)</f>
        <v>-0.0109937057769716</v>
      </c>
      <c r="F224" s="26" t="n">
        <f aca="false">IF(Returns!$O224=1,"",Returns!F224)</f>
        <v>-0.0229507772048393</v>
      </c>
      <c r="G224" s="26" t="n">
        <f aca="false">IF(Returns!$O224=1,"",Returns!G224)</f>
        <v>-0.0162382047812359</v>
      </c>
      <c r="H224" s="26" t="n">
        <f aca="false">IF(Returns!$O224=1,"",Returns!H224)</f>
        <v>-0.0208242525303363</v>
      </c>
      <c r="I224" s="26" t="n">
        <f aca="false">IF(Returns!$O224=1,"",Returns!I224)</f>
        <v>-0.0173896219863081</v>
      </c>
      <c r="J224" s="26" t="n">
        <f aca="false">IF(Returns!$O224=1,"",Returns!J224)</f>
        <v>-0.00658345690130124</v>
      </c>
      <c r="K224" s="26" t="str">
        <f aca="false">IF(Returns!$O224=1,Returns!B224,"")</f>
        <v/>
      </c>
      <c r="L224" s="26" t="str">
        <f aca="false">IF(Returns!$O224=1,Returns!C224,"")</f>
        <v/>
      </c>
      <c r="M224" s="26" t="str">
        <f aca="false">IF(Returns!$O224=1,Returns!D224,"")</f>
        <v/>
      </c>
      <c r="N224" s="26" t="str">
        <f aca="false">IF(Returns!$O224=1,Returns!E224,"")</f>
        <v/>
      </c>
      <c r="O224" s="26" t="str">
        <f aca="false">IF(Returns!$O224=1,Returns!F224,"")</f>
        <v/>
      </c>
      <c r="P224" s="26" t="str">
        <f aca="false">IF(Returns!$O224=1,Returns!G224,"")</f>
        <v/>
      </c>
      <c r="Q224" s="26" t="str">
        <f aca="false">IF(Returns!$O224=1,Returns!H224,"")</f>
        <v/>
      </c>
      <c r="R224" s="26" t="str">
        <f aca="false">IF(Returns!$O224=1,Returns!I224,"")</f>
        <v/>
      </c>
      <c r="S224" s="26" t="str">
        <f aca="false">IF(Returns!$O224=1,Returns!J224,"")</f>
        <v/>
      </c>
      <c r="T224" s="26" t="n">
        <f aca="false">IF(Returns!$O224=1,"",Returns!K224)</f>
        <v>-0.0155156687895546</v>
      </c>
    </row>
    <row r="225" customFormat="false" ht="15" hidden="false" customHeight="false" outlineLevel="0" collapsed="false">
      <c r="A225" s="25" t="n">
        <f aca="false">Returns!A225</f>
        <v>44036</v>
      </c>
      <c r="B225" s="26" t="n">
        <f aca="false">IF(Returns!$O225=1,"",Returns!B225)</f>
        <v>-0.0106075028199615</v>
      </c>
      <c r="C225" s="26" t="n">
        <f aca="false">IF(Returns!$O225=1,"",Returns!C225)</f>
        <v>-0.00259464285714295</v>
      </c>
      <c r="D225" s="26" t="n">
        <f aca="false">IF(Returns!$O225=1,"",Returns!D225)</f>
        <v>0.0088950370367491</v>
      </c>
      <c r="E225" s="26" t="n">
        <f aca="false">IF(Returns!$O225=1,"",Returns!E225)</f>
        <v>-0.0257192670941746</v>
      </c>
      <c r="F225" s="26" t="n">
        <f aca="false">IF(Returns!$O225=1,"",Returns!F225)</f>
        <v>-0.0064317791803179</v>
      </c>
      <c r="G225" s="26" t="n">
        <f aca="false">IF(Returns!$O225=1,"",Returns!G225)</f>
        <v>-0.0201741412276086</v>
      </c>
      <c r="H225" s="26" t="n">
        <f aca="false">IF(Returns!$O225=1,"",Returns!H225)</f>
        <v>0.00708905626938416</v>
      </c>
      <c r="I225" s="26" t="n">
        <f aca="false">IF(Returns!$O225=1,"",Returns!I225)</f>
        <v>0.00954463084196666</v>
      </c>
      <c r="J225" s="26" t="n">
        <f aca="false">IF(Returns!$O225=1,"",Returns!J225)</f>
        <v>-0.00424808850460789</v>
      </c>
      <c r="K225" s="26" t="str">
        <f aca="false">IF(Returns!$O225=1,Returns!B225,"")</f>
        <v/>
      </c>
      <c r="L225" s="26" t="str">
        <f aca="false">IF(Returns!$O225=1,Returns!C225,"")</f>
        <v/>
      </c>
      <c r="M225" s="26" t="str">
        <f aca="false">IF(Returns!$O225=1,Returns!D225,"")</f>
        <v/>
      </c>
      <c r="N225" s="26" t="str">
        <f aca="false">IF(Returns!$O225=1,Returns!E225,"")</f>
        <v/>
      </c>
      <c r="O225" s="26" t="str">
        <f aca="false">IF(Returns!$O225=1,Returns!F225,"")</f>
        <v/>
      </c>
      <c r="P225" s="26" t="str">
        <f aca="false">IF(Returns!$O225=1,Returns!G225,"")</f>
        <v/>
      </c>
      <c r="Q225" s="26" t="str">
        <f aca="false">IF(Returns!$O225=1,Returns!H225,"")</f>
        <v/>
      </c>
      <c r="R225" s="26" t="str">
        <f aca="false">IF(Returns!$O225=1,Returns!I225,"")</f>
        <v/>
      </c>
      <c r="S225" s="26" t="str">
        <f aca="false">IF(Returns!$O225=1,Returns!J225,"")</f>
        <v/>
      </c>
      <c r="T225" s="26" t="n">
        <f aca="false">IF(Returns!$O225=1,"",Returns!K225)</f>
        <v>-0.00491629972619039</v>
      </c>
    </row>
    <row r="226" customFormat="false" ht="15" hidden="false" customHeight="false" outlineLevel="0" collapsed="false">
      <c r="A226" s="25" t="n">
        <f aca="false">Returns!A226</f>
        <v>44039</v>
      </c>
      <c r="B226" s="26" t="n">
        <f aca="false">IF(Returns!$O226=1,"",Returns!B226)</f>
        <v>-0.00974658888394908</v>
      </c>
      <c r="C226" s="26" t="n">
        <f aca="false">IF(Returns!$O226=1,"",Returns!C226)</f>
        <v>0.0134659374669617</v>
      </c>
      <c r="D226" s="26" t="n">
        <f aca="false">IF(Returns!$O226=1,"",Returns!D226)</f>
        <v>-0.00510431578210291</v>
      </c>
      <c r="E226" s="26" t="n">
        <f aca="false">IF(Returns!$O226=1,"",Returns!E226)</f>
        <v>0.0158836461770995</v>
      </c>
      <c r="F226" s="26" t="n">
        <f aca="false">IF(Returns!$O226=1,"",Returns!F226)</f>
        <v>-0.0129468013006802</v>
      </c>
      <c r="G226" s="26" t="n">
        <f aca="false">IF(Returns!$O226=1,"",Returns!G226)</f>
        <v>-0.00514744945496248</v>
      </c>
      <c r="H226" s="26" t="n">
        <f aca="false">IF(Returns!$O226=1,"",Returns!H226)</f>
        <v>0.0206775626924769</v>
      </c>
      <c r="I226" s="26" t="n">
        <f aca="false">IF(Returns!$O226=1,"",Returns!I226)</f>
        <v>-0.0118179742384897</v>
      </c>
      <c r="J226" s="26" t="n">
        <f aca="false">IF(Returns!$O226=1,"",Returns!J226)</f>
        <v>0.0472696432515236</v>
      </c>
      <c r="K226" s="26" t="str">
        <f aca="false">IF(Returns!$O226=1,Returns!B226,"")</f>
        <v/>
      </c>
      <c r="L226" s="26" t="str">
        <f aca="false">IF(Returns!$O226=1,Returns!C226,"")</f>
        <v/>
      </c>
      <c r="M226" s="26" t="str">
        <f aca="false">IF(Returns!$O226=1,Returns!D226,"")</f>
        <v/>
      </c>
      <c r="N226" s="26" t="str">
        <f aca="false">IF(Returns!$O226=1,Returns!E226,"")</f>
        <v/>
      </c>
      <c r="O226" s="26" t="str">
        <f aca="false">IF(Returns!$O226=1,Returns!F226,"")</f>
        <v/>
      </c>
      <c r="P226" s="26" t="str">
        <f aca="false">IF(Returns!$O226=1,Returns!G226,"")</f>
        <v/>
      </c>
      <c r="Q226" s="26" t="str">
        <f aca="false">IF(Returns!$O226=1,Returns!H226,"")</f>
        <v/>
      </c>
      <c r="R226" s="26" t="str">
        <f aca="false">IF(Returns!$O226=1,Returns!I226,"")</f>
        <v/>
      </c>
      <c r="S226" s="26" t="str">
        <f aca="false">IF(Returns!$O226=1,Returns!J226,"")</f>
        <v/>
      </c>
      <c r="T226" s="26" t="n">
        <f aca="false">IF(Returns!$O226=1,"",Returns!K226)</f>
        <v>0.0058370733253197</v>
      </c>
    </row>
    <row r="227" customFormat="false" ht="15" hidden="false" customHeight="false" outlineLevel="0" collapsed="false">
      <c r="A227" s="25" t="n">
        <f aca="false">Returns!A227</f>
        <v>44040</v>
      </c>
      <c r="B227" s="26" t="n">
        <f aca="false">IF(Returns!$O227=1,"",Returns!B227)</f>
        <v>-0.00590549224223413</v>
      </c>
      <c r="C227" s="26" t="n">
        <f aca="false">IF(Returns!$O227=1,"",Returns!C227)</f>
        <v>-0.0150988378408224</v>
      </c>
      <c r="D227" s="26" t="n">
        <f aca="false">IF(Returns!$O227=1,"",Returns!D227)</f>
        <v>-0.0116604472173298</v>
      </c>
      <c r="E227" s="26" t="n">
        <f aca="false">IF(Returns!$O227=1,"",Returns!E227)</f>
        <v>-0.0114512442193349</v>
      </c>
      <c r="F227" s="26" t="n">
        <f aca="false">IF(Returns!$O227=1,"",Returns!F227)</f>
        <v>-0.00998004967447863</v>
      </c>
      <c r="G227" s="26" t="n">
        <f aca="false">IF(Returns!$O227=1,"",Returns!G227)</f>
        <v>0.01552210724365</v>
      </c>
      <c r="H227" s="26" t="n">
        <f aca="false">IF(Returns!$O227=1,"",Returns!H227)</f>
        <v>-0.0172414647740748</v>
      </c>
      <c r="I227" s="26" t="n">
        <f aca="false">IF(Returns!$O227=1,"",Returns!I227)</f>
        <v>-0.0115606998655495</v>
      </c>
      <c r="J227" s="26" t="n">
        <f aca="false">IF(Returns!$O227=1,"",Returns!J227)</f>
        <v>-0.0167834286586838</v>
      </c>
      <c r="K227" s="26" t="str">
        <f aca="false">IF(Returns!$O227=1,Returns!B227,"")</f>
        <v/>
      </c>
      <c r="L227" s="26" t="str">
        <f aca="false">IF(Returns!$O227=1,Returns!C227,"")</f>
        <v/>
      </c>
      <c r="M227" s="26" t="str">
        <f aca="false">IF(Returns!$O227=1,Returns!D227,"")</f>
        <v/>
      </c>
      <c r="N227" s="26" t="str">
        <f aca="false">IF(Returns!$O227=1,Returns!E227,"")</f>
        <v/>
      </c>
      <c r="O227" s="26" t="str">
        <f aca="false">IF(Returns!$O227=1,Returns!F227,"")</f>
        <v/>
      </c>
      <c r="P227" s="26" t="str">
        <f aca="false">IF(Returns!$O227=1,Returns!G227,"")</f>
        <v/>
      </c>
      <c r="Q227" s="26" t="str">
        <f aca="false">IF(Returns!$O227=1,Returns!H227,"")</f>
        <v/>
      </c>
      <c r="R227" s="26" t="str">
        <f aca="false">IF(Returns!$O227=1,Returns!I227,"")</f>
        <v/>
      </c>
      <c r="S227" s="26" t="str">
        <f aca="false">IF(Returns!$O227=1,Returns!J227,"")</f>
        <v/>
      </c>
      <c r="T227" s="26" t="n">
        <f aca="false">IF(Returns!$O227=1,"",Returns!K227)</f>
        <v>-0.00935106191653978</v>
      </c>
    </row>
    <row r="228" customFormat="false" ht="15" hidden="false" customHeight="false" outlineLevel="0" collapsed="false">
      <c r="A228" s="25" t="n">
        <f aca="false">Returns!A228</f>
        <v>44041</v>
      </c>
      <c r="B228" s="26" t="n">
        <f aca="false">IF(Returns!$O228=1,"",Returns!B228)</f>
        <v>0.0324752277227725</v>
      </c>
      <c r="C228" s="26" t="n">
        <f aca="false">IF(Returns!$O228=1,"",Returns!C228)</f>
        <v>-0.00919826738622509</v>
      </c>
      <c r="D228" s="26" t="n">
        <f aca="false">IF(Returns!$O228=1,"",Returns!D228)</f>
        <v>-0.00660698411481897</v>
      </c>
      <c r="E228" s="26" t="n">
        <f aca="false">IF(Returns!$O228=1,"",Returns!E228)</f>
        <v>0.00400982410358264</v>
      </c>
      <c r="F228" s="26" t="n">
        <f aca="false">IF(Returns!$O228=1,"",Returns!F228)</f>
        <v>0.00288021604175004</v>
      </c>
      <c r="G228" s="26" t="n">
        <f aca="false">IF(Returns!$O228=1,"",Returns!G228)</f>
        <v>0.0143584993052339</v>
      </c>
      <c r="H228" s="26" t="n">
        <f aca="false">IF(Returns!$O228=1,"",Returns!H228)</f>
        <v>0.0162281147468473</v>
      </c>
      <c r="I228" s="26" t="n">
        <f aca="false">IF(Returns!$O228=1,"",Returns!I228)</f>
        <v>0.0371042473027665</v>
      </c>
      <c r="J228" s="26" t="n">
        <f aca="false">IF(Returns!$O228=1,"",Returns!J228)</f>
        <v>0.0432549055353</v>
      </c>
      <c r="K228" s="26" t="str">
        <f aca="false">IF(Returns!$O228=1,Returns!B228,"")</f>
        <v/>
      </c>
      <c r="L228" s="26" t="str">
        <f aca="false">IF(Returns!$O228=1,Returns!C228,"")</f>
        <v/>
      </c>
      <c r="M228" s="26" t="str">
        <f aca="false">IF(Returns!$O228=1,Returns!D228,"")</f>
        <v/>
      </c>
      <c r="N228" s="26" t="str">
        <f aca="false">IF(Returns!$O228=1,Returns!E228,"")</f>
        <v/>
      </c>
      <c r="O228" s="26" t="str">
        <f aca="false">IF(Returns!$O228=1,Returns!F228,"")</f>
        <v/>
      </c>
      <c r="P228" s="26" t="str">
        <f aca="false">IF(Returns!$O228=1,Returns!G228,"")</f>
        <v/>
      </c>
      <c r="Q228" s="26" t="str">
        <f aca="false">IF(Returns!$O228=1,Returns!H228,"")</f>
        <v/>
      </c>
      <c r="R228" s="26" t="str">
        <f aca="false">IF(Returns!$O228=1,Returns!I228,"")</f>
        <v/>
      </c>
      <c r="S228" s="26" t="str">
        <f aca="false">IF(Returns!$O228=1,Returns!J228,"")</f>
        <v/>
      </c>
      <c r="T228" s="26" t="n">
        <f aca="false">IF(Returns!$O228=1,"",Returns!K228)</f>
        <v>0.0149450870285787</v>
      </c>
    </row>
    <row r="229" customFormat="false" ht="15" hidden="false" customHeight="false" outlineLevel="0" collapsed="false">
      <c r="A229" s="25" t="n">
        <f aca="false">Returns!A229</f>
        <v>44042</v>
      </c>
      <c r="B229" s="26" t="n">
        <f aca="false">IF(Returns!$O229=1,"",Returns!B229)</f>
        <v>-0.00287681248325311</v>
      </c>
      <c r="C229" s="26" t="n">
        <f aca="false">IF(Returns!$O229=1,"",Returns!C229)</f>
        <v>-0.000309422873424392</v>
      </c>
      <c r="D229" s="26" t="n">
        <f aca="false">IF(Returns!$O229=1,"",Returns!D229)</f>
        <v>0.0114015207316638</v>
      </c>
      <c r="E229" s="26" t="n">
        <f aca="false">IF(Returns!$O229=1,"",Returns!E229)</f>
        <v>0.108497869980031</v>
      </c>
      <c r="F229" s="26" t="n">
        <f aca="false">IF(Returns!$O229=1,"",Returns!F229)</f>
        <v>0.00574380209297276</v>
      </c>
      <c r="G229" s="26" t="n">
        <f aca="false">IF(Returns!$O229=1,"",Returns!G229)</f>
        <v>-0.0136986301369861</v>
      </c>
      <c r="H229" s="26" t="n">
        <f aca="false">IF(Returns!$O229=1,"",Returns!H229)</f>
        <v>-0.015105740181269</v>
      </c>
      <c r="I229" s="26" t="n">
        <f aca="false">IF(Returns!$O229=1,"",Returns!I229)</f>
        <v>-0.0112774707398393</v>
      </c>
      <c r="J229" s="26" t="n">
        <f aca="false">IF(Returns!$O229=1,"",Returns!J229)</f>
        <v>-0.0266878629596844</v>
      </c>
      <c r="K229" s="26" t="str">
        <f aca="false">IF(Returns!$O229=1,Returns!B229,"")</f>
        <v/>
      </c>
      <c r="L229" s="26" t="str">
        <f aca="false">IF(Returns!$O229=1,Returns!C229,"")</f>
        <v/>
      </c>
      <c r="M229" s="26" t="str">
        <f aca="false">IF(Returns!$O229=1,Returns!D229,"")</f>
        <v/>
      </c>
      <c r="N229" s="26" t="str">
        <f aca="false">IF(Returns!$O229=1,Returns!E229,"")</f>
        <v/>
      </c>
      <c r="O229" s="26" t="str">
        <f aca="false">IF(Returns!$O229=1,Returns!F229,"")</f>
        <v/>
      </c>
      <c r="P229" s="26" t="str">
        <f aca="false">IF(Returns!$O229=1,Returns!G229,"")</f>
        <v/>
      </c>
      <c r="Q229" s="26" t="str">
        <f aca="false">IF(Returns!$O229=1,Returns!H229,"")</f>
        <v/>
      </c>
      <c r="R229" s="26" t="str">
        <f aca="false">IF(Returns!$O229=1,Returns!I229,"")</f>
        <v/>
      </c>
      <c r="S229" s="26" t="str">
        <f aca="false">IF(Returns!$O229=1,Returns!J229,"")</f>
        <v/>
      </c>
      <c r="T229" s="26" t="n">
        <f aca="false">IF(Returns!$O229=1,"",Returns!K229)</f>
        <v>0.00618747260335682</v>
      </c>
    </row>
    <row r="230" customFormat="false" ht="15" hidden="false" customHeight="false" outlineLevel="0" collapsed="false">
      <c r="A230" s="25" t="n">
        <f aca="false">Returns!A230</f>
        <v>44043</v>
      </c>
      <c r="B230" s="26" t="n">
        <f aca="false">IF(Returns!$O230=1,"",Returns!B230)</f>
        <v>0.0148104629809402</v>
      </c>
      <c r="C230" s="26" t="n">
        <f aca="false">IF(Returns!$O230=1,"",Returns!C230)</f>
        <v>-0.0181086980636327</v>
      </c>
      <c r="D230" s="26" t="n">
        <f aca="false">IF(Returns!$O230=1,"",Returns!D230)</f>
        <v>-0.0244246583173012</v>
      </c>
      <c r="E230" s="26" t="n">
        <f aca="false">IF(Returns!$O230=1,"",Returns!E230)</f>
        <v>0.01921535266644</v>
      </c>
      <c r="F230" s="26" t="n">
        <f aca="false">IF(Returns!$O230=1,"",Returns!F230)</f>
        <v>-0.026270722445082</v>
      </c>
      <c r="G230" s="26" t="n">
        <f aca="false">IF(Returns!$O230=1,"",Returns!G230)</f>
        <v>-0.0212963425925927</v>
      </c>
      <c r="H230" s="26" t="n">
        <f aca="false">IF(Returns!$O230=1,"",Returns!H230)</f>
        <v>-0.0271691060473269</v>
      </c>
      <c r="I230" s="26" t="n">
        <f aca="false">IF(Returns!$O230=1,"",Returns!I230)</f>
        <v>0.000589960573755155</v>
      </c>
      <c r="J230" s="26" t="n">
        <f aca="false">IF(Returns!$O230=1,"",Returns!J230)</f>
        <v>-0.00913988901583152</v>
      </c>
      <c r="K230" s="26" t="str">
        <f aca="false">IF(Returns!$O230=1,Returns!B230,"")</f>
        <v/>
      </c>
      <c r="L230" s="26" t="str">
        <f aca="false">IF(Returns!$O230=1,Returns!C230,"")</f>
        <v/>
      </c>
      <c r="M230" s="26" t="str">
        <f aca="false">IF(Returns!$O230=1,Returns!D230,"")</f>
        <v/>
      </c>
      <c r="N230" s="26" t="str">
        <f aca="false">IF(Returns!$O230=1,Returns!E230,"")</f>
        <v/>
      </c>
      <c r="O230" s="26" t="str">
        <f aca="false">IF(Returns!$O230=1,Returns!F230,"")</f>
        <v/>
      </c>
      <c r="P230" s="26" t="str">
        <f aca="false">IF(Returns!$O230=1,Returns!G230,"")</f>
        <v/>
      </c>
      <c r="Q230" s="26" t="str">
        <f aca="false">IF(Returns!$O230=1,Returns!H230,"")</f>
        <v/>
      </c>
      <c r="R230" s="26" t="str">
        <f aca="false">IF(Returns!$O230=1,Returns!I230,"")</f>
        <v/>
      </c>
      <c r="S230" s="26" t="str">
        <f aca="false">IF(Returns!$O230=1,Returns!J230,"")</f>
        <v/>
      </c>
      <c r="T230" s="26" t="n">
        <f aca="false">IF(Returns!$O230=1,"",Returns!K230)</f>
        <v>-0.0101992933622924</v>
      </c>
    </row>
    <row r="231" customFormat="false" ht="15" hidden="false" customHeight="false" outlineLevel="0" collapsed="false">
      <c r="A231" s="25" t="n">
        <f aca="false">Returns!A231</f>
        <v>44046</v>
      </c>
      <c r="B231" s="26" t="n">
        <f aca="false">IF(Returns!$O231=1,"",Returns!B231)</f>
        <v>0.0121304780944078</v>
      </c>
      <c r="C231" s="26" t="n">
        <f aca="false">IF(Returns!$O231=1,"",Returns!C231)</f>
        <v>0.00709326945439059</v>
      </c>
      <c r="D231" s="26" t="n">
        <f aca="false">IF(Returns!$O231=1,"",Returns!D231)</f>
        <v>0.00481468464130952</v>
      </c>
      <c r="E231" s="26" t="n">
        <f aca="false">IF(Returns!$O231=1,"",Returns!E231)</f>
        <v>-0.0123722903524074</v>
      </c>
      <c r="F231" s="26" t="n">
        <f aca="false">IF(Returns!$O231=1,"",Returns!F231)</f>
        <v>0.00850448374306989</v>
      </c>
      <c r="G231" s="26" t="n">
        <f aca="false">IF(Returns!$O231=1,"",Returns!G231)</f>
        <v>-0.0264900201745516</v>
      </c>
      <c r="H231" s="26" t="n">
        <f aca="false">IF(Returns!$O231=1,"",Returns!H231)</f>
        <v>-0.0180181072964817</v>
      </c>
      <c r="I231" s="26" t="n">
        <f aca="false">IF(Returns!$O231=1,"",Returns!I231)</f>
        <v>-0.0163129089407092</v>
      </c>
      <c r="J231" s="26" t="n">
        <f aca="false">IF(Returns!$O231=1,"",Returns!J231)</f>
        <v>-0.00741230452005115</v>
      </c>
      <c r="K231" s="26" t="str">
        <f aca="false">IF(Returns!$O231=1,Returns!B231,"")</f>
        <v/>
      </c>
      <c r="L231" s="26" t="str">
        <f aca="false">IF(Returns!$O231=1,Returns!C231,"")</f>
        <v/>
      </c>
      <c r="M231" s="26" t="str">
        <f aca="false">IF(Returns!$O231=1,Returns!D231,"")</f>
        <v/>
      </c>
      <c r="N231" s="26" t="str">
        <f aca="false">IF(Returns!$O231=1,Returns!E231,"")</f>
        <v/>
      </c>
      <c r="O231" s="26" t="str">
        <f aca="false">IF(Returns!$O231=1,Returns!F231,"")</f>
        <v/>
      </c>
      <c r="P231" s="26" t="str">
        <f aca="false">IF(Returns!$O231=1,Returns!G231,"")</f>
        <v/>
      </c>
      <c r="Q231" s="26" t="str">
        <f aca="false">IF(Returns!$O231=1,Returns!H231,"")</f>
        <v/>
      </c>
      <c r="R231" s="26" t="str">
        <f aca="false">IF(Returns!$O231=1,Returns!I231,"")</f>
        <v/>
      </c>
      <c r="S231" s="26" t="str">
        <f aca="false">IF(Returns!$O231=1,Returns!J231,"")</f>
        <v/>
      </c>
      <c r="T231" s="26" t="n">
        <f aca="false">IF(Returns!$O231=1,"",Returns!K231)</f>
        <v>-0.00534030170566925</v>
      </c>
    </row>
    <row r="232" customFormat="false" ht="15" hidden="false" customHeight="false" outlineLevel="0" collapsed="false">
      <c r="A232" s="25" t="n">
        <f aca="false">Returns!A232</f>
        <v>44047</v>
      </c>
      <c r="B232" s="26" t="n">
        <f aca="false">IF(Returns!$O232=1,"",Returns!B232)</f>
        <v>-0.0337079388124367</v>
      </c>
      <c r="C232" s="26" t="n">
        <f aca="false">IF(Returns!$O232=1,"",Returns!C232)</f>
        <v>-0.0104866654004278</v>
      </c>
      <c r="D232" s="26" t="n">
        <f aca="false">IF(Returns!$O232=1,"",Returns!D232)</f>
        <v>-0.000958361238219241</v>
      </c>
      <c r="E232" s="26" t="n">
        <f aca="false">IF(Returns!$O232=1,"",Returns!E232)</f>
        <v>-0.00775500084002778</v>
      </c>
      <c r="F232" s="26" t="n">
        <f aca="false">IF(Returns!$O232=1,"",Returns!F232)</f>
        <v>-0.00843276740972476</v>
      </c>
      <c r="G232" s="26" t="n">
        <f aca="false">IF(Returns!$O232=1,"",Returns!G232)</f>
        <v>-0.0136054907677357</v>
      </c>
      <c r="H232" s="26" t="n">
        <f aca="false">IF(Returns!$O232=1,"",Returns!H232)</f>
        <v>-0.000917339491621094</v>
      </c>
      <c r="I232" s="26" t="n">
        <f aca="false">IF(Returns!$O232=1,"",Returns!I232)</f>
        <v>0.0017981715858193</v>
      </c>
      <c r="J232" s="26" t="n">
        <f aca="false">IF(Returns!$O232=1,"",Returns!J232)</f>
        <v>0.00730174269172723</v>
      </c>
      <c r="K232" s="26" t="str">
        <f aca="false">IF(Returns!$O232=1,Returns!B232,"")</f>
        <v/>
      </c>
      <c r="L232" s="26" t="str">
        <f aca="false">IF(Returns!$O232=1,Returns!C232,"")</f>
        <v/>
      </c>
      <c r="M232" s="26" t="str">
        <f aca="false">IF(Returns!$O232=1,Returns!D232,"")</f>
        <v/>
      </c>
      <c r="N232" s="26" t="str">
        <f aca="false">IF(Returns!$O232=1,Returns!E232,"")</f>
        <v/>
      </c>
      <c r="O232" s="26" t="str">
        <f aca="false">IF(Returns!$O232=1,Returns!F232,"")</f>
        <v/>
      </c>
      <c r="P232" s="26" t="str">
        <f aca="false">IF(Returns!$O232=1,Returns!G232,"")</f>
        <v/>
      </c>
      <c r="Q232" s="26" t="str">
        <f aca="false">IF(Returns!$O232=1,Returns!H232,"")</f>
        <v/>
      </c>
      <c r="R232" s="26" t="str">
        <f aca="false">IF(Returns!$O232=1,Returns!I232,"")</f>
        <v/>
      </c>
      <c r="S232" s="26" t="str">
        <f aca="false">IF(Returns!$O232=1,Returns!J232,"")</f>
        <v/>
      </c>
      <c r="T232" s="26" t="n">
        <f aca="false">IF(Returns!$O232=1,"",Returns!K232)</f>
        <v>-0.00741818329807183</v>
      </c>
    </row>
    <row r="233" customFormat="false" ht="15" hidden="false" customHeight="false" outlineLevel="0" collapsed="false">
      <c r="A233" s="25" t="n">
        <f aca="false">Returns!A233</f>
        <v>44048</v>
      </c>
      <c r="B233" s="26" t="n">
        <f aca="false">IF(Returns!$O233=1,"",Returns!B233)</f>
        <v>0.028294632879637</v>
      </c>
      <c r="C233" s="26" t="n">
        <f aca="false">IF(Returns!$O233=1,"",Returns!C233)</f>
        <v>0.00442891476023677</v>
      </c>
      <c r="D233" s="26" t="n">
        <f aca="false">IF(Returns!$O233=1,"",Returns!D233)</f>
        <v>0.0911270983213428</v>
      </c>
      <c r="E233" s="26" t="n">
        <f aca="false">IF(Returns!$O233=1,"",Returns!E233)</f>
        <v>0.022244407926076</v>
      </c>
      <c r="F233" s="26" t="n">
        <f aca="false">IF(Returns!$O233=1,"",Returns!F233)</f>
        <v>0.00263928706859851</v>
      </c>
      <c r="G233" s="26" t="n">
        <f aca="false">IF(Returns!$O233=1,"",Returns!G233)</f>
        <v>0.0802956197189961</v>
      </c>
      <c r="H233" s="26" t="n">
        <f aca="false">IF(Returns!$O233=1,"",Returns!H233)</f>
        <v>0.0642791063232735</v>
      </c>
      <c r="I233" s="26" t="n">
        <f aca="false">IF(Returns!$O233=1,"",Returns!I233)</f>
        <v>0.0127642686582132</v>
      </c>
      <c r="J233" s="26" t="n">
        <f aca="false">IF(Returns!$O233=1,"",Returns!J233)</f>
        <v>0.0245469188707261</v>
      </c>
      <c r="K233" s="26" t="str">
        <f aca="false">IF(Returns!$O233=1,Returns!B233,"")</f>
        <v/>
      </c>
      <c r="L233" s="26" t="str">
        <f aca="false">IF(Returns!$O233=1,Returns!C233,"")</f>
        <v/>
      </c>
      <c r="M233" s="26" t="str">
        <f aca="false">IF(Returns!$O233=1,Returns!D233,"")</f>
        <v/>
      </c>
      <c r="N233" s="26" t="str">
        <f aca="false">IF(Returns!$O233=1,Returns!E233,"")</f>
        <v/>
      </c>
      <c r="O233" s="26" t="str">
        <f aca="false">IF(Returns!$O233=1,Returns!F233,"")</f>
        <v/>
      </c>
      <c r="P233" s="26" t="str">
        <f aca="false">IF(Returns!$O233=1,Returns!G233,"")</f>
        <v/>
      </c>
      <c r="Q233" s="26" t="str">
        <f aca="false">IF(Returns!$O233=1,Returns!H233,"")</f>
        <v/>
      </c>
      <c r="R233" s="26" t="str">
        <f aca="false">IF(Returns!$O233=1,Returns!I233,"")</f>
        <v/>
      </c>
      <c r="S233" s="26" t="str">
        <f aca="false">IF(Returns!$O233=1,Returns!J233,"")</f>
        <v/>
      </c>
      <c r="T233" s="26" t="n">
        <f aca="false">IF(Returns!$O233=1,"",Returns!K233)</f>
        <v>0.0367355838363444</v>
      </c>
    </row>
    <row r="234" customFormat="false" ht="15" hidden="false" customHeight="false" outlineLevel="0" collapsed="false">
      <c r="A234" s="25" t="n">
        <f aca="false">Returns!A234</f>
        <v>44049</v>
      </c>
      <c r="B234" s="26" t="n">
        <f aca="false">IF(Returns!$O234=1,"",Returns!B234)</f>
        <v>0.0327930261441194</v>
      </c>
      <c r="C234" s="26" t="n">
        <f aca="false">IF(Returns!$O234=1,"",Returns!C234)</f>
        <v>0.00866144909169919</v>
      </c>
      <c r="D234" s="26" t="n">
        <f aca="false">IF(Returns!$O234=1,"",Returns!D234)</f>
        <v>0.0250549450549451</v>
      </c>
      <c r="E234" s="26" t="n">
        <f aca="false">IF(Returns!$O234=1,"",Returns!E234)</f>
        <v>0.0121545388023736</v>
      </c>
      <c r="F234" s="26" t="n">
        <f aca="false">IF(Returns!$O234=1,"",Returns!F234)</f>
        <v>0.0105293582752575</v>
      </c>
      <c r="G234" s="26" t="n">
        <f aca="false">IF(Returns!$O234=1,"",Returns!G234)</f>
        <v>0.0766074327405382</v>
      </c>
      <c r="H234" s="26" t="n">
        <f aca="false">IF(Returns!$O234=1,"",Returns!H234)</f>
        <v>0.00172558239861953</v>
      </c>
      <c r="I234" s="26" t="n">
        <f aca="false">IF(Returns!$O234=1,"",Returns!I234)</f>
        <v>0.00196931712014004</v>
      </c>
      <c r="J234" s="26" t="n">
        <f aca="false">IF(Returns!$O234=1,"",Returns!J234)</f>
        <v>-0.00578866386539101</v>
      </c>
      <c r="K234" s="26" t="str">
        <f aca="false">IF(Returns!$O234=1,Returns!B234,"")</f>
        <v/>
      </c>
      <c r="L234" s="26" t="str">
        <f aca="false">IF(Returns!$O234=1,Returns!C234,"")</f>
        <v/>
      </c>
      <c r="M234" s="26" t="str">
        <f aca="false">IF(Returns!$O234=1,Returns!D234,"")</f>
        <v/>
      </c>
      <c r="N234" s="26" t="str">
        <f aca="false">IF(Returns!$O234=1,Returns!E234,"")</f>
        <v/>
      </c>
      <c r="O234" s="26" t="str">
        <f aca="false">IF(Returns!$O234=1,Returns!F234,"")</f>
        <v/>
      </c>
      <c r="P234" s="26" t="str">
        <f aca="false">IF(Returns!$O234=1,Returns!G234,"")</f>
        <v/>
      </c>
      <c r="Q234" s="26" t="str">
        <f aca="false">IF(Returns!$O234=1,Returns!H234,"")</f>
        <v/>
      </c>
      <c r="R234" s="26" t="str">
        <f aca="false">IF(Returns!$O234=1,Returns!I234,"")</f>
        <v/>
      </c>
      <c r="S234" s="26" t="str">
        <f aca="false">IF(Returns!$O234=1,Returns!J234,"")</f>
        <v/>
      </c>
      <c r="T234" s="26" t="n">
        <f aca="false">IF(Returns!$O234=1,"",Returns!K234)</f>
        <v>0.0181896650847002</v>
      </c>
    </row>
    <row r="235" customFormat="false" ht="15" hidden="false" customHeight="false" outlineLevel="0" collapsed="false">
      <c r="A235" s="25" t="n">
        <f aca="false">Returns!A235</f>
        <v>44050</v>
      </c>
      <c r="B235" s="26" t="n">
        <f aca="false">IF(Returns!$O235=1,"",Returns!B235)</f>
        <v>0</v>
      </c>
      <c r="C235" s="26" t="n">
        <f aca="false">IF(Returns!$O235=1,"",Returns!C235)</f>
        <v>-0.0234192037470726</v>
      </c>
      <c r="D235" s="26" t="n">
        <f aca="false">IF(Returns!$O235=1,"",Returns!D235)</f>
        <v>-0.0107204116638079</v>
      </c>
      <c r="E235" s="26" t="n">
        <f aca="false">IF(Returns!$O235=1,"",Returns!E235)</f>
        <v>-0.015882238700712</v>
      </c>
      <c r="F235" s="26" t="n">
        <f aca="false">IF(Returns!$O235=1,"",Returns!F235)</f>
        <v>-0.00173656900332231</v>
      </c>
      <c r="G235" s="26" t="n">
        <f aca="false">IF(Returns!$O235=1,"",Returns!G235)</f>
        <v>-0.0343075800801533</v>
      </c>
      <c r="H235" s="26" t="n">
        <f aca="false">IF(Returns!$O235=1,"",Returns!H235)</f>
        <v>-0.0185184331833951</v>
      </c>
      <c r="I235" s="26" t="n">
        <f aca="false">IF(Returns!$O235=1,"",Returns!I235)</f>
        <v>-0.0290880353569731</v>
      </c>
      <c r="J235" s="26" t="n">
        <f aca="false">IF(Returns!$O235=1,"",Returns!J235)</f>
        <v>-0.0223192779453574</v>
      </c>
      <c r="K235" s="26" t="str">
        <f aca="false">IF(Returns!$O235=1,Returns!B235,"")</f>
        <v/>
      </c>
      <c r="L235" s="26" t="str">
        <f aca="false">IF(Returns!$O235=1,Returns!C235,"")</f>
        <v/>
      </c>
      <c r="M235" s="26" t="str">
        <f aca="false">IF(Returns!$O235=1,Returns!D235,"")</f>
        <v/>
      </c>
      <c r="N235" s="26" t="str">
        <f aca="false">IF(Returns!$O235=1,Returns!E235,"")</f>
        <v/>
      </c>
      <c r="O235" s="26" t="str">
        <f aca="false">IF(Returns!$O235=1,Returns!F235,"")</f>
        <v/>
      </c>
      <c r="P235" s="26" t="str">
        <f aca="false">IF(Returns!$O235=1,Returns!G235,"")</f>
        <v/>
      </c>
      <c r="Q235" s="26" t="str">
        <f aca="false">IF(Returns!$O235=1,Returns!H235,"")</f>
        <v/>
      </c>
      <c r="R235" s="26" t="str">
        <f aca="false">IF(Returns!$O235=1,Returns!I235,"")</f>
        <v/>
      </c>
      <c r="S235" s="26" t="str">
        <f aca="false">IF(Returns!$O235=1,Returns!J235,"")</f>
        <v/>
      </c>
      <c r="T235" s="26" t="n">
        <f aca="false">IF(Returns!$O235=1,"",Returns!K235)</f>
        <v>-0.0173324166311993</v>
      </c>
    </row>
    <row r="236" customFormat="false" ht="15" hidden="false" customHeight="false" outlineLevel="0" collapsed="false">
      <c r="A236" s="25" t="n">
        <f aca="false">Returns!A236</f>
        <v>44053</v>
      </c>
      <c r="B236" s="26" t="n">
        <f aca="false">IF(Returns!$O236=1,"",Returns!B236)</f>
        <v>-0.0151459491814954</v>
      </c>
      <c r="C236" s="26" t="n">
        <f aca="false">IF(Returns!$O236=1,"",Returns!C236)</f>
        <v>-0.00479616306954445</v>
      </c>
      <c r="D236" s="26" t="n">
        <f aca="false">IF(Returns!$O236=1,"",Returns!D236)</f>
        <v>0.00996961421759868</v>
      </c>
      <c r="E236" s="26" t="n">
        <f aca="false">IF(Returns!$O236=1,"",Returns!E236)</f>
        <v>0.00196809679259791</v>
      </c>
      <c r="F236" s="26" t="n">
        <f aca="false">IF(Returns!$O236=1,"",Returns!F236)</f>
        <v>-0.0147868920981168</v>
      </c>
      <c r="G236" s="26" t="n">
        <f aca="false">IF(Returns!$O236=1,"",Returns!G236)</f>
        <v>-0.000877105301627434</v>
      </c>
      <c r="H236" s="26" t="n">
        <f aca="false">IF(Returns!$O236=1,"",Returns!H236)</f>
        <v>0.028960068935495</v>
      </c>
      <c r="I236" s="26" t="n">
        <f aca="false">IF(Returns!$O236=1,"",Returns!I236)</f>
        <v>-0.0060729034922169</v>
      </c>
      <c r="J236" s="26" t="n">
        <f aca="false">IF(Returns!$O236=1,"",Returns!J236)</f>
        <v>0.0289495445996766</v>
      </c>
      <c r="K236" s="26" t="str">
        <f aca="false">IF(Returns!$O236=1,Returns!B236,"")</f>
        <v/>
      </c>
      <c r="L236" s="26" t="str">
        <f aca="false">IF(Returns!$O236=1,Returns!C236,"")</f>
        <v/>
      </c>
      <c r="M236" s="26" t="str">
        <f aca="false">IF(Returns!$O236=1,Returns!D236,"")</f>
        <v/>
      </c>
      <c r="N236" s="26" t="str">
        <f aca="false">IF(Returns!$O236=1,Returns!E236,"")</f>
        <v/>
      </c>
      <c r="O236" s="26" t="str">
        <f aca="false">IF(Returns!$O236=1,Returns!F236,"")</f>
        <v/>
      </c>
      <c r="P236" s="26" t="str">
        <f aca="false">IF(Returns!$O236=1,Returns!G236,"")</f>
        <v/>
      </c>
      <c r="Q236" s="26" t="str">
        <f aca="false">IF(Returns!$O236=1,Returns!H236,"")</f>
        <v/>
      </c>
      <c r="R236" s="26" t="str">
        <f aca="false">IF(Returns!$O236=1,Returns!I236,"")</f>
        <v/>
      </c>
      <c r="S236" s="26" t="str">
        <f aca="false">IF(Returns!$O236=1,Returns!J236,"")</f>
        <v/>
      </c>
      <c r="T236" s="26" t="n">
        <f aca="false">IF(Returns!$O236=1,"",Returns!K236)</f>
        <v>0.0031298123780408</v>
      </c>
    </row>
    <row r="237" customFormat="false" ht="15" hidden="false" customHeight="false" outlineLevel="0" collapsed="false">
      <c r="A237" s="25" t="n">
        <f aca="false">Returns!A237</f>
        <v>44054</v>
      </c>
      <c r="B237" s="26" t="n">
        <f aca="false">IF(Returns!$O237=1,"",Returns!B237)</f>
        <v>0.0324254209296753</v>
      </c>
      <c r="C237" s="26" t="n">
        <f aca="false">IF(Returns!$O237=1,"",Returns!C237)</f>
        <v>-0.0226505542168676</v>
      </c>
      <c r="D237" s="26" t="n">
        <f aca="false">IF(Returns!$O237=1,"",Returns!D237)</f>
        <v>0.0283261814732267</v>
      </c>
      <c r="E237" s="26" t="n">
        <f aca="false">IF(Returns!$O237=1,"",Returns!E237)</f>
        <v>-0.00235708112355137</v>
      </c>
      <c r="F237" s="26" t="n">
        <f aca="false">IF(Returns!$O237=1,"",Returns!F237)</f>
        <v>0.0203060413402594</v>
      </c>
      <c r="G237" s="26" t="n">
        <f aca="false">IF(Returns!$O237=1,"",Returns!G237)</f>
        <v>0.0399473204588534</v>
      </c>
      <c r="H237" s="26" t="n">
        <f aca="false">IF(Returns!$O237=1,"",Returns!H237)</f>
        <v>-0.0157782935702221</v>
      </c>
      <c r="I237" s="26" t="n">
        <f aca="false">IF(Returns!$O237=1,"",Returns!I237)</f>
        <v>0.00692462257531656</v>
      </c>
      <c r="J237" s="26" t="n">
        <f aca="false">IF(Returns!$O237=1,"",Returns!J237)</f>
        <v>-0.03086819886064</v>
      </c>
      <c r="K237" s="26" t="str">
        <f aca="false">IF(Returns!$O237=1,Returns!B237,"")</f>
        <v/>
      </c>
      <c r="L237" s="26" t="str">
        <f aca="false">IF(Returns!$O237=1,Returns!C237,"")</f>
        <v/>
      </c>
      <c r="M237" s="26" t="str">
        <f aca="false">IF(Returns!$O237=1,Returns!D237,"")</f>
        <v/>
      </c>
      <c r="N237" s="26" t="str">
        <f aca="false">IF(Returns!$O237=1,Returns!E237,"")</f>
        <v/>
      </c>
      <c r="O237" s="26" t="str">
        <f aca="false">IF(Returns!$O237=1,Returns!F237,"")</f>
        <v/>
      </c>
      <c r="P237" s="26" t="str">
        <f aca="false">IF(Returns!$O237=1,Returns!G237,"")</f>
        <v/>
      </c>
      <c r="Q237" s="26" t="str">
        <f aca="false">IF(Returns!$O237=1,Returns!H237,"")</f>
        <v/>
      </c>
      <c r="R237" s="26" t="str">
        <f aca="false">IF(Returns!$O237=1,Returns!I237,"")</f>
        <v/>
      </c>
      <c r="S237" s="26" t="str">
        <f aca="false">IF(Returns!$O237=1,Returns!J237,"")</f>
        <v/>
      </c>
      <c r="T237" s="26" t="n">
        <f aca="false">IF(Returns!$O237=1,"",Returns!K237)</f>
        <v>0.00625282877845004</v>
      </c>
    </row>
    <row r="238" customFormat="false" ht="15" hidden="false" customHeight="false" outlineLevel="0" collapsed="false">
      <c r="A238" s="25" t="n">
        <f aca="false">Returns!A238</f>
        <v>44055</v>
      </c>
      <c r="B238" s="26" t="n">
        <f aca="false">IF(Returns!$O238=1,"",Returns!B238)</f>
        <v>-0.0145369882531051</v>
      </c>
      <c r="C238" s="26" t="n">
        <f aca="false">IF(Returns!$O238=1,"",Returns!C238)</f>
        <v>0.010848076388162</v>
      </c>
      <c r="D238" s="26" t="n">
        <f aca="false">IF(Returns!$O238=1,"",Returns!D238)</f>
        <v>0.0233723298569419</v>
      </c>
      <c r="E238" s="26" t="n">
        <f aca="false">IF(Returns!$O238=1,"",Returns!E238)</f>
        <v>-0.00669423101606148</v>
      </c>
      <c r="F238" s="26" t="n">
        <f aca="false">IF(Returns!$O238=1,"",Returns!F238)</f>
        <v>0.0135564546380027</v>
      </c>
      <c r="G238" s="26" t="n">
        <f aca="false">IF(Returns!$O238=1,"",Returns!G238)</f>
        <v>-0.0113972557451558</v>
      </c>
      <c r="H238" s="26" t="n">
        <f aca="false">IF(Returns!$O238=1,"",Returns!H238)</f>
        <v>0.0173310225303294</v>
      </c>
      <c r="I238" s="26" t="n">
        <f aca="false">IF(Returns!$O238=1,"",Returns!I238)</f>
        <v>-0.0317556403753923</v>
      </c>
      <c r="J238" s="26" t="n">
        <f aca="false">IF(Returns!$O238=1,"",Returns!J238)</f>
        <v>0.0202389021273872</v>
      </c>
      <c r="K238" s="26" t="str">
        <f aca="false">IF(Returns!$O238=1,Returns!B238,"")</f>
        <v/>
      </c>
      <c r="L238" s="26" t="str">
        <f aca="false">IF(Returns!$O238=1,Returns!C238,"")</f>
        <v/>
      </c>
      <c r="M238" s="26" t="str">
        <f aca="false">IF(Returns!$O238=1,Returns!D238,"")</f>
        <v/>
      </c>
      <c r="N238" s="26" t="str">
        <f aca="false">IF(Returns!$O238=1,Returns!E238,"")</f>
        <v/>
      </c>
      <c r="O238" s="26" t="str">
        <f aca="false">IF(Returns!$O238=1,Returns!F238,"")</f>
        <v/>
      </c>
      <c r="P238" s="26" t="str">
        <f aca="false">IF(Returns!$O238=1,Returns!G238,"")</f>
        <v/>
      </c>
      <c r="Q238" s="26" t="str">
        <f aca="false">IF(Returns!$O238=1,Returns!H238,"")</f>
        <v/>
      </c>
      <c r="R238" s="26" t="str">
        <f aca="false">IF(Returns!$O238=1,Returns!I238,"")</f>
        <v/>
      </c>
      <c r="S238" s="26" t="str">
        <f aca="false">IF(Returns!$O238=1,Returns!J238,"")</f>
        <v/>
      </c>
      <c r="T238" s="26" t="n">
        <f aca="false">IF(Returns!$O238=1,"",Returns!K238)</f>
        <v>0.00232918557234539</v>
      </c>
    </row>
    <row r="239" customFormat="false" ht="15" hidden="false" customHeight="false" outlineLevel="0" collapsed="false">
      <c r="A239" s="25" t="n">
        <f aca="false">Returns!A239</f>
        <v>44056</v>
      </c>
      <c r="B239" s="26" t="n">
        <f aca="false">IF(Returns!$O239=1,"",Returns!B239)</f>
        <v>0.0107448552176288</v>
      </c>
      <c r="C239" s="26" t="n">
        <f aca="false">IF(Returns!$O239=1,"",Returns!C239)</f>
        <v>-0.0138212195121952</v>
      </c>
      <c r="D239" s="26" t="n">
        <f aca="false">IF(Returns!$O239=1,"",Returns!D239)</f>
        <v>0.0297716150081566</v>
      </c>
      <c r="E239" s="26" t="n">
        <f aca="false">IF(Returns!$O239=1,"",Returns!E239)</f>
        <v>-0.0283449151963346</v>
      </c>
      <c r="F239" s="26" t="n">
        <f aca="false">IF(Returns!$O239=1,"",Returns!F239)</f>
        <v>0.00455320293316386</v>
      </c>
      <c r="G239" s="26" t="n">
        <f aca="false">IF(Returns!$O239=1,"",Returns!G239)</f>
        <v>-0.0593509393680616</v>
      </c>
      <c r="H239" s="26" t="n">
        <f aca="false">IF(Returns!$O239=1,"",Returns!H239)</f>
        <v>-0.0272572402044293</v>
      </c>
      <c r="I239" s="26" t="n">
        <f aca="false">IF(Returns!$O239=1,"",Returns!I239)</f>
        <v>-0.0171296942347683</v>
      </c>
      <c r="J239" s="26" t="n">
        <f aca="false">IF(Returns!$O239=1,"",Returns!J239)</f>
        <v>-0.0186992195121951</v>
      </c>
      <c r="K239" s="26" t="str">
        <f aca="false">IF(Returns!$O239=1,Returns!B239,"")</f>
        <v/>
      </c>
      <c r="L239" s="26" t="str">
        <f aca="false">IF(Returns!$O239=1,Returns!C239,"")</f>
        <v/>
      </c>
      <c r="M239" s="26" t="str">
        <f aca="false">IF(Returns!$O239=1,Returns!D239,"")</f>
        <v/>
      </c>
      <c r="N239" s="26" t="str">
        <f aca="false">IF(Returns!$O239=1,Returns!E239,"")</f>
        <v/>
      </c>
      <c r="O239" s="26" t="str">
        <f aca="false">IF(Returns!$O239=1,Returns!F239,"")</f>
        <v/>
      </c>
      <c r="P239" s="26" t="str">
        <f aca="false">IF(Returns!$O239=1,Returns!G239,"")</f>
        <v/>
      </c>
      <c r="Q239" s="26" t="str">
        <f aca="false">IF(Returns!$O239=1,Returns!H239,"")</f>
        <v/>
      </c>
      <c r="R239" s="26" t="str">
        <f aca="false">IF(Returns!$O239=1,Returns!I239,"")</f>
        <v/>
      </c>
      <c r="S239" s="26" t="str">
        <f aca="false">IF(Returns!$O239=1,Returns!J239,"")</f>
        <v/>
      </c>
      <c r="T239" s="26" t="n">
        <f aca="false">IF(Returns!$O239=1,"",Returns!K239)</f>
        <v>-0.0132815060965594</v>
      </c>
    </row>
    <row r="240" customFormat="false" ht="15" hidden="false" customHeight="false" outlineLevel="0" collapsed="false">
      <c r="A240" s="25" t="n">
        <f aca="false">Returns!A240</f>
        <v>44057</v>
      </c>
      <c r="B240" s="26" t="n">
        <f aca="false">IF(Returns!$O240=1,"",Returns!B240)</f>
        <v>0</v>
      </c>
      <c r="C240" s="26" t="n">
        <f aca="false">IF(Returns!$O240=1,"",Returns!C240)</f>
        <v>-0.00131891189768441</v>
      </c>
      <c r="D240" s="26" t="n">
        <f aca="false">IF(Returns!$O240=1,"",Returns!D240)</f>
        <v>-0.00396039603960396</v>
      </c>
      <c r="E240" s="26" t="n">
        <f aca="false">IF(Returns!$O240=1,"",Returns!E240)</f>
        <v>0.0114239494084047</v>
      </c>
      <c r="F240" s="26" t="n">
        <f aca="false">IF(Returns!$O240=1,"",Returns!F240)</f>
        <v>-0.0300283405639846</v>
      </c>
      <c r="G240" s="26" t="n">
        <f aca="false">IF(Returns!$O240=1,"",Returns!G240)</f>
        <v>0.0290512469790629</v>
      </c>
      <c r="H240" s="26" t="n">
        <f aca="false">IF(Returns!$O240=1,"",Returns!H240)</f>
        <v>-0.00744308231173374</v>
      </c>
      <c r="I240" s="26" t="n">
        <f aca="false">IF(Returns!$O240=1,"",Returns!I240)</f>
        <v>0.0116897092894623</v>
      </c>
      <c r="J240" s="26" t="n">
        <f aca="false">IF(Returns!$O240=1,"",Returns!J240)</f>
        <v>0.0165700088341345</v>
      </c>
      <c r="K240" s="26" t="str">
        <f aca="false">IF(Returns!$O240=1,Returns!B240,"")</f>
        <v/>
      </c>
      <c r="L240" s="26" t="str">
        <f aca="false">IF(Returns!$O240=1,Returns!C240,"")</f>
        <v/>
      </c>
      <c r="M240" s="26" t="str">
        <f aca="false">IF(Returns!$O240=1,Returns!D240,"")</f>
        <v/>
      </c>
      <c r="N240" s="26" t="str">
        <f aca="false">IF(Returns!$O240=1,Returns!E240,"")</f>
        <v/>
      </c>
      <c r="O240" s="26" t="str">
        <f aca="false">IF(Returns!$O240=1,Returns!F240,"")</f>
        <v/>
      </c>
      <c r="P240" s="26" t="str">
        <f aca="false">IF(Returns!$O240=1,Returns!G240,"")</f>
        <v/>
      </c>
      <c r="Q240" s="26" t="str">
        <f aca="false">IF(Returns!$O240=1,Returns!H240,"")</f>
        <v/>
      </c>
      <c r="R240" s="26" t="str">
        <f aca="false">IF(Returns!$O240=1,Returns!I240,"")</f>
        <v/>
      </c>
      <c r="S240" s="26" t="str">
        <f aca="false">IF(Returns!$O240=1,Returns!J240,"")</f>
        <v/>
      </c>
      <c r="T240" s="26" t="n">
        <f aca="false">IF(Returns!$O240=1,"",Returns!K240)</f>
        <v>0.00288713152200642</v>
      </c>
    </row>
    <row r="241" customFormat="false" ht="15" hidden="false" customHeight="false" outlineLevel="0" collapsed="false">
      <c r="A241" s="25" t="n">
        <f aca="false">Returns!A241</f>
        <v>44060</v>
      </c>
      <c r="B241" s="26" t="n">
        <f aca="false">IF(Returns!$O241=1,"",Returns!B241)</f>
        <v>-0.0473874054054054</v>
      </c>
      <c r="C241" s="26" t="n">
        <f aca="false">IF(Returns!$O241=1,"",Returns!C241)</f>
        <v>-0.0407792946617486</v>
      </c>
      <c r="D241" s="26" t="n">
        <f aca="false">IF(Returns!$O241=1,"",Returns!D241)</f>
        <v>0.0246520874751492</v>
      </c>
      <c r="E241" s="26" t="n">
        <f aca="false">IF(Returns!$O241=1,"",Returns!E241)</f>
        <v>-0.0375151457234713</v>
      </c>
      <c r="F241" s="26" t="n">
        <f aca="false">IF(Returns!$O241=1,"",Returns!F241)</f>
        <v>-0.0327102479566578</v>
      </c>
      <c r="G241" s="26" t="n">
        <f aca="false">IF(Returns!$O241=1,"",Returns!G241)</f>
        <v>-0.0361711513012792</v>
      </c>
      <c r="H241" s="26" t="n">
        <f aca="false">IF(Returns!$O241=1,"",Returns!H241)</f>
        <v>-0.00308778120864583</v>
      </c>
      <c r="I241" s="26" t="n">
        <f aca="false">IF(Returns!$O241=1,"",Returns!I241)</f>
        <v>-0.0140757183145853</v>
      </c>
      <c r="J241" s="26" t="n">
        <f aca="false">IF(Returns!$O241=1,"",Returns!J241)</f>
        <v>0.0143439613478065</v>
      </c>
      <c r="K241" s="26" t="str">
        <f aca="false">IF(Returns!$O241=1,Returns!B241,"")</f>
        <v/>
      </c>
      <c r="L241" s="26" t="str">
        <f aca="false">IF(Returns!$O241=1,Returns!C241,"")</f>
        <v/>
      </c>
      <c r="M241" s="26" t="str">
        <f aca="false">IF(Returns!$O241=1,Returns!D241,"")</f>
        <v/>
      </c>
      <c r="N241" s="26" t="str">
        <f aca="false">IF(Returns!$O241=1,Returns!E241,"")</f>
        <v/>
      </c>
      <c r="O241" s="26" t="str">
        <f aca="false">IF(Returns!$O241=1,Returns!F241,"")</f>
        <v/>
      </c>
      <c r="P241" s="26" t="str">
        <f aca="false">IF(Returns!$O241=1,Returns!G241,"")</f>
        <v/>
      </c>
      <c r="Q241" s="26" t="str">
        <f aca="false">IF(Returns!$O241=1,Returns!H241,"")</f>
        <v/>
      </c>
      <c r="R241" s="26" t="str">
        <f aca="false">IF(Returns!$O241=1,Returns!I241,"")</f>
        <v/>
      </c>
      <c r="S241" s="26" t="str">
        <f aca="false">IF(Returns!$O241=1,Returns!J241,"")</f>
        <v/>
      </c>
      <c r="T241" s="26" t="n">
        <f aca="false">IF(Returns!$O241=1,"",Returns!K241)</f>
        <v>-0.0191922995276486</v>
      </c>
    </row>
    <row r="242" customFormat="false" ht="15" hidden="false" customHeight="false" outlineLevel="0" collapsed="false">
      <c r="A242" s="25" t="n">
        <f aca="false">Returns!A242</f>
        <v>44061</v>
      </c>
      <c r="B242" s="26" t="n">
        <f aca="false">IF(Returns!$O242=1,"",Returns!B242)</f>
        <v>0.061849821483825</v>
      </c>
      <c r="C242" s="26" t="n">
        <f aca="false">IF(Returns!$O242=1,"",Returns!C242)</f>
        <v>0.0636832863393584</v>
      </c>
      <c r="D242" s="26" t="n">
        <f aca="false">IF(Returns!$O242=1,"",Returns!D242)</f>
        <v>0.00388051998447803</v>
      </c>
      <c r="E242" s="26" t="n">
        <f aca="false">IF(Returns!$O242=1,"",Returns!E242)</f>
        <v>0.0393964157712401</v>
      </c>
      <c r="F242" s="26" t="n">
        <f aca="false">IF(Returns!$O242=1,"",Returns!F242)</f>
        <v>0.0169081498454569</v>
      </c>
      <c r="G242" s="26" t="n">
        <f aca="false">IF(Returns!$O242=1,"",Returns!G242)</f>
        <v>-0.000457665903890181</v>
      </c>
      <c r="H242" s="26" t="n">
        <f aca="false">IF(Returns!$O242=1,"",Returns!H242)</f>
        <v>0.0185840707964602</v>
      </c>
      <c r="I242" s="26" t="n">
        <f aca="false">IF(Returns!$O242=1,"",Returns!I242)</f>
        <v>0.0326017761766242</v>
      </c>
      <c r="J242" s="26" t="n">
        <f aca="false">IF(Returns!$O242=1,"",Returns!J242)</f>
        <v>0.0133376345813916</v>
      </c>
      <c r="K242" s="26" t="str">
        <f aca="false">IF(Returns!$O242=1,Returns!B242,"")</f>
        <v/>
      </c>
      <c r="L242" s="26" t="str">
        <f aca="false">IF(Returns!$O242=1,Returns!C242,"")</f>
        <v/>
      </c>
      <c r="M242" s="26" t="str">
        <f aca="false">IF(Returns!$O242=1,Returns!D242,"")</f>
        <v/>
      </c>
      <c r="N242" s="26" t="str">
        <f aca="false">IF(Returns!$O242=1,Returns!E242,"")</f>
        <v/>
      </c>
      <c r="O242" s="26" t="str">
        <f aca="false">IF(Returns!$O242=1,Returns!F242,"")</f>
        <v/>
      </c>
      <c r="P242" s="26" t="str">
        <f aca="false">IF(Returns!$O242=1,Returns!G242,"")</f>
        <v/>
      </c>
      <c r="Q242" s="26" t="str">
        <f aca="false">IF(Returns!$O242=1,Returns!H242,"")</f>
        <v/>
      </c>
      <c r="R242" s="26" t="str">
        <f aca="false">IF(Returns!$O242=1,Returns!I242,"")</f>
        <v/>
      </c>
      <c r="S242" s="26" t="str">
        <f aca="false">IF(Returns!$O242=1,Returns!J242,"")</f>
        <v/>
      </c>
      <c r="T242" s="26" t="n">
        <f aca="false">IF(Returns!$O242=1,"",Returns!K242)</f>
        <v>0.0277537787861049</v>
      </c>
    </row>
    <row r="243" customFormat="false" ht="15" hidden="false" customHeight="false" outlineLevel="0" collapsed="false">
      <c r="A243" s="25" t="n">
        <f aca="false">Returns!A243</f>
        <v>44062</v>
      </c>
      <c r="B243" s="26" t="n">
        <f aca="false">IF(Returns!$O243=1,"",Returns!B243)</f>
        <v>-0.0381189711100637</v>
      </c>
      <c r="C243" s="26" t="n">
        <f aca="false">IF(Returns!$O243=1,"",Returns!C243)</f>
        <v>-0.0360841262135923</v>
      </c>
      <c r="D243" s="26" t="n">
        <f aca="false">IF(Returns!$O243=1,"",Returns!D243)</f>
        <v>-0.00386551975780747</v>
      </c>
      <c r="E243" s="26" t="n">
        <f aca="false">IF(Returns!$O243=1,"",Returns!E243)</f>
        <v>-0.0118951617699661</v>
      </c>
      <c r="F243" s="26" t="n">
        <f aca="false">IF(Returns!$O243=1,"",Returns!F243)</f>
        <v>-0.0276127710546583</v>
      </c>
      <c r="G243" s="26" t="n">
        <f aca="false">IF(Returns!$O243=1,"",Returns!G243)</f>
        <v>-0.0128205586080585</v>
      </c>
      <c r="H243" s="26" t="n">
        <f aca="false">IF(Returns!$O243=1,"",Returns!H243)</f>
        <v>-0.00564730668983493</v>
      </c>
      <c r="I243" s="26" t="n">
        <f aca="false">IF(Returns!$O243=1,"",Returns!I243)</f>
        <v>-0.0423028960321992</v>
      </c>
      <c r="J243" s="26" t="n">
        <f aca="false">IF(Returns!$O243=1,"",Returns!J243)</f>
        <v>-0.0106248333234247</v>
      </c>
      <c r="K243" s="26" t="str">
        <f aca="false">IF(Returns!$O243=1,Returns!B243,"")</f>
        <v/>
      </c>
      <c r="L243" s="26" t="str">
        <f aca="false">IF(Returns!$O243=1,Returns!C243,"")</f>
        <v/>
      </c>
      <c r="M243" s="26" t="str">
        <f aca="false">IF(Returns!$O243=1,Returns!D243,"")</f>
        <v/>
      </c>
      <c r="N243" s="26" t="str">
        <f aca="false">IF(Returns!$O243=1,Returns!E243,"")</f>
        <v/>
      </c>
      <c r="O243" s="26" t="str">
        <f aca="false">IF(Returns!$O243=1,Returns!F243,"")</f>
        <v/>
      </c>
      <c r="P243" s="26" t="str">
        <f aca="false">IF(Returns!$O243=1,Returns!G243,"")</f>
        <v/>
      </c>
      <c r="Q243" s="26" t="str">
        <f aca="false">IF(Returns!$O243=1,Returns!H243,"")</f>
        <v/>
      </c>
      <c r="R243" s="26" t="str">
        <f aca="false">IF(Returns!$O243=1,Returns!I243,"")</f>
        <v/>
      </c>
      <c r="S243" s="26" t="str">
        <f aca="false">IF(Returns!$O243=1,Returns!J243,"")</f>
        <v/>
      </c>
      <c r="T243" s="26" t="n">
        <f aca="false">IF(Returns!$O243=1,"",Returns!K243)</f>
        <v>-0.0209969049510672</v>
      </c>
    </row>
    <row r="244" customFormat="false" ht="15" hidden="false" customHeight="false" outlineLevel="0" collapsed="false">
      <c r="A244" s="25" t="n">
        <f aca="false">Returns!A244</f>
        <v>44063</v>
      </c>
      <c r="B244" s="26" t="n">
        <f aca="false">IF(Returns!$O244=1,"",Returns!B244)</f>
        <v>-0.0161110925925926</v>
      </c>
      <c r="C244" s="26" t="n">
        <f aca="false">IF(Returns!$O244=1,"",Returns!C244)</f>
        <v>0.0464999488584865</v>
      </c>
      <c r="D244" s="26" t="n">
        <f aca="false">IF(Returns!$O244=1,"",Returns!D244)</f>
        <v>0.0159099728366316</v>
      </c>
      <c r="E244" s="26" t="n">
        <f aca="false">IF(Returns!$O244=1,"",Returns!E244)</f>
        <v>0.0189757404193323</v>
      </c>
      <c r="F244" s="26" t="n">
        <f aca="false">IF(Returns!$O244=1,"",Returns!F244)</f>
        <v>0.00702291354650675</v>
      </c>
      <c r="G244" s="26" t="n">
        <f aca="false">IF(Returns!$O244=1,"",Returns!G244)</f>
        <v>0.0389610871503285</v>
      </c>
      <c r="H244" s="26" t="n">
        <f aca="false">IF(Returns!$O244=1,"",Returns!H244)</f>
        <v>-0.00698990856225024</v>
      </c>
      <c r="I244" s="26" t="n">
        <f aca="false">IF(Returns!$O244=1,"",Returns!I244)</f>
        <v>0.00732598489924841</v>
      </c>
      <c r="J244" s="26" t="n">
        <f aca="false">IF(Returns!$O244=1,"",Returns!J244)</f>
        <v>0.00897582960371568</v>
      </c>
      <c r="K244" s="26" t="str">
        <f aca="false">IF(Returns!$O244=1,Returns!B244,"")</f>
        <v/>
      </c>
      <c r="L244" s="26" t="str">
        <f aca="false">IF(Returns!$O244=1,Returns!C244,"")</f>
        <v/>
      </c>
      <c r="M244" s="26" t="str">
        <f aca="false">IF(Returns!$O244=1,Returns!D244,"")</f>
        <v/>
      </c>
      <c r="N244" s="26" t="str">
        <f aca="false">IF(Returns!$O244=1,Returns!E244,"")</f>
        <v/>
      </c>
      <c r="O244" s="26" t="str">
        <f aca="false">IF(Returns!$O244=1,Returns!F244,"")</f>
        <v/>
      </c>
      <c r="P244" s="26" t="str">
        <f aca="false">IF(Returns!$O244=1,Returns!G244,"")</f>
        <v/>
      </c>
      <c r="Q244" s="26" t="str">
        <f aca="false">IF(Returns!$O244=1,Returns!H244,"")</f>
        <v/>
      </c>
      <c r="R244" s="26" t="str">
        <f aca="false">IF(Returns!$O244=1,Returns!I244,"")</f>
        <v/>
      </c>
      <c r="S244" s="26" t="str">
        <f aca="false">IF(Returns!$O244=1,Returns!J244,"")</f>
        <v/>
      </c>
      <c r="T244" s="26" t="n">
        <f aca="false">IF(Returns!$O244=1,"",Returns!K244)</f>
        <v>0.0133967195732674</v>
      </c>
    </row>
    <row r="245" customFormat="false" ht="15" hidden="false" customHeight="false" outlineLevel="0" collapsed="false">
      <c r="A245" s="25" t="n">
        <f aca="false">Returns!A245</f>
        <v>44064</v>
      </c>
      <c r="B245" s="26" t="n">
        <f aca="false">IF(Returns!$O245=1,"",Returns!B245)</f>
        <v>0.00131752303185539</v>
      </c>
      <c r="C245" s="26" t="n">
        <f aca="false">IF(Returns!$O245=1,"",Returns!C245)</f>
        <v>-0.021976274207109</v>
      </c>
      <c r="D245" s="26" t="n">
        <f aca="false">IF(Returns!$O245=1,"",Returns!D245)</f>
        <v>-0.00267375859434682</v>
      </c>
      <c r="E245" s="26" t="n">
        <f aca="false">IF(Returns!$O245=1,"",Returns!E245)</f>
        <v>-0.0194232683104378</v>
      </c>
      <c r="F245" s="26" t="n">
        <f aca="false">IF(Returns!$O245=1,"",Returns!F245)</f>
        <v>0.00121281486644986</v>
      </c>
      <c r="G245" s="26" t="n">
        <f aca="false">IF(Returns!$O245=1,"",Returns!G245)</f>
        <v>-0.0111607142857143</v>
      </c>
      <c r="H245" s="26" t="n">
        <f aca="false">IF(Returns!$O245=1,"",Returns!H245)</f>
        <v>-0.00747914650241965</v>
      </c>
      <c r="I245" s="26" t="n">
        <f aca="false">IF(Returns!$O245=1,"",Returns!I245)</f>
        <v>-0.0117647238267301</v>
      </c>
      <c r="J245" s="26" t="n">
        <f aca="false">IF(Returns!$O245=1,"",Returns!J245)</f>
        <v>-0.0119142174437773</v>
      </c>
      <c r="K245" s="26" t="str">
        <f aca="false">IF(Returns!$O245=1,Returns!B245,"")</f>
        <v/>
      </c>
      <c r="L245" s="26" t="str">
        <f aca="false">IF(Returns!$O245=1,Returns!C245,"")</f>
        <v/>
      </c>
      <c r="M245" s="26" t="str">
        <f aca="false">IF(Returns!$O245=1,Returns!D245,"")</f>
        <v/>
      </c>
      <c r="N245" s="26" t="str">
        <f aca="false">IF(Returns!$O245=1,Returns!E245,"")</f>
        <v/>
      </c>
      <c r="O245" s="26" t="str">
        <f aca="false">IF(Returns!$O245=1,Returns!F245,"")</f>
        <v/>
      </c>
      <c r="P245" s="26" t="str">
        <f aca="false">IF(Returns!$O245=1,Returns!G245,"")</f>
        <v/>
      </c>
      <c r="Q245" s="26" t="str">
        <f aca="false">IF(Returns!$O245=1,Returns!H245,"")</f>
        <v/>
      </c>
      <c r="R245" s="26" t="str">
        <f aca="false">IF(Returns!$O245=1,Returns!I245,"")</f>
        <v/>
      </c>
      <c r="S245" s="26" t="str">
        <f aca="false">IF(Returns!$O245=1,Returns!J245,"")</f>
        <v/>
      </c>
      <c r="T245" s="26" t="n">
        <f aca="false">IF(Returns!$O245=1,"",Returns!K245)</f>
        <v>-0.00931797391913664</v>
      </c>
    </row>
    <row r="246" customFormat="false" ht="15" hidden="false" customHeight="false" outlineLevel="0" collapsed="false">
      <c r="A246" s="25" t="n">
        <f aca="false">Returns!A246</f>
        <v>44067</v>
      </c>
      <c r="B246" s="26" t="n">
        <f aca="false">IF(Returns!$O246=1,"",Returns!B246)</f>
        <v>-0.00375941722256734</v>
      </c>
      <c r="C246" s="26" t="n">
        <f aca="false">IF(Returns!$O246=1,"",Returns!C246)</f>
        <v>-0.0011481875955982</v>
      </c>
      <c r="D246" s="26" t="n">
        <f aca="false">IF(Returns!$O246=1,"",Returns!D246)</f>
        <v>0.0180007270011211</v>
      </c>
      <c r="E246" s="26" t="n">
        <f aca="false">IF(Returns!$O246=1,"",Returns!E246)</f>
        <v>0.00142944657076871</v>
      </c>
      <c r="F246" s="26" t="n">
        <f aca="false">IF(Returns!$O246=1,"",Returns!F246)</f>
        <v>-0.0066625684457079</v>
      </c>
      <c r="G246" s="26" t="n">
        <f aca="false">IF(Returns!$O246=1,"",Returns!G246)</f>
        <v>-0.00270880361173809</v>
      </c>
      <c r="H246" s="26" t="n">
        <f aca="false">IF(Returns!$O246=1,"",Returns!H246)</f>
        <v>0.0181737596708227</v>
      </c>
      <c r="I246" s="26" t="n">
        <f aca="false">IF(Returns!$O246=1,"",Returns!I246)</f>
        <v>-0.00735928512808304</v>
      </c>
      <c r="J246" s="26" t="n">
        <f aca="false">IF(Returns!$O246=1,"",Returns!J246)</f>
        <v>0.0122186171669032</v>
      </c>
      <c r="K246" s="26" t="str">
        <f aca="false">IF(Returns!$O246=1,Returns!B246,"")</f>
        <v/>
      </c>
      <c r="L246" s="26" t="str">
        <f aca="false">IF(Returns!$O246=1,Returns!C246,"")</f>
        <v/>
      </c>
      <c r="M246" s="26" t="str">
        <f aca="false">IF(Returns!$O246=1,Returns!D246,"")</f>
        <v/>
      </c>
      <c r="N246" s="26" t="str">
        <f aca="false">IF(Returns!$O246=1,Returns!E246,"")</f>
        <v/>
      </c>
      <c r="O246" s="26" t="str">
        <f aca="false">IF(Returns!$O246=1,Returns!F246,"")</f>
        <v/>
      </c>
      <c r="P246" s="26" t="str">
        <f aca="false">IF(Returns!$O246=1,Returns!G246,"")</f>
        <v/>
      </c>
      <c r="Q246" s="26" t="str">
        <f aca="false">IF(Returns!$O246=1,Returns!H246,"")</f>
        <v/>
      </c>
      <c r="R246" s="26" t="str">
        <f aca="false">IF(Returns!$O246=1,Returns!I246,"")</f>
        <v/>
      </c>
      <c r="S246" s="26" t="str">
        <f aca="false">IF(Returns!$O246=1,Returns!J246,"")</f>
        <v/>
      </c>
      <c r="T246" s="26" t="n">
        <f aca="false">IF(Returns!$O246=1,"",Returns!K246)</f>
        <v>0.0031315876006579</v>
      </c>
    </row>
    <row r="247" customFormat="false" ht="15" hidden="false" customHeight="false" outlineLevel="0" collapsed="false">
      <c r="A247" s="25" t="n">
        <f aca="false">Returns!A247</f>
        <v>44068</v>
      </c>
      <c r="B247" s="26" t="n">
        <f aca="false">IF(Returns!$O247=1,"",Returns!B247)</f>
        <v>0.0188679245283019</v>
      </c>
      <c r="C247" s="26" t="n">
        <f aca="false">IF(Returns!$O247=1,"",Returns!C247)</f>
        <v>0.0155994096354388</v>
      </c>
      <c r="D247" s="26" t="n">
        <f aca="false">IF(Returns!$O247=1,"",Returns!D247)</f>
        <v>-0.0169300601956357</v>
      </c>
      <c r="E247" s="26" t="n">
        <f aca="false">IF(Returns!$O247=1,"",Returns!E247)</f>
        <v>0.00265083599814786</v>
      </c>
      <c r="F247" s="26" t="n">
        <f aca="false">IF(Returns!$O247=1,"",Returns!F247)</f>
        <v>0.00609750545261534</v>
      </c>
      <c r="G247" s="26" t="n">
        <f aca="false">IF(Returns!$O247=1,"",Returns!G247)</f>
        <v>-0.0208239474875509</v>
      </c>
      <c r="H247" s="26" t="n">
        <f aca="false">IF(Returns!$O247=1,"",Returns!H247)</f>
        <v>-0.0043534176906147</v>
      </c>
      <c r="I247" s="26" t="n">
        <f aca="false">IF(Returns!$O247=1,"",Returns!I247)</f>
        <v>-0.00675969188168613</v>
      </c>
      <c r="J247" s="26" t="n">
        <f aca="false">IF(Returns!$O247=1,"",Returns!J247)</f>
        <v>-0.0212833548488462</v>
      </c>
      <c r="K247" s="26" t="str">
        <f aca="false">IF(Returns!$O247=1,Returns!B247,"")</f>
        <v/>
      </c>
      <c r="L247" s="26" t="str">
        <f aca="false">IF(Returns!$O247=1,Returns!C247,"")</f>
        <v/>
      </c>
      <c r="M247" s="26" t="str">
        <f aca="false">IF(Returns!$O247=1,Returns!D247,"")</f>
        <v/>
      </c>
      <c r="N247" s="26" t="str">
        <f aca="false">IF(Returns!$O247=1,Returns!E247,"")</f>
        <v/>
      </c>
      <c r="O247" s="26" t="str">
        <f aca="false">IF(Returns!$O247=1,Returns!F247,"")</f>
        <v/>
      </c>
      <c r="P247" s="26" t="str">
        <f aca="false">IF(Returns!$O247=1,Returns!G247,"")</f>
        <v/>
      </c>
      <c r="Q247" s="26" t="str">
        <f aca="false">IF(Returns!$O247=1,Returns!H247,"")</f>
        <v/>
      </c>
      <c r="R247" s="26" t="str">
        <f aca="false">IF(Returns!$O247=1,Returns!I247,"")</f>
        <v/>
      </c>
      <c r="S247" s="26" t="str">
        <f aca="false">IF(Returns!$O247=1,Returns!J247,"")</f>
        <v/>
      </c>
      <c r="T247" s="26" t="n">
        <f aca="false">IF(Returns!$O247=1,"",Returns!K247)</f>
        <v>-0.00299275516553664</v>
      </c>
    </row>
    <row r="248" customFormat="false" ht="15" hidden="false" customHeight="false" outlineLevel="0" collapsed="false">
      <c r="A248" s="25" t="n">
        <f aca="false">Returns!A248</f>
        <v>44069</v>
      </c>
      <c r="B248" s="26" t="n">
        <f aca="false">IF(Returns!$O248=1,"",Returns!B248)</f>
        <v>0.00314811111111113</v>
      </c>
      <c r="C248" s="26" t="n">
        <f aca="false">IF(Returns!$O248=1,"",Returns!C248)</f>
        <v>-0.0218270489599507</v>
      </c>
      <c r="D248" s="26" t="n">
        <f aca="false">IF(Returns!$O248=1,"",Returns!D248)</f>
        <v>0.00191354771961527</v>
      </c>
      <c r="E248" s="26" t="n">
        <f aca="false">IF(Returns!$O248=1,"",Returns!E248)</f>
        <v>-0.0152532037930935</v>
      </c>
      <c r="F248" s="26" t="n">
        <f aca="false">IF(Returns!$O248=1,"",Returns!F248)</f>
        <v>-0.0266666986575493</v>
      </c>
      <c r="G248" s="26" t="n">
        <f aca="false">IF(Returns!$O248=1,"",Returns!G248)</f>
        <v>-0.00554780423244583</v>
      </c>
      <c r="H248" s="26" t="n">
        <f aca="false">IF(Returns!$O248=1,"",Returns!H248)</f>
        <v>-0.0284215991070572</v>
      </c>
      <c r="I248" s="26" t="n">
        <f aca="false">IF(Returns!$O248=1,"",Returns!I248)</f>
        <v>-0.0186607671473459</v>
      </c>
      <c r="J248" s="26" t="n">
        <f aca="false">IF(Returns!$O248=1,"",Returns!J248)</f>
        <v>0.00210972090408501</v>
      </c>
      <c r="K248" s="26" t="str">
        <f aca="false">IF(Returns!$O248=1,Returns!B248,"")</f>
        <v/>
      </c>
      <c r="L248" s="26" t="str">
        <f aca="false">IF(Returns!$O248=1,Returns!C248,"")</f>
        <v/>
      </c>
      <c r="M248" s="26" t="str">
        <f aca="false">IF(Returns!$O248=1,Returns!D248,"")</f>
        <v/>
      </c>
      <c r="N248" s="26" t="str">
        <f aca="false">IF(Returns!$O248=1,Returns!E248,"")</f>
        <v/>
      </c>
      <c r="O248" s="26" t="str">
        <f aca="false">IF(Returns!$O248=1,Returns!F248,"")</f>
        <v/>
      </c>
      <c r="P248" s="26" t="str">
        <f aca="false">IF(Returns!$O248=1,Returns!G248,"")</f>
        <v/>
      </c>
      <c r="Q248" s="26" t="str">
        <f aca="false">IF(Returns!$O248=1,Returns!H248,"")</f>
        <v/>
      </c>
      <c r="R248" s="26" t="str">
        <f aca="false">IF(Returns!$O248=1,Returns!I248,"")</f>
        <v/>
      </c>
      <c r="S248" s="26" t="str">
        <f aca="false">IF(Returns!$O248=1,Returns!J248,"")</f>
        <v/>
      </c>
      <c r="T248" s="26" t="n">
        <f aca="false">IF(Returns!$O248=1,"",Returns!K248)</f>
        <v>-0.0121339713514034</v>
      </c>
    </row>
    <row r="249" customFormat="false" ht="15" hidden="false" customHeight="false" outlineLevel="0" collapsed="false">
      <c r="A249" s="25" t="n">
        <f aca="false">Returns!A249</f>
        <v>44070</v>
      </c>
      <c r="B249" s="26" t="n">
        <f aca="false">IF(Returns!$O249=1,"",Returns!B249)</f>
        <v>0.0116300724249612</v>
      </c>
      <c r="C249" s="26" t="n">
        <f aca="false">IF(Returns!$O249=1,"",Returns!C249)</f>
        <v>-0.00363639681442629</v>
      </c>
      <c r="D249" s="26" t="n">
        <f aca="false">IF(Returns!$O249=1,"",Returns!D249)</f>
        <v>-0.00381970970206269</v>
      </c>
      <c r="E249" s="26" t="n">
        <f aca="false">IF(Returns!$O249=1,"",Returns!E249)</f>
        <v>0.0142503723358269</v>
      </c>
      <c r="F249" s="26" t="n">
        <f aca="false">IF(Returns!$O249=1,"",Returns!F249)</f>
        <v>0.00747203750721703</v>
      </c>
      <c r="G249" s="26" t="n">
        <f aca="false">IF(Returns!$O249=1,"",Returns!G249)</f>
        <v>-0.000464900046490024</v>
      </c>
      <c r="H249" s="26" t="n">
        <f aca="false">IF(Returns!$O249=1,"",Returns!H249)</f>
        <v>-0.00315027016877911</v>
      </c>
      <c r="I249" s="26" t="n">
        <f aca="false">IF(Returns!$O249=1,"",Returns!I249)</f>
        <v>-0.0129754223521862</v>
      </c>
      <c r="J249" s="26" t="n">
        <f aca="false">IF(Returns!$O249=1,"",Returns!J249)</f>
        <v>-0.0155465425101216</v>
      </c>
      <c r="K249" s="26" t="str">
        <f aca="false">IF(Returns!$O249=1,Returns!B249,"")</f>
        <v/>
      </c>
      <c r="L249" s="26" t="str">
        <f aca="false">IF(Returns!$O249=1,Returns!C249,"")</f>
        <v/>
      </c>
      <c r="M249" s="26" t="str">
        <f aca="false">IF(Returns!$O249=1,Returns!D249,"")</f>
        <v/>
      </c>
      <c r="N249" s="26" t="str">
        <f aca="false">IF(Returns!$O249=1,Returns!E249,"")</f>
        <v/>
      </c>
      <c r="O249" s="26" t="str">
        <f aca="false">IF(Returns!$O249=1,Returns!F249,"")</f>
        <v/>
      </c>
      <c r="P249" s="26" t="str">
        <f aca="false">IF(Returns!$O249=1,Returns!G249,"")</f>
        <v/>
      </c>
      <c r="Q249" s="26" t="str">
        <f aca="false">IF(Returns!$O249=1,Returns!H249,"")</f>
        <v/>
      </c>
      <c r="R249" s="26" t="str">
        <f aca="false">IF(Returns!$O249=1,Returns!I249,"")</f>
        <v/>
      </c>
      <c r="S249" s="26" t="str">
        <f aca="false">IF(Returns!$O249=1,Returns!J249,"")</f>
        <v/>
      </c>
      <c r="T249" s="26" t="n">
        <f aca="false">IF(Returns!$O249=1,"",Returns!K249)</f>
        <v>-0.000693417702895636</v>
      </c>
    </row>
    <row r="250" customFormat="false" ht="15" hidden="false" customHeight="false" outlineLevel="0" collapsed="false">
      <c r="A250" s="25" t="n">
        <f aca="false">Returns!A250</f>
        <v>44071</v>
      </c>
      <c r="B250" s="26" t="n">
        <f aca="false">IF(Returns!$O250=1,"",Returns!B250)</f>
        <v>0.0412409131613305</v>
      </c>
      <c r="C250" s="26" t="n">
        <f aca="false">IF(Returns!$O250=1,"",Returns!C250)</f>
        <v>0.0122761122943671</v>
      </c>
      <c r="D250" s="26" t="n">
        <f aca="false">IF(Returns!$O250=1,"",Returns!D250)</f>
        <v>0.00345092024539895</v>
      </c>
      <c r="E250" s="26" t="n">
        <f aca="false">IF(Returns!$O250=1,"",Returns!E250)</f>
        <v>0.0181225612273965</v>
      </c>
      <c r="F250" s="26" t="n">
        <f aca="false">IF(Returns!$O250=1,"",Returns!F250)</f>
        <v>0.0262669902141335</v>
      </c>
      <c r="G250" s="26" t="n">
        <f aca="false">IF(Returns!$O250=1,"",Returns!G250)</f>
        <v>0.0051163255813953</v>
      </c>
      <c r="H250" s="26" t="n">
        <f aca="false">IF(Returns!$O250=1,"",Returns!H250)</f>
        <v>0.0176072686230249</v>
      </c>
      <c r="I250" s="26" t="n">
        <f aca="false">IF(Returns!$O250=1,"",Returns!I250)</f>
        <v>0.015412488510026</v>
      </c>
      <c r="J250" s="26" t="n">
        <f aca="false">IF(Returns!$O250=1,"",Returns!J250)</f>
        <v>0.00509947351374462</v>
      </c>
      <c r="K250" s="26" t="str">
        <f aca="false">IF(Returns!$O250=1,Returns!B250,"")</f>
        <v/>
      </c>
      <c r="L250" s="26" t="str">
        <f aca="false">IF(Returns!$O250=1,Returns!C250,"")</f>
        <v/>
      </c>
      <c r="M250" s="26" t="str">
        <f aca="false">IF(Returns!$O250=1,Returns!D250,"")</f>
        <v/>
      </c>
      <c r="N250" s="26" t="str">
        <f aca="false">IF(Returns!$O250=1,Returns!E250,"")</f>
        <v/>
      </c>
      <c r="O250" s="26" t="str">
        <f aca="false">IF(Returns!$O250=1,Returns!F250,"")</f>
        <v/>
      </c>
      <c r="P250" s="26" t="str">
        <f aca="false">IF(Returns!$O250=1,Returns!G250,"")</f>
        <v/>
      </c>
      <c r="Q250" s="26" t="str">
        <f aca="false">IF(Returns!$O250=1,Returns!H250,"")</f>
        <v/>
      </c>
      <c r="R250" s="26" t="str">
        <f aca="false">IF(Returns!$O250=1,Returns!I250,"")</f>
        <v/>
      </c>
      <c r="S250" s="26" t="str">
        <f aca="false">IF(Returns!$O250=1,Returns!J250,"")</f>
        <v/>
      </c>
      <c r="T250" s="26" t="n">
        <f aca="false">IF(Returns!$O250=1,"",Returns!K250)</f>
        <v>0.0160658948189797</v>
      </c>
    </row>
    <row r="251" customFormat="false" ht="15" hidden="false" customHeight="false" outlineLevel="0" collapsed="false">
      <c r="A251" s="25" t="n">
        <f aca="false">Returns!A251</f>
        <v>44074</v>
      </c>
      <c r="B251" s="26" t="n">
        <f aca="false">IF(Returns!$O251=1,"",Returns!B251)</f>
        <v>-0.0164739218984591</v>
      </c>
      <c r="C251" s="26" t="n">
        <f aca="false">IF(Returns!$O251=1,"",Returns!C251)</f>
        <v>-0.0363815142576204</v>
      </c>
      <c r="D251" s="26" t="n">
        <f aca="false">IF(Returns!$O251=1,"",Returns!D251)</f>
        <v>-0.0160489109667559</v>
      </c>
      <c r="E251" s="26" t="n">
        <f aca="false">IF(Returns!$O251=1,"",Returns!E251)</f>
        <v>-0.0354000000000001</v>
      </c>
      <c r="F251" s="26" t="n">
        <f aca="false">IF(Returns!$O251=1,"",Returns!F251)</f>
        <v>-0.0283047122340827</v>
      </c>
      <c r="G251" s="26" t="n">
        <f aca="false">IF(Returns!$O251=1,"",Returns!G251)</f>
        <v>-0.0365571940510322</v>
      </c>
      <c r="H251" s="26" t="n">
        <f aca="false">IF(Returns!$O251=1,"",Returns!H251)</f>
        <v>-0.0288377094570671</v>
      </c>
      <c r="I251" s="26" t="n">
        <f aca="false">IF(Returns!$O251=1,"",Returns!I251)</f>
        <v>-0.0256696291841786</v>
      </c>
      <c r="J251" s="26" t="n">
        <f aca="false">IF(Returns!$O251=1,"",Returns!J251)</f>
        <v>-0.0232405572255502</v>
      </c>
      <c r="K251" s="26" t="str">
        <f aca="false">IF(Returns!$O251=1,Returns!B251,"")</f>
        <v/>
      </c>
      <c r="L251" s="26" t="str">
        <f aca="false">IF(Returns!$O251=1,Returns!C251,"")</f>
        <v/>
      </c>
      <c r="M251" s="26" t="str">
        <f aca="false">IF(Returns!$O251=1,Returns!D251,"")</f>
        <v/>
      </c>
      <c r="N251" s="26" t="str">
        <f aca="false">IF(Returns!$O251=1,Returns!E251,"")</f>
        <v/>
      </c>
      <c r="O251" s="26" t="str">
        <f aca="false">IF(Returns!$O251=1,Returns!F251,"")</f>
        <v/>
      </c>
      <c r="P251" s="26" t="str">
        <f aca="false">IF(Returns!$O251=1,Returns!G251,"")</f>
        <v/>
      </c>
      <c r="Q251" s="26" t="str">
        <f aca="false">IF(Returns!$O251=1,Returns!H251,"")</f>
        <v/>
      </c>
      <c r="R251" s="26" t="str">
        <f aca="false">IF(Returns!$O251=1,Returns!I251,"")</f>
        <v/>
      </c>
      <c r="S251" s="26" t="str">
        <f aca="false">IF(Returns!$O251=1,Returns!J251,"")</f>
        <v/>
      </c>
      <c r="T251" s="26" t="n">
        <f aca="false">IF(Returns!$O251=1,"",Returns!K251)</f>
        <v>-0.0274349054749718</v>
      </c>
    </row>
    <row r="252" customFormat="false" ht="15" hidden="false" customHeight="false" outlineLevel="0" collapsed="false">
      <c r="A252" s="25" t="n">
        <f aca="false">Returns!A252</f>
        <v>44075</v>
      </c>
      <c r="B252" s="26" t="n">
        <f aca="false">IF(Returns!$O252=1,"",Returns!B252)</f>
        <v>0.0490021391482918</v>
      </c>
      <c r="C252" s="26" t="n">
        <f aca="false">IF(Returns!$O252=1,"",Returns!C252)</f>
        <v>0.0212584693877551</v>
      </c>
      <c r="D252" s="26" t="n">
        <f aca="false">IF(Returns!$O252=1,"",Returns!D252)</f>
        <v>0.0132038834951456</v>
      </c>
      <c r="E252" s="26" t="n">
        <f aca="false">IF(Returns!$O252=1,"",Returns!E252)</f>
        <v>0.0449927845739166</v>
      </c>
      <c r="F252" s="26" t="n">
        <f aca="false">IF(Returns!$O252=1,"",Returns!F252)</f>
        <v>0.0226215953103461</v>
      </c>
      <c r="G252" s="26" t="n">
        <f aca="false">IF(Returns!$O252=1,"",Returns!G252)</f>
        <v>0.0600384245917387</v>
      </c>
      <c r="H252" s="26" t="n">
        <f aca="false">IF(Returns!$O252=1,"",Returns!H252)</f>
        <v>0.044769394461827</v>
      </c>
      <c r="I252" s="26" t="n">
        <f aca="false">IF(Returns!$O252=1,"",Returns!I252)</f>
        <v>0.0123710990623775</v>
      </c>
      <c r="J252" s="26" t="n">
        <f aca="false">IF(Returns!$O252=1,"",Returns!J252)</f>
        <v>0.0348525134048259</v>
      </c>
      <c r="K252" s="26" t="str">
        <f aca="false">IF(Returns!$O252=1,Returns!B252,"")</f>
        <v/>
      </c>
      <c r="L252" s="26" t="str">
        <f aca="false">IF(Returns!$O252=1,Returns!C252,"")</f>
        <v/>
      </c>
      <c r="M252" s="26" t="str">
        <f aca="false">IF(Returns!$O252=1,Returns!D252,"")</f>
        <v/>
      </c>
      <c r="N252" s="26" t="str">
        <f aca="false">IF(Returns!$O252=1,Returns!E252,"")</f>
        <v/>
      </c>
      <c r="O252" s="26" t="str">
        <f aca="false">IF(Returns!$O252=1,Returns!F252,"")</f>
        <v/>
      </c>
      <c r="P252" s="26" t="str">
        <f aca="false">IF(Returns!$O252=1,Returns!G252,"")</f>
        <v/>
      </c>
      <c r="Q252" s="26" t="str">
        <f aca="false">IF(Returns!$O252=1,Returns!H252,"")</f>
        <v/>
      </c>
      <c r="R252" s="26" t="str">
        <f aca="false">IF(Returns!$O252=1,Returns!I252,"")</f>
        <v/>
      </c>
      <c r="S252" s="26" t="str">
        <f aca="false">IF(Returns!$O252=1,Returns!J252,"")</f>
        <v/>
      </c>
      <c r="T252" s="26" t="n">
        <f aca="false">IF(Returns!$O252=1,"",Returns!K252)</f>
        <v>0.0336789226040249</v>
      </c>
    </row>
    <row r="253" customFormat="false" ht="15" hidden="false" customHeight="false" outlineLevel="0" collapsed="false">
      <c r="A253" s="25" t="n">
        <f aca="false">Returns!A253</f>
        <v>44076</v>
      </c>
      <c r="B253" s="26" t="n">
        <f aca="false">IF(Returns!$O253=1,"",Returns!B253)</f>
        <v>0.00883302206273195</v>
      </c>
      <c r="C253" s="26" t="n">
        <f aca="false">IF(Returns!$O253=1,"",Returns!C253)</f>
        <v>-0.00133218988616801</v>
      </c>
      <c r="D253" s="26" t="n">
        <f aca="false">IF(Returns!$O253=1,"",Returns!D253)</f>
        <v>-0.0268302414718283</v>
      </c>
      <c r="E253" s="26" t="n">
        <f aca="false">IF(Returns!$O253=1,"",Returns!E253)</f>
        <v>0.0128967653612395</v>
      </c>
      <c r="F253" s="26" t="n">
        <f aca="false">IF(Returns!$O253=1,"",Returns!F253)</f>
        <v>-0.0133333341432291</v>
      </c>
      <c r="G253" s="26" t="n">
        <f aca="false">IF(Returns!$O253=1,"",Returns!G253)</f>
        <v>-0.00543719981875845</v>
      </c>
      <c r="H253" s="26" t="n">
        <f aca="false">IF(Returns!$O253=1,"",Returns!H253)</f>
        <v>-0.00306086562917063</v>
      </c>
      <c r="I253" s="26" t="n">
        <f aca="false">IF(Returns!$O253=1,"",Returns!I253)</f>
        <v>-0.000452526434374656</v>
      </c>
      <c r="J253" s="26" t="n">
        <f aca="false">IF(Returns!$O253=1,"",Returns!J253)</f>
        <v>-0.00712432017889642</v>
      </c>
      <c r="K253" s="26" t="str">
        <f aca="false">IF(Returns!$O253=1,Returns!B253,"")</f>
        <v/>
      </c>
      <c r="L253" s="26" t="str">
        <f aca="false">IF(Returns!$O253=1,Returns!C253,"")</f>
        <v/>
      </c>
      <c r="M253" s="26" t="str">
        <f aca="false">IF(Returns!$O253=1,Returns!D253,"")</f>
        <v/>
      </c>
      <c r="N253" s="26" t="str">
        <f aca="false">IF(Returns!$O253=1,Returns!E253,"")</f>
        <v/>
      </c>
      <c r="O253" s="26" t="str">
        <f aca="false">IF(Returns!$O253=1,Returns!F253,"")</f>
        <v/>
      </c>
      <c r="P253" s="26" t="str">
        <f aca="false">IF(Returns!$O253=1,Returns!G253,"")</f>
        <v/>
      </c>
      <c r="Q253" s="26" t="str">
        <f aca="false">IF(Returns!$O253=1,Returns!H253,"")</f>
        <v/>
      </c>
      <c r="R253" s="26" t="str">
        <f aca="false">IF(Returns!$O253=1,Returns!I253,"")</f>
        <v/>
      </c>
      <c r="S253" s="26" t="str">
        <f aca="false">IF(Returns!$O253=1,Returns!J253,"")</f>
        <v/>
      </c>
      <c r="T253" s="26" t="n">
        <f aca="false">IF(Returns!$O253=1,"",Returns!K253)</f>
        <v>-0.00398232112649491</v>
      </c>
    </row>
    <row r="254" customFormat="false" ht="15" hidden="false" customHeight="false" outlineLevel="0" collapsed="false">
      <c r="A254" s="25" t="n">
        <f aca="false">Returns!A254</f>
        <v>44077</v>
      </c>
      <c r="B254" s="26" t="n">
        <f aca="false">IF(Returns!$O254=1,"",Returns!B254)</f>
        <v>-0.0205421960017208</v>
      </c>
      <c r="C254" s="26" t="n">
        <f aca="false">IF(Returns!$O254=1,"",Returns!C254)</f>
        <v>-0.0358512756378188</v>
      </c>
      <c r="D254" s="26" t="n">
        <f aca="false">IF(Returns!$O254=1,"",Returns!D254)</f>
        <v>-0.0114217806782898</v>
      </c>
      <c r="E254" s="26" t="n">
        <f aca="false">IF(Returns!$O254=1,"",Returns!E254)</f>
        <v>-0.00705191003039984</v>
      </c>
      <c r="F254" s="26" t="n">
        <f aca="false">IF(Returns!$O254=1,"",Returns!F254)</f>
        <v>-0.0522113529970142</v>
      </c>
      <c r="G254" s="26" t="n">
        <f aca="false">IF(Returns!$O254=1,"",Returns!G254)</f>
        <v>-0.0127563092138355</v>
      </c>
      <c r="H254" s="26" t="n">
        <f aca="false">IF(Returns!$O254=1,"",Returns!H254)</f>
        <v>0.00350877208371814</v>
      </c>
      <c r="I254" s="26" t="n">
        <f aca="false">IF(Returns!$O254=1,"",Returns!I254)</f>
        <v>-0.00611278990036179</v>
      </c>
      <c r="J254" s="26" t="n">
        <f aca="false">IF(Returns!$O254=1,"",Returns!J254)</f>
        <v>-0.0326157860404436</v>
      </c>
      <c r="K254" s="26" t="str">
        <f aca="false">IF(Returns!$O254=1,Returns!B254,"")</f>
        <v/>
      </c>
      <c r="L254" s="26" t="str">
        <f aca="false">IF(Returns!$O254=1,Returns!C254,"")</f>
        <v/>
      </c>
      <c r="M254" s="26" t="str">
        <f aca="false">IF(Returns!$O254=1,Returns!D254,"")</f>
        <v/>
      </c>
      <c r="N254" s="26" t="str">
        <f aca="false">IF(Returns!$O254=1,Returns!E254,"")</f>
        <v/>
      </c>
      <c r="O254" s="26" t="str">
        <f aca="false">IF(Returns!$O254=1,Returns!F254,"")</f>
        <v/>
      </c>
      <c r="P254" s="26" t="str">
        <f aca="false">IF(Returns!$O254=1,Returns!G254,"")</f>
        <v/>
      </c>
      <c r="Q254" s="26" t="str">
        <f aca="false">IF(Returns!$O254=1,Returns!H254,"")</f>
        <v/>
      </c>
      <c r="R254" s="26" t="str">
        <f aca="false">IF(Returns!$O254=1,Returns!I254,"")</f>
        <v/>
      </c>
      <c r="S254" s="26" t="str">
        <f aca="false">IF(Returns!$O254=1,Returns!J254,"")</f>
        <v/>
      </c>
      <c r="T254" s="26" t="n">
        <f aca="false">IF(Returns!$O254=1,"",Returns!K254)</f>
        <v>-0.0194505142684629</v>
      </c>
    </row>
    <row r="255" customFormat="false" ht="15" hidden="false" customHeight="false" outlineLevel="0" collapsed="false">
      <c r="A255" s="25" t="n">
        <f aca="false">Returns!A255</f>
        <v>44078</v>
      </c>
      <c r="B255" s="26" t="n">
        <f aca="false">IF(Returns!$O255=1,"",Returns!B255)</f>
        <v>0.0113461238214243</v>
      </c>
      <c r="C255" s="26" t="n">
        <f aca="false">IF(Returns!$O255=1,"",Returns!C255)</f>
        <v>0.00882047749603032</v>
      </c>
      <c r="D255" s="26" t="n">
        <f aca="false">IF(Returns!$O255=1,"",Returns!D255)</f>
        <v>-0.00358565737051797</v>
      </c>
      <c r="E255" s="26" t="n">
        <f aca="false">IF(Returns!$O255=1,"",Returns!E255)</f>
        <v>0.00118368516835043</v>
      </c>
      <c r="F255" s="26" t="n">
        <f aca="false">IF(Returns!$O255=1,"",Returns!F255)</f>
        <v>-0.000648082309668618</v>
      </c>
      <c r="G255" s="26" t="n">
        <f aca="false">IF(Returns!$O255=1,"",Returns!G255)</f>
        <v>0.0267651130595292</v>
      </c>
      <c r="H255" s="26" t="n">
        <f aca="false">IF(Returns!$O255=1,"",Returns!H255)</f>
        <v>0.0017482955309569</v>
      </c>
      <c r="I255" s="26" t="n">
        <f aca="false">IF(Returns!$O255=1,"",Returns!I255)</f>
        <v>0.00410020805718303</v>
      </c>
      <c r="J255" s="26" t="n">
        <f aca="false">IF(Returns!$O255=1,"",Returns!J255)</f>
        <v>0.0197235670937288</v>
      </c>
      <c r="K255" s="26" t="str">
        <f aca="false">IF(Returns!$O255=1,Returns!B255,"")</f>
        <v/>
      </c>
      <c r="L255" s="26" t="str">
        <f aca="false">IF(Returns!$O255=1,Returns!C255,"")</f>
        <v/>
      </c>
      <c r="M255" s="26" t="str">
        <f aca="false">IF(Returns!$O255=1,Returns!D255,"")</f>
        <v/>
      </c>
      <c r="N255" s="26" t="str">
        <f aca="false">IF(Returns!$O255=1,Returns!E255,"")</f>
        <v/>
      </c>
      <c r="O255" s="26" t="str">
        <f aca="false">IF(Returns!$O255=1,Returns!F255,"")</f>
        <v/>
      </c>
      <c r="P255" s="26" t="str">
        <f aca="false">IF(Returns!$O255=1,Returns!G255,"")</f>
        <v/>
      </c>
      <c r="Q255" s="26" t="str">
        <f aca="false">IF(Returns!$O255=1,Returns!H255,"")</f>
        <v/>
      </c>
      <c r="R255" s="26" t="str">
        <f aca="false">IF(Returns!$O255=1,Returns!I255,"")</f>
        <v/>
      </c>
      <c r="S255" s="26" t="str">
        <f aca="false">IF(Returns!$O255=1,Returns!J255,"")</f>
        <v/>
      </c>
      <c r="T255" s="26" t="n">
        <f aca="false">IF(Returns!$O255=1,"",Returns!K255)</f>
        <v>0.00771708117189071</v>
      </c>
    </row>
    <row r="256" customFormat="false" ht="15" hidden="false" customHeight="false" outlineLevel="0" collapsed="false">
      <c r="A256" s="25" t="n">
        <f aca="false">Returns!A256</f>
        <v>44082</v>
      </c>
      <c r="B256" s="26" t="n">
        <f aca="false">IF(Returns!$O256=1,"",Returns!B256)</f>
        <v>-0.00356965821622779</v>
      </c>
      <c r="C256" s="26" t="n">
        <f aca="false">IF(Returns!$O256=1,"",Returns!C256)</f>
        <v>-0.0221156012706258</v>
      </c>
      <c r="D256" s="26" t="n">
        <f aca="false">IF(Returns!$O256=1,"",Returns!D256)</f>
        <v>-0.0231907237105159</v>
      </c>
      <c r="E256" s="26" t="n">
        <f aca="false">IF(Returns!$O256=1,"",Returns!E256)</f>
        <v>0.05871921182266</v>
      </c>
      <c r="F256" s="26" t="n">
        <f aca="false">IF(Returns!$O256=1,"",Returns!F256)</f>
        <v>0.00421534809835022</v>
      </c>
      <c r="G256" s="26" t="n">
        <f aca="false">IF(Returns!$O256=1,"",Returns!G256)</f>
        <v>0.0404494382022471</v>
      </c>
      <c r="H256" s="26" t="n">
        <f aca="false">IF(Returns!$O256=1,"",Returns!H256)</f>
        <v>-0.0287958115183247</v>
      </c>
      <c r="I256" s="26" t="n">
        <f aca="false">IF(Returns!$O256=1,"",Returns!I256)</f>
        <v>-0.0131578289468265</v>
      </c>
      <c r="J256" s="26" t="n">
        <f aca="false">IF(Returns!$O256=1,"",Returns!J256)</f>
        <v>-0.0201686553093516</v>
      </c>
      <c r="K256" s="26" t="str">
        <f aca="false">IF(Returns!$O256=1,Returns!B256,"")</f>
        <v/>
      </c>
      <c r="L256" s="26" t="str">
        <f aca="false">IF(Returns!$O256=1,Returns!C256,"")</f>
        <v/>
      </c>
      <c r="M256" s="26" t="str">
        <f aca="false">IF(Returns!$O256=1,Returns!D256,"")</f>
        <v/>
      </c>
      <c r="N256" s="26" t="str">
        <f aca="false">IF(Returns!$O256=1,Returns!E256,"")</f>
        <v/>
      </c>
      <c r="O256" s="26" t="str">
        <f aca="false">IF(Returns!$O256=1,Returns!F256,"")</f>
        <v/>
      </c>
      <c r="P256" s="26" t="str">
        <f aca="false">IF(Returns!$O256=1,Returns!G256,"")</f>
        <v/>
      </c>
      <c r="Q256" s="26" t="str">
        <f aca="false">IF(Returns!$O256=1,Returns!H256,"")</f>
        <v/>
      </c>
      <c r="R256" s="26" t="str">
        <f aca="false">IF(Returns!$O256=1,Returns!I256,"")</f>
        <v/>
      </c>
      <c r="S256" s="26" t="str">
        <f aca="false">IF(Returns!$O256=1,Returns!J256,"")</f>
        <v/>
      </c>
      <c r="T256" s="26" t="n">
        <f aca="false">IF(Returns!$O256=1,"",Returns!K256)</f>
        <v>-0.00084603120540166</v>
      </c>
    </row>
    <row r="257" customFormat="false" ht="15" hidden="false" customHeight="false" outlineLevel="0" collapsed="false">
      <c r="A257" s="25" t="n">
        <f aca="false">Returns!A257</f>
        <v>44083</v>
      </c>
      <c r="B257" s="26" t="n">
        <f aca="false">IF(Returns!$O257=1,"",Returns!B257)</f>
        <v>0.0272944733417686</v>
      </c>
      <c r="C257" s="26" t="n">
        <f aca="false">IF(Returns!$O257=1,"",Returns!C257)</f>
        <v>0.0213885709248649</v>
      </c>
      <c r="D257" s="26" t="n">
        <f aca="false">IF(Returns!$O257=1,"",Returns!D257)</f>
        <v>0.0167826442898076</v>
      </c>
      <c r="E257" s="26" t="n">
        <f aca="false">IF(Returns!$O257=1,"",Returns!E257)</f>
        <v>0.0212171784850177</v>
      </c>
      <c r="F257" s="26" t="n">
        <f aca="false">IF(Returns!$O257=1,"",Returns!F257)</f>
        <v>-0.0019373735724264</v>
      </c>
      <c r="G257" s="26" t="n">
        <f aca="false">IF(Returns!$O257=1,"",Returns!G257)</f>
        <v>-0.0151188336933045</v>
      </c>
      <c r="H257" s="26" t="n">
        <f aca="false">IF(Returns!$O257=1,"",Returns!H257)</f>
        <v>0.0211141060197664</v>
      </c>
      <c r="I257" s="26" t="n">
        <f aca="false">IF(Returns!$O257=1,"",Returns!I257)</f>
        <v>-0.000229939133189139</v>
      </c>
      <c r="J257" s="26" t="n">
        <f aca="false">IF(Returns!$O257=1,"",Returns!J257)</f>
        <v>0.0123165176311792</v>
      </c>
      <c r="K257" s="26" t="str">
        <f aca="false">IF(Returns!$O257=1,Returns!B257,"")</f>
        <v/>
      </c>
      <c r="L257" s="26" t="str">
        <f aca="false">IF(Returns!$O257=1,Returns!C257,"")</f>
        <v/>
      </c>
      <c r="M257" s="26" t="str">
        <f aca="false">IF(Returns!$O257=1,Returns!D257,"")</f>
        <v/>
      </c>
      <c r="N257" s="26" t="str">
        <f aca="false">IF(Returns!$O257=1,Returns!E257,"")</f>
        <v/>
      </c>
      <c r="O257" s="26" t="str">
        <f aca="false">IF(Returns!$O257=1,Returns!F257,"")</f>
        <v/>
      </c>
      <c r="P257" s="26" t="str">
        <f aca="false">IF(Returns!$O257=1,Returns!G257,"")</f>
        <v/>
      </c>
      <c r="Q257" s="26" t="str">
        <f aca="false">IF(Returns!$O257=1,Returns!H257,"")</f>
        <v/>
      </c>
      <c r="R257" s="26" t="str">
        <f aca="false">IF(Returns!$O257=1,Returns!I257,"")</f>
        <v/>
      </c>
      <c r="S257" s="26" t="str">
        <f aca="false">IF(Returns!$O257=1,Returns!J257,"")</f>
        <v/>
      </c>
      <c r="T257" s="26" t="n">
        <f aca="false">IF(Returns!$O257=1,"",Returns!K257)</f>
        <v>0.0114252604770538</v>
      </c>
    </row>
    <row r="258" customFormat="false" ht="15" hidden="false" customHeight="false" outlineLevel="0" collapsed="false">
      <c r="A258" s="25" t="n">
        <f aca="false">Returns!A258</f>
        <v>44084</v>
      </c>
      <c r="B258" s="26" t="n">
        <f aca="false">IF(Returns!$O258=1,"",Returns!B258)</f>
        <v>-0.0541348712365515</v>
      </c>
      <c r="C258" s="26" t="n">
        <f aca="false">IF(Returns!$O258=1,"",Returns!C258)</f>
        <v>-0.0387916580844492</v>
      </c>
      <c r="D258" s="26" t="n">
        <f aca="false">IF(Returns!$O258=1,"",Returns!D258)</f>
        <v>-0.0124798309178744</v>
      </c>
      <c r="E258" s="26" t="n">
        <f aca="false">IF(Returns!$O258=1,"",Returns!E258)</f>
        <v>-0.0537634600649437</v>
      </c>
      <c r="F258" s="26" t="n">
        <f aca="false">IF(Returns!$O258=1,"",Returns!F258)</f>
        <v>-0.0245875170727958</v>
      </c>
      <c r="G258" s="26" t="n">
        <f aca="false">IF(Returns!$O258=1,"",Returns!G258)</f>
        <v>-0.0210525886426574</v>
      </c>
      <c r="H258" s="26" t="n">
        <f aca="false">IF(Returns!$O258=1,"",Returns!H258)</f>
        <v>-0.0268367355917291</v>
      </c>
      <c r="I258" s="26" t="n">
        <f aca="false">IF(Returns!$O258=1,"",Returns!I258)</f>
        <v>-0.0342607367679255</v>
      </c>
      <c r="J258" s="26" t="n">
        <f aca="false">IF(Returns!$O258=1,"",Returns!J258)</f>
        <v>-0.0245000166666667</v>
      </c>
      <c r="K258" s="26" t="str">
        <f aca="false">IF(Returns!$O258=1,Returns!B258,"")</f>
        <v/>
      </c>
      <c r="L258" s="26" t="str">
        <f aca="false">IF(Returns!$O258=1,Returns!C258,"")</f>
        <v/>
      </c>
      <c r="M258" s="26" t="str">
        <f aca="false">IF(Returns!$O258=1,Returns!D258,"")</f>
        <v/>
      </c>
      <c r="N258" s="26" t="str">
        <f aca="false">IF(Returns!$O258=1,Returns!E258,"")</f>
        <v/>
      </c>
      <c r="O258" s="26" t="str">
        <f aca="false">IF(Returns!$O258=1,Returns!F258,"")</f>
        <v/>
      </c>
      <c r="P258" s="26" t="str">
        <f aca="false">IF(Returns!$O258=1,Returns!G258,"")</f>
        <v/>
      </c>
      <c r="Q258" s="26" t="str">
        <f aca="false">IF(Returns!$O258=1,Returns!H258,"")</f>
        <v/>
      </c>
      <c r="R258" s="26" t="str">
        <f aca="false">IF(Returns!$O258=1,Returns!I258,"")</f>
        <v/>
      </c>
      <c r="S258" s="26" t="str">
        <f aca="false">IF(Returns!$O258=1,Returns!J258,"")</f>
        <v/>
      </c>
      <c r="T258" s="26" t="n">
        <f aca="false">IF(Returns!$O258=1,"",Returns!K258)</f>
        <v>-0.0322674905606215</v>
      </c>
    </row>
    <row r="259" customFormat="false" ht="15" hidden="false" customHeight="false" outlineLevel="0" collapsed="false">
      <c r="A259" s="25" t="n">
        <f aca="false">Returns!A259</f>
        <v>44085</v>
      </c>
      <c r="B259" s="26" t="n">
        <f aca="false">IF(Returns!$O259=1,"",Returns!B259)</f>
        <v>-0.0212429603448554</v>
      </c>
      <c r="C259" s="26" t="n">
        <f aca="false">IF(Returns!$O259=1,"",Returns!C259)</f>
        <v>0.000357107155610992</v>
      </c>
      <c r="D259" s="26" t="n">
        <f aca="false">IF(Returns!$O259=1,"",Returns!D259)</f>
        <v>-0.0134529142497792</v>
      </c>
      <c r="E259" s="26" t="n">
        <f aca="false">IF(Returns!$O259=1,"",Returns!E259)</f>
        <v>-0.0265792960931933</v>
      </c>
      <c r="F259" s="26" t="n">
        <f aca="false">IF(Returns!$O259=1,"",Returns!F259)</f>
        <v>-0.0218905823910391</v>
      </c>
      <c r="G259" s="26" t="n">
        <f aca="false">IF(Returns!$O259=1,"",Returns!G259)</f>
        <v>-0.024641577060932</v>
      </c>
      <c r="H259" s="26" t="n">
        <f aca="false">IF(Returns!$O259=1,"",Returns!H259)</f>
        <v>-0.0108499995094935</v>
      </c>
      <c r="I259" s="26" t="n">
        <f aca="false">IF(Returns!$O259=1,"",Returns!I259)</f>
        <v>-0.0138095315756719</v>
      </c>
      <c r="J259" s="26" t="n">
        <f aca="false">IF(Returns!$O259=1,"",Returns!J259)</f>
        <v>0.0584316087208545</v>
      </c>
      <c r="K259" s="26" t="str">
        <f aca="false">IF(Returns!$O259=1,Returns!B259,"")</f>
        <v/>
      </c>
      <c r="L259" s="26" t="str">
        <f aca="false">IF(Returns!$O259=1,Returns!C259,"")</f>
        <v/>
      </c>
      <c r="M259" s="26" t="str">
        <f aca="false">IF(Returns!$O259=1,Returns!D259,"")</f>
        <v/>
      </c>
      <c r="N259" s="26" t="str">
        <f aca="false">IF(Returns!$O259=1,Returns!E259,"")</f>
        <v/>
      </c>
      <c r="O259" s="26" t="str">
        <f aca="false">IF(Returns!$O259=1,Returns!F259,"")</f>
        <v/>
      </c>
      <c r="P259" s="26" t="str">
        <f aca="false">IF(Returns!$O259=1,Returns!G259,"")</f>
        <v/>
      </c>
      <c r="Q259" s="26" t="str">
        <f aca="false">IF(Returns!$O259=1,Returns!H259,"")</f>
        <v/>
      </c>
      <c r="R259" s="26" t="str">
        <f aca="false">IF(Returns!$O259=1,Returns!I259,"")</f>
        <v/>
      </c>
      <c r="S259" s="26" t="str">
        <f aca="false">IF(Returns!$O259=1,Returns!J259,"")</f>
        <v/>
      </c>
      <c r="T259" s="26" t="n">
        <f aca="false">IF(Returns!$O259=1,"",Returns!K259)</f>
        <v>-0.00818646059427766</v>
      </c>
    </row>
    <row r="260" customFormat="false" ht="15" hidden="false" customHeight="false" outlineLevel="0" collapsed="false">
      <c r="A260" s="25" t="n">
        <f aca="false">Returns!A260</f>
        <v>44088</v>
      </c>
      <c r="B260" s="26" t="n">
        <f aca="false">IF(Returns!$O260=1,"",Returns!B260)</f>
        <v>0.0254708161434978</v>
      </c>
      <c r="C260" s="26" t="n">
        <f aca="false">IF(Returns!$O260=1,"",Returns!C260)</f>
        <v>0.0483756193056495</v>
      </c>
      <c r="D260" s="26" t="n">
        <f aca="false">IF(Returns!$O260=1,"",Returns!D260)</f>
        <v>0.0214875197732429</v>
      </c>
      <c r="E260" s="26" t="n">
        <f aca="false">IF(Returns!$O260=1,"",Returns!E260)</f>
        <v>0.045310663923414</v>
      </c>
      <c r="F260" s="26" t="n">
        <f aca="false">IF(Returns!$O260=1,"",Returns!F260)</f>
        <v>0.0562903056534427</v>
      </c>
      <c r="G260" s="26" t="n">
        <f aca="false">IF(Returns!$O260=1,"",Returns!G260)</f>
        <v>0.042719384474047</v>
      </c>
      <c r="H260" s="26" t="n">
        <f aca="false">IF(Returns!$O260=1,"",Returns!H260)</f>
        <v>-0.00914072253842435</v>
      </c>
      <c r="I260" s="26" t="n">
        <f aca="false">IF(Returns!$O260=1,"",Returns!I260)</f>
        <v>0.0111058027186668</v>
      </c>
      <c r="J260" s="26" t="n">
        <f aca="false">IF(Returns!$O260=1,"",Returns!J260)</f>
        <v>-0.000645698133241446</v>
      </c>
      <c r="K260" s="26" t="str">
        <f aca="false">IF(Returns!$O260=1,Returns!B260,"")</f>
        <v/>
      </c>
      <c r="L260" s="26" t="str">
        <f aca="false">IF(Returns!$O260=1,Returns!C260,"")</f>
        <v/>
      </c>
      <c r="M260" s="26" t="str">
        <f aca="false">IF(Returns!$O260=1,Returns!D260,"")</f>
        <v/>
      </c>
      <c r="N260" s="26" t="str">
        <f aca="false">IF(Returns!$O260=1,Returns!E260,"")</f>
        <v/>
      </c>
      <c r="O260" s="26" t="str">
        <f aca="false">IF(Returns!$O260=1,Returns!F260,"")</f>
        <v/>
      </c>
      <c r="P260" s="26" t="str">
        <f aca="false">IF(Returns!$O260=1,Returns!G260,"")</f>
        <v/>
      </c>
      <c r="Q260" s="26" t="str">
        <f aca="false">IF(Returns!$O260=1,Returns!H260,"")</f>
        <v/>
      </c>
      <c r="R260" s="26" t="str">
        <f aca="false">IF(Returns!$O260=1,Returns!I260,"")</f>
        <v/>
      </c>
      <c r="S260" s="26" t="str">
        <f aca="false">IF(Returns!$O260=1,Returns!J260,"")</f>
        <v/>
      </c>
      <c r="T260" s="26" t="n">
        <f aca="false">IF(Returns!$O260=1,"",Returns!K260)</f>
        <v>0.0267748545911439</v>
      </c>
    </row>
    <row r="261" customFormat="false" ht="15" hidden="false" customHeight="false" outlineLevel="0" collapsed="false">
      <c r="A261" s="25" t="n">
        <f aca="false">Returns!A261</f>
        <v>44089</v>
      </c>
      <c r="B261" s="26" t="n">
        <f aca="false">IF(Returns!$O261=1,"",Returns!B261)</f>
        <v>0.00664686047391494</v>
      </c>
      <c r="C261" s="26" t="n">
        <f aca="false">IF(Returns!$O261=1,"",Returns!C261)</f>
        <v>-0.0246892908118267</v>
      </c>
      <c r="D261" s="26" t="n">
        <f aca="false">IF(Returns!$O261=1,"",Returns!D261)</f>
        <v>0.0315534397877604</v>
      </c>
      <c r="E261" s="26" t="n">
        <f aca="false">IF(Returns!$O261=1,"",Returns!E261)</f>
        <v>-0.000189324240419286</v>
      </c>
      <c r="F261" s="26" t="n">
        <f aca="false">IF(Returns!$O261=1,"",Returns!F261)</f>
        <v>0.00353131655263517</v>
      </c>
      <c r="G261" s="26" t="n">
        <f aca="false">IF(Returns!$O261=1,"",Returns!G261)</f>
        <v>-0.0048458588173631</v>
      </c>
      <c r="H261" s="26" t="n">
        <f aca="false">IF(Returns!$O261=1,"",Returns!H261)</f>
        <v>-0.00046125461254598</v>
      </c>
      <c r="I261" s="26" t="n">
        <f aca="false">IF(Returns!$O261=1,"",Returns!I261)</f>
        <v>-0.0143266896240694</v>
      </c>
      <c r="J261" s="26" t="n">
        <f aca="false">IF(Returns!$O261=1,"",Returns!J261)</f>
        <v>0.0111451784848975</v>
      </c>
      <c r="K261" s="26" t="str">
        <f aca="false">IF(Returns!$O261=1,Returns!B261,"")</f>
        <v/>
      </c>
      <c r="L261" s="26" t="str">
        <f aca="false">IF(Returns!$O261=1,Returns!C261,"")</f>
        <v/>
      </c>
      <c r="M261" s="26" t="str">
        <f aca="false">IF(Returns!$O261=1,Returns!D261,"")</f>
        <v/>
      </c>
      <c r="N261" s="26" t="str">
        <f aca="false">IF(Returns!$O261=1,Returns!E261,"")</f>
        <v/>
      </c>
      <c r="O261" s="26" t="str">
        <f aca="false">IF(Returns!$O261=1,Returns!F261,"")</f>
        <v/>
      </c>
      <c r="P261" s="26" t="str">
        <f aca="false">IF(Returns!$O261=1,Returns!G261,"")</f>
        <v/>
      </c>
      <c r="Q261" s="26" t="str">
        <f aca="false">IF(Returns!$O261=1,Returns!H261,"")</f>
        <v/>
      </c>
      <c r="R261" s="26" t="str">
        <f aca="false">IF(Returns!$O261=1,Returns!I261,"")</f>
        <v/>
      </c>
      <c r="S261" s="26" t="str">
        <f aca="false">IF(Returns!$O261=1,Returns!J261,"")</f>
        <v/>
      </c>
      <c r="T261" s="26" t="n">
        <f aca="false">IF(Returns!$O261=1,"",Returns!K261)</f>
        <v>0.000929375243664839</v>
      </c>
    </row>
    <row r="262" customFormat="false" ht="15" hidden="false" customHeight="false" outlineLevel="0" collapsed="false">
      <c r="A262" s="25" t="n">
        <f aca="false">Returns!A262</f>
        <v>44090</v>
      </c>
      <c r="B262" s="26" t="n">
        <f aca="false">IF(Returns!$O262=1,"",Returns!B262)</f>
        <v>-0.0145960037288618</v>
      </c>
      <c r="C262" s="26" t="n">
        <f aca="false">IF(Returns!$O262=1,"",Returns!C262)</f>
        <v>-0.00453907154602462</v>
      </c>
      <c r="D262" s="26" t="n">
        <f aca="false">IF(Returns!$O262=1,"",Returns!D262)</f>
        <v>-0.0168627450980392</v>
      </c>
      <c r="E262" s="26" t="n">
        <f aca="false">IF(Returns!$O262=1,"",Returns!E262)</f>
        <v>-0.00265051117001136</v>
      </c>
      <c r="F262" s="26" t="n">
        <f aca="false">IF(Returns!$O262=1,"",Returns!F262)</f>
        <v>-0.012156096321677</v>
      </c>
      <c r="G262" s="26" t="n">
        <f aca="false">IF(Returns!$O262=1,"",Returns!G262)</f>
        <v>0.0234617529880476</v>
      </c>
      <c r="H262" s="26" t="n">
        <f aca="false">IF(Returns!$O262=1,"",Returns!H262)</f>
        <v>0.00276880479926156</v>
      </c>
      <c r="I262" s="26" t="n">
        <f aca="false">IF(Returns!$O262=1,"",Returns!I262)</f>
        <v>-0.00072675812823142</v>
      </c>
      <c r="J262" s="26" t="n">
        <f aca="false">IF(Returns!$O262=1,"",Returns!J262)</f>
        <v>-0.0260382915667186</v>
      </c>
      <c r="K262" s="26" t="str">
        <f aca="false">IF(Returns!$O262=1,Returns!B262,"")</f>
        <v/>
      </c>
      <c r="L262" s="26" t="str">
        <f aca="false">IF(Returns!$O262=1,Returns!C262,"")</f>
        <v/>
      </c>
      <c r="M262" s="26" t="str">
        <f aca="false">IF(Returns!$O262=1,Returns!D262,"")</f>
        <v/>
      </c>
      <c r="N262" s="26" t="str">
        <f aca="false">IF(Returns!$O262=1,Returns!E262,"")</f>
        <v/>
      </c>
      <c r="O262" s="26" t="str">
        <f aca="false">IF(Returns!$O262=1,Returns!F262,"")</f>
        <v/>
      </c>
      <c r="P262" s="26" t="str">
        <f aca="false">IF(Returns!$O262=1,Returns!G262,"")</f>
        <v/>
      </c>
      <c r="Q262" s="26" t="str">
        <f aca="false">IF(Returns!$O262=1,Returns!H262,"")</f>
        <v/>
      </c>
      <c r="R262" s="26" t="str">
        <f aca="false">IF(Returns!$O262=1,Returns!I262,"")</f>
        <v/>
      </c>
      <c r="S262" s="26" t="str">
        <f aca="false">IF(Returns!$O262=1,Returns!J262,"")</f>
        <v/>
      </c>
      <c r="T262" s="26" t="n">
        <f aca="false">IF(Returns!$O262=1,"",Returns!K262)</f>
        <v>-0.00570432441913942</v>
      </c>
    </row>
    <row r="263" customFormat="false" ht="15" hidden="false" customHeight="false" outlineLevel="0" collapsed="false">
      <c r="A263" s="25" t="n">
        <f aca="false">Returns!A263</f>
        <v>44091</v>
      </c>
      <c r="B263" s="26" t="n">
        <f aca="false">IF(Returns!$O263=1,"",Returns!B263)</f>
        <v>-0.00899308779744479</v>
      </c>
      <c r="C263" s="26" t="n">
        <f aca="false">IF(Returns!$O263=1,"",Returns!C263)</f>
        <v>-0.0059628027345775</v>
      </c>
      <c r="D263" s="26" t="n">
        <f aca="false">IF(Returns!$O263=1,"",Returns!D263)</f>
        <v>0.0135620263262863</v>
      </c>
      <c r="E263" s="26" t="n">
        <f aca="false">IF(Returns!$O263=1,"",Returns!E263)</f>
        <v>0.00512530372057718</v>
      </c>
      <c r="F263" s="26" t="n">
        <f aca="false">IF(Returns!$O263=1,"",Returns!F263)</f>
        <v>-0.024935250786583</v>
      </c>
      <c r="G263" s="26" t="n">
        <f aca="false">IF(Returns!$O263=1,"",Returns!G263)</f>
        <v>-0.00908308784242695</v>
      </c>
      <c r="H263" s="26" t="n">
        <f aca="false">IF(Returns!$O263=1,"",Returns!H263)</f>
        <v>0.01932811780948</v>
      </c>
      <c r="I263" s="26" t="n">
        <f aca="false">IF(Returns!$O263=1,"",Returns!I263)</f>
        <v>0.000242402705041167</v>
      </c>
      <c r="J263" s="26" t="n">
        <f aca="false">IF(Returns!$O263=1,"",Returns!J263)</f>
        <v>0.018205691025001</v>
      </c>
      <c r="K263" s="26" t="str">
        <f aca="false">IF(Returns!$O263=1,Returns!B263,"")</f>
        <v/>
      </c>
      <c r="L263" s="26" t="str">
        <f aca="false">IF(Returns!$O263=1,Returns!C263,"")</f>
        <v/>
      </c>
      <c r="M263" s="26" t="str">
        <f aca="false">IF(Returns!$O263=1,Returns!D263,"")</f>
        <v/>
      </c>
      <c r="N263" s="26" t="str">
        <f aca="false">IF(Returns!$O263=1,Returns!E263,"")</f>
        <v/>
      </c>
      <c r="O263" s="26" t="str">
        <f aca="false">IF(Returns!$O263=1,Returns!F263,"")</f>
        <v/>
      </c>
      <c r="P263" s="26" t="str">
        <f aca="false">IF(Returns!$O263=1,Returns!G263,"")</f>
        <v/>
      </c>
      <c r="Q263" s="26" t="str">
        <f aca="false">IF(Returns!$O263=1,Returns!H263,"")</f>
        <v/>
      </c>
      <c r="R263" s="26" t="str">
        <f aca="false">IF(Returns!$O263=1,Returns!I263,"")</f>
        <v/>
      </c>
      <c r="S263" s="26" t="str">
        <f aca="false">IF(Returns!$O263=1,Returns!J263,"")</f>
        <v/>
      </c>
      <c r="T263" s="26" t="n">
        <f aca="false">IF(Returns!$O263=1,"",Returns!K263)</f>
        <v>0.000832145825039271</v>
      </c>
    </row>
    <row r="264" customFormat="false" ht="15" hidden="false" customHeight="false" outlineLevel="0" collapsed="false">
      <c r="A264" s="25" t="n">
        <f aca="false">Returns!A264</f>
        <v>44092</v>
      </c>
      <c r="B264" s="26" t="n">
        <f aca="false">IF(Returns!$O264=1,"",Returns!B264)</f>
        <v>-0.0302491275756384</v>
      </c>
      <c r="C264" s="26" t="n">
        <f aca="false">IF(Returns!$O264=1,"",Returns!C264)</f>
        <v>-0.00970363461015578</v>
      </c>
      <c r="D264" s="26" t="n">
        <f aca="false">IF(Returns!$O264=1,"",Returns!D264)</f>
        <v>-0.00393549783549774</v>
      </c>
      <c r="E264" s="26" t="n">
        <f aca="false">IF(Returns!$O264=1,"",Returns!E264)</f>
        <v>-0.00472143522716839</v>
      </c>
      <c r="F264" s="26" t="n">
        <f aca="false">IF(Returns!$O264=1,"",Returns!F264)</f>
        <v>-0.0235802424589892</v>
      </c>
      <c r="G264" s="26" t="n">
        <f aca="false">IF(Returns!$O264=1,"",Returns!G264)</f>
        <v>-0.0366652116979485</v>
      </c>
      <c r="H264" s="26" t="n">
        <f aca="false">IF(Returns!$O264=1,"",Returns!H264)</f>
        <v>-0.0225733634311512</v>
      </c>
      <c r="I264" s="26" t="n">
        <f aca="false">IF(Returns!$O264=1,"",Returns!I264)</f>
        <v>-0.0271449325812456</v>
      </c>
      <c r="J264" s="26" t="n">
        <f aca="false">IF(Returns!$O264=1,"",Returns!J264)</f>
        <v>-0.00676549591606013</v>
      </c>
      <c r="K264" s="26" t="str">
        <f aca="false">IF(Returns!$O264=1,Returns!B264,"")</f>
        <v/>
      </c>
      <c r="L264" s="26" t="str">
        <f aca="false">IF(Returns!$O264=1,Returns!C264,"")</f>
        <v/>
      </c>
      <c r="M264" s="26" t="str">
        <f aca="false">IF(Returns!$O264=1,Returns!D264,"")</f>
        <v/>
      </c>
      <c r="N264" s="26" t="str">
        <f aca="false">IF(Returns!$O264=1,Returns!E264,"")</f>
        <v/>
      </c>
      <c r="O264" s="26" t="str">
        <f aca="false">IF(Returns!$O264=1,Returns!F264,"")</f>
        <v/>
      </c>
      <c r="P264" s="26" t="str">
        <f aca="false">IF(Returns!$O264=1,Returns!G264,"")</f>
        <v/>
      </c>
      <c r="Q264" s="26" t="str">
        <f aca="false">IF(Returns!$O264=1,Returns!H264,"")</f>
        <v/>
      </c>
      <c r="R264" s="26" t="str">
        <f aca="false">IF(Returns!$O264=1,Returns!I264,"")</f>
        <v/>
      </c>
      <c r="S264" s="26" t="str">
        <f aca="false">IF(Returns!$O264=1,Returns!J264,"")</f>
        <v/>
      </c>
      <c r="T264" s="26" t="n">
        <f aca="false">IF(Returns!$O264=1,"",Returns!K264)</f>
        <v>-0.0183709934815394</v>
      </c>
    </row>
    <row r="265" customFormat="false" ht="15" hidden="false" customHeight="false" outlineLevel="0" collapsed="false">
      <c r="A265" s="25" t="n">
        <f aca="false">Returns!A265</f>
        <v>44095</v>
      </c>
      <c r="B265" s="26" t="n">
        <f aca="false">IF(Returns!$O265=1,"",Returns!B265)</f>
        <v>-0.00733948623853209</v>
      </c>
      <c r="C265" s="26" t="n">
        <f aca="false">IF(Returns!$O265=1,"",Returns!C265)</f>
        <v>-0.000534366677411358</v>
      </c>
      <c r="D265" s="26" t="n">
        <f aca="false">IF(Returns!$O265=1,"",Returns!D265)</f>
        <v>-0.0209402615938469</v>
      </c>
      <c r="E265" s="26" t="n">
        <f aca="false">IF(Returns!$O265=1,"",Returns!E265)</f>
        <v>-0.0358633769285887</v>
      </c>
      <c r="F265" s="26" t="n">
        <f aca="false">IF(Returns!$O265=1,"",Returns!F265)</f>
        <v>0.00306121398450965</v>
      </c>
      <c r="G265" s="26" t="n">
        <f aca="false">IF(Returns!$O265=1,"",Returns!G265)</f>
        <v>-0.0285454916175805</v>
      </c>
      <c r="H265" s="26" t="n">
        <f aca="false">IF(Returns!$O265=1,"",Returns!H265)</f>
        <v>-0.0346420323325635</v>
      </c>
      <c r="I265" s="26" t="n">
        <f aca="false">IF(Returns!$O265=1,"",Returns!I265)</f>
        <v>0.0209267547836816</v>
      </c>
      <c r="J265" s="26" t="n">
        <f aca="false">IF(Returns!$O265=1,"",Returns!J265)</f>
        <v>-0.0269218293869608</v>
      </c>
      <c r="K265" s="26" t="str">
        <f aca="false">IF(Returns!$O265=1,Returns!B265,"")</f>
        <v/>
      </c>
      <c r="L265" s="26" t="str">
        <f aca="false">IF(Returns!$O265=1,Returns!C265,"")</f>
        <v/>
      </c>
      <c r="M265" s="26" t="str">
        <f aca="false">IF(Returns!$O265=1,Returns!D265,"")</f>
        <v/>
      </c>
      <c r="N265" s="26" t="str">
        <f aca="false">IF(Returns!$O265=1,Returns!E265,"")</f>
        <v/>
      </c>
      <c r="O265" s="26" t="str">
        <f aca="false">IF(Returns!$O265=1,Returns!F265,"")</f>
        <v/>
      </c>
      <c r="P265" s="26" t="str">
        <f aca="false">IF(Returns!$O265=1,Returns!G265,"")</f>
        <v/>
      </c>
      <c r="Q265" s="26" t="str">
        <f aca="false">IF(Returns!$O265=1,Returns!H265,"")</f>
        <v/>
      </c>
      <c r="R265" s="26" t="str">
        <f aca="false">IF(Returns!$O265=1,Returns!I265,"")</f>
        <v/>
      </c>
      <c r="S265" s="26" t="str">
        <f aca="false">IF(Returns!$O265=1,Returns!J265,"")</f>
        <v/>
      </c>
      <c r="T265" s="26" t="n">
        <f aca="false">IF(Returns!$O265=1,"",Returns!K265)</f>
        <v>-0.0145332084452547</v>
      </c>
    </row>
    <row r="266" customFormat="false" ht="15" hidden="false" customHeight="false" outlineLevel="0" collapsed="false">
      <c r="A266" s="25" t="n">
        <f aca="false">Returns!A266</f>
        <v>44096</v>
      </c>
      <c r="B266" s="26" t="n">
        <f aca="false">IF(Returns!$O266=1,"",Returns!B266)</f>
        <v>0.0194085774273043</v>
      </c>
      <c r="C266" s="26" t="n">
        <f aca="false">IF(Returns!$O266=1,"",Returns!C266)</f>
        <v>0.0224598918470644</v>
      </c>
      <c r="D266" s="26" t="n">
        <f aca="false">IF(Returns!$O266=1,"",Returns!D266)</f>
        <v>-0.0181598459176818</v>
      </c>
      <c r="E266" s="26" t="n">
        <f aca="false">IF(Returns!$O266=1,"",Returns!E266)</f>
        <v>0.0183035028871579</v>
      </c>
      <c r="F266" s="26" t="n">
        <f aca="false">IF(Returns!$O266=1,"",Returns!F266)</f>
        <v>-0.0118684082524445</v>
      </c>
      <c r="G266" s="26" t="n">
        <f aca="false">IF(Returns!$O266=1,"",Returns!G266)</f>
        <v>-0.00373134310954548</v>
      </c>
      <c r="H266" s="26" t="n">
        <f aca="false">IF(Returns!$O266=1,"",Returns!H266)</f>
        <v>-0.00478473684210523</v>
      </c>
      <c r="I266" s="26" t="n">
        <f aca="false">IF(Returns!$O266=1,"",Returns!I266)</f>
        <v>-0.00170810405459132</v>
      </c>
      <c r="J266" s="26" t="n">
        <f aca="false">IF(Returns!$O266=1,"",Returns!J266)</f>
        <v>-0.0364999833333334</v>
      </c>
      <c r="K266" s="26" t="str">
        <f aca="false">IF(Returns!$O266=1,Returns!B266,"")</f>
        <v/>
      </c>
      <c r="L266" s="26" t="str">
        <f aca="false">IF(Returns!$O266=1,Returns!C266,"")</f>
        <v/>
      </c>
      <c r="M266" s="26" t="str">
        <f aca="false">IF(Returns!$O266=1,Returns!D266,"")</f>
        <v/>
      </c>
      <c r="N266" s="26" t="str">
        <f aca="false">IF(Returns!$O266=1,Returns!E266,"")</f>
        <v/>
      </c>
      <c r="O266" s="26" t="str">
        <f aca="false">IF(Returns!$O266=1,Returns!F266,"")</f>
        <v/>
      </c>
      <c r="P266" s="26" t="str">
        <f aca="false">IF(Returns!$O266=1,Returns!G266,"")</f>
        <v/>
      </c>
      <c r="Q266" s="26" t="str">
        <f aca="false">IF(Returns!$O266=1,Returns!H266,"")</f>
        <v/>
      </c>
      <c r="R266" s="26" t="str">
        <f aca="false">IF(Returns!$O266=1,Returns!I266,"")</f>
        <v/>
      </c>
      <c r="S266" s="26" t="str">
        <f aca="false">IF(Returns!$O266=1,Returns!J266,"")</f>
        <v/>
      </c>
      <c r="T266" s="26" t="n">
        <f aca="false">IF(Returns!$O266=1,"",Returns!K266)</f>
        <v>-0.00184227214979724</v>
      </c>
    </row>
    <row r="267" customFormat="false" ht="15" hidden="false" customHeight="false" outlineLevel="0" collapsed="false">
      <c r="A267" s="25" t="n">
        <f aca="false">Returns!A267</f>
        <v>44097</v>
      </c>
      <c r="B267" s="26" t="n">
        <f aca="false">IF(Returns!$O267=1,"",Returns!B267)</f>
        <v>-0.02719854842435</v>
      </c>
      <c r="C267" s="26" t="n">
        <f aca="false">IF(Returns!$O267=1,"",Returns!C267)</f>
        <v>-0.02562771832491</v>
      </c>
      <c r="D267" s="26" t="n">
        <f aca="false">IF(Returns!$O267=1,"",Returns!D267)</f>
        <v>-0.00287710645293859</v>
      </c>
      <c r="E267" s="26" t="n">
        <f aca="false">IF(Returns!$O267=1,"",Returns!E267)</f>
        <v>0.139737122545917</v>
      </c>
      <c r="F267" s="26" t="n">
        <f aca="false">IF(Returns!$O267=1,"",Returns!F267)</f>
        <v>-0.0092655479780237</v>
      </c>
      <c r="G267" s="26" t="n">
        <f aca="false">IF(Returns!$O267=1,"",Returns!G267)</f>
        <v>-0.0257491560978859</v>
      </c>
      <c r="H267" s="26" t="n">
        <f aca="false">IF(Returns!$O267=1,"",Returns!H267)</f>
        <v>-0.0274037993944134</v>
      </c>
      <c r="I267" s="26" t="n">
        <f aca="false">IF(Returns!$O267=1,"",Returns!I267)</f>
        <v>-0.010510947015983</v>
      </c>
      <c r="J267" s="26" t="n">
        <f aca="false">IF(Returns!$O267=1,"",Returns!J267)</f>
        <v>0.0223144261838018</v>
      </c>
      <c r="K267" s="26" t="str">
        <f aca="false">IF(Returns!$O267=1,Returns!B267,"")</f>
        <v/>
      </c>
      <c r="L267" s="26" t="str">
        <f aca="false">IF(Returns!$O267=1,Returns!C267,"")</f>
        <v/>
      </c>
      <c r="M267" s="26" t="str">
        <f aca="false">IF(Returns!$O267=1,Returns!D267,"")</f>
        <v/>
      </c>
      <c r="N267" s="26" t="str">
        <f aca="false">IF(Returns!$O267=1,Returns!E267,"")</f>
        <v/>
      </c>
      <c r="O267" s="26" t="str">
        <f aca="false">IF(Returns!$O267=1,Returns!F267,"")</f>
        <v/>
      </c>
      <c r="P267" s="26" t="str">
        <f aca="false">IF(Returns!$O267=1,Returns!G267,"")</f>
        <v/>
      </c>
      <c r="Q267" s="26" t="str">
        <f aca="false">IF(Returns!$O267=1,Returns!H267,"")</f>
        <v/>
      </c>
      <c r="R267" s="26" t="str">
        <f aca="false">IF(Returns!$O267=1,Returns!I267,"")</f>
        <v/>
      </c>
      <c r="S267" s="26" t="str">
        <f aca="false">IF(Returns!$O267=1,Returns!J267,"")</f>
        <v/>
      </c>
      <c r="T267" s="26" t="n">
        <f aca="false">IF(Returns!$O267=1,"",Returns!K267)</f>
        <v>0.00371319167124608</v>
      </c>
    </row>
    <row r="268" customFormat="false" ht="15" hidden="false" customHeight="false" outlineLevel="0" collapsed="false">
      <c r="A268" s="25" t="n">
        <f aca="false">Returns!A268</f>
        <v>44098</v>
      </c>
      <c r="B268" s="26" t="n">
        <f aca="false">IF(Returns!$O268=1,"",Returns!B268)</f>
        <v>0.00465983207232679</v>
      </c>
      <c r="C268" s="26" t="n">
        <f aca="false">IF(Returns!$O268=1,"",Returns!C268)</f>
        <v>0.0551082691952909</v>
      </c>
      <c r="D268" s="26" t="n">
        <f aca="false">IF(Returns!$O268=1,"",Returns!D268)</f>
        <v>0.00700741962077478</v>
      </c>
      <c r="E268" s="26" t="n">
        <f aca="false">IF(Returns!$O268=1,"",Returns!E268)</f>
        <v>-0.016618602397514</v>
      </c>
      <c r="F268" s="26" t="n">
        <f aca="false">IF(Returns!$O268=1,"",Returns!F268)</f>
        <v>0.000346359823176989</v>
      </c>
      <c r="G268" s="26" t="n">
        <f aca="false">IF(Returns!$O268=1,"",Returns!G268)</f>
        <v>-0.00336371952732928</v>
      </c>
      <c r="H268" s="26" t="n">
        <f aca="false">IF(Returns!$O268=1,"",Returns!H268)</f>
        <v>0.00840336134453779</v>
      </c>
      <c r="I268" s="26" t="n">
        <f aca="false">IF(Returns!$O268=1,"",Returns!I268)</f>
        <v>0.0185277042408438</v>
      </c>
      <c r="J268" s="26" t="n">
        <f aca="false">IF(Returns!$O268=1,"",Returns!J268)</f>
        <v>-0.00744497487123441</v>
      </c>
      <c r="K268" s="26" t="str">
        <f aca="false">IF(Returns!$O268=1,Returns!B268,"")</f>
        <v/>
      </c>
      <c r="L268" s="26" t="str">
        <f aca="false">IF(Returns!$O268=1,Returns!C268,"")</f>
        <v/>
      </c>
      <c r="M268" s="26" t="str">
        <f aca="false">IF(Returns!$O268=1,Returns!D268,"")</f>
        <v/>
      </c>
      <c r="N268" s="26" t="str">
        <f aca="false">IF(Returns!$O268=1,Returns!E268,"")</f>
        <v/>
      </c>
      <c r="O268" s="26" t="str">
        <f aca="false">IF(Returns!$O268=1,Returns!F268,"")</f>
        <v/>
      </c>
      <c r="P268" s="26" t="str">
        <f aca="false">IF(Returns!$O268=1,Returns!G268,"")</f>
        <v/>
      </c>
      <c r="Q268" s="26" t="str">
        <f aca="false">IF(Returns!$O268=1,Returns!H268,"")</f>
        <v/>
      </c>
      <c r="R268" s="26" t="str">
        <f aca="false">IF(Returns!$O268=1,Returns!I268,"")</f>
        <v/>
      </c>
      <c r="S268" s="26" t="str">
        <f aca="false">IF(Returns!$O268=1,Returns!J268,"")</f>
        <v/>
      </c>
      <c r="T268" s="26" t="n">
        <f aca="false">IF(Returns!$O268=1,"",Returns!K268)</f>
        <v>0.00740284994454148</v>
      </c>
    </row>
    <row r="269" customFormat="false" ht="15" hidden="false" customHeight="false" outlineLevel="0" collapsed="false">
      <c r="A269" s="25" t="n">
        <f aca="false">Returns!A269</f>
        <v>44099</v>
      </c>
      <c r="B269" s="26" t="n">
        <f aca="false">IF(Returns!$O269=1,"",Returns!B269)</f>
        <v>0.0118738214518062</v>
      </c>
      <c r="C269" s="26" t="n">
        <f aca="false">IF(Returns!$O269=1,"",Returns!C269)</f>
        <v>-0.027471545785028</v>
      </c>
      <c r="D269" s="26" t="n">
        <f aca="false">IF(Returns!$O269=1,"",Returns!D269)</f>
        <v>0.00491195251739662</v>
      </c>
      <c r="E269" s="26" t="n">
        <f aca="false">IF(Returns!$O269=1,"",Returns!E269)</f>
        <v>0.0174167609099238</v>
      </c>
      <c r="F269" s="26" t="n">
        <f aca="false">IF(Returns!$O269=1,"",Returns!F269)</f>
        <v>0.00554015072766423</v>
      </c>
      <c r="G269" s="26" t="n">
        <f aca="false">IF(Returns!$O269=1,"",Returns!G269)</f>
        <v>-0.0298938765670203</v>
      </c>
      <c r="H269" s="26" t="n">
        <f aca="false">IF(Returns!$O269=1,"",Returns!H269)</f>
        <v>-0.0132353431372547</v>
      </c>
      <c r="I269" s="26" t="n">
        <f aca="false">IF(Returns!$O269=1,"",Returns!I269)</f>
        <v>0.0026679590600589</v>
      </c>
      <c r="J269" s="26" t="n">
        <f aca="false">IF(Returns!$O269=1,"",Returns!J269)</f>
        <v>0.0100579611319469</v>
      </c>
      <c r="K269" s="26" t="str">
        <f aca="false">IF(Returns!$O269=1,Returns!B269,"")</f>
        <v/>
      </c>
      <c r="L269" s="26" t="str">
        <f aca="false">IF(Returns!$O269=1,Returns!C269,"")</f>
        <v/>
      </c>
      <c r="M269" s="26" t="str">
        <f aca="false">IF(Returns!$O269=1,Returns!D269,"")</f>
        <v/>
      </c>
      <c r="N269" s="26" t="str">
        <f aca="false">IF(Returns!$O269=1,Returns!E269,"")</f>
        <v/>
      </c>
      <c r="O269" s="26" t="str">
        <f aca="false">IF(Returns!$O269=1,Returns!F269,"")</f>
        <v/>
      </c>
      <c r="P269" s="26" t="str">
        <f aca="false">IF(Returns!$O269=1,Returns!G269,"")</f>
        <v/>
      </c>
      <c r="Q269" s="26" t="str">
        <f aca="false">IF(Returns!$O269=1,Returns!H269,"")</f>
        <v/>
      </c>
      <c r="R269" s="26" t="str">
        <f aca="false">IF(Returns!$O269=1,Returns!I269,"")</f>
        <v/>
      </c>
      <c r="S269" s="26" t="str">
        <f aca="false">IF(Returns!$O269=1,Returns!J269,"")</f>
        <v/>
      </c>
      <c r="T269" s="26" t="n">
        <f aca="false">IF(Returns!$O269=1,"",Returns!K269)</f>
        <v>-0.00201468441005626</v>
      </c>
    </row>
    <row r="270" customFormat="false" ht="15" hidden="false" customHeight="false" outlineLevel="0" collapsed="false">
      <c r="A270" s="25" t="n">
        <f aca="false">Returns!A270</f>
        <v>44102</v>
      </c>
      <c r="B270" s="26" t="n">
        <f aca="false">IF(Returns!$O270=1,"",Returns!B270)</f>
        <v>-0.030069654747531</v>
      </c>
      <c r="C270" s="26" t="n">
        <f aca="false">IF(Returns!$O270=1,"",Returns!C270)</f>
        <v>-0.040802144013912</v>
      </c>
      <c r="D270" s="26" t="n">
        <f aca="false">IF(Returns!$O270=1,"",Returns!D270)</f>
        <v>-0.0301425674192491</v>
      </c>
      <c r="E270" s="26" t="n">
        <f aca="false">IF(Returns!$O270=1,"",Returns!E270)</f>
        <v>-0.0398304745762712</v>
      </c>
      <c r="F270" s="26" t="n">
        <f aca="false">IF(Returns!$O270=1,"",Returns!F270)</f>
        <v>-0.0426997180527353</v>
      </c>
      <c r="G270" s="26" t="n">
        <f aca="false">IF(Returns!$O270=1,"",Returns!G270)</f>
        <v>-0.0347913004576886</v>
      </c>
      <c r="H270" s="26" t="n">
        <f aca="false">IF(Returns!$O270=1,"",Returns!H270)</f>
        <v>-0.0248385506626205</v>
      </c>
      <c r="I270" s="26" t="n">
        <f aca="false">IF(Returns!$O270=1,"",Returns!I270)</f>
        <v>-0.037493914903756</v>
      </c>
      <c r="J270" s="26" t="n">
        <f aca="false">IF(Returns!$O270=1,"",Returns!J270)</f>
        <v>-0.00793250632911402</v>
      </c>
      <c r="K270" s="26" t="str">
        <f aca="false">IF(Returns!$O270=1,Returns!B270,"")</f>
        <v/>
      </c>
      <c r="L270" s="26" t="str">
        <f aca="false">IF(Returns!$O270=1,Returns!C270,"")</f>
        <v/>
      </c>
      <c r="M270" s="26" t="str">
        <f aca="false">IF(Returns!$O270=1,Returns!D270,"")</f>
        <v/>
      </c>
      <c r="N270" s="26" t="str">
        <f aca="false">IF(Returns!$O270=1,Returns!E270,"")</f>
        <v/>
      </c>
      <c r="O270" s="26" t="str">
        <f aca="false">IF(Returns!$O270=1,Returns!F270,"")</f>
        <v/>
      </c>
      <c r="P270" s="26" t="str">
        <f aca="false">IF(Returns!$O270=1,Returns!G270,"")</f>
        <v/>
      </c>
      <c r="Q270" s="26" t="str">
        <f aca="false">IF(Returns!$O270=1,Returns!H270,"")</f>
        <v/>
      </c>
      <c r="R270" s="26" t="str">
        <f aca="false">IF(Returns!$O270=1,Returns!I270,"")</f>
        <v/>
      </c>
      <c r="S270" s="26" t="str">
        <f aca="false">IF(Returns!$O270=1,Returns!J270,"")</f>
        <v/>
      </c>
      <c r="T270" s="26" t="n">
        <f aca="false">IF(Returns!$O270=1,"",Returns!K270)</f>
        <v>-0.0320667590180975</v>
      </c>
    </row>
    <row r="271" customFormat="false" ht="15" hidden="false" customHeight="false" outlineLevel="0" collapsed="false">
      <c r="A271" s="25" t="n">
        <f aca="false">Returns!A271</f>
        <v>44103</v>
      </c>
      <c r="B271" s="26" t="n">
        <f aca="false">IF(Returns!$O271=1,"",Returns!B271)</f>
        <v>0.00850654032111375</v>
      </c>
      <c r="C271" s="26" t="n">
        <f aca="false">IF(Returns!$O271=1,"",Returns!C271)</f>
        <v>-0.0247227603971191</v>
      </c>
      <c r="D271" s="26" t="n">
        <f aca="false">IF(Returns!$O271=1,"",Returns!D271)</f>
        <v>0.00797988273750017</v>
      </c>
      <c r="E271" s="26" t="n">
        <f aca="false">IF(Returns!$O271=1,"",Returns!E271)</f>
        <v>0.00247129735317575</v>
      </c>
      <c r="F271" s="26" t="n">
        <f aca="false">IF(Returns!$O271=1,"",Returns!F271)</f>
        <v>0.020503573818176</v>
      </c>
      <c r="G271" s="26" t="n">
        <f aca="false">IF(Returns!$O271=1,"",Returns!G271)</f>
        <v>-0.0108136457260557</v>
      </c>
      <c r="H271" s="26" t="n">
        <f aca="false">IF(Returns!$O271=1,"",Returns!H271)</f>
        <v>-0.0163015800459287</v>
      </c>
      <c r="I271" s="26" t="n">
        <f aca="false">IF(Returns!$O271=1,"",Returns!I271)</f>
        <v>-0.0100528340256969</v>
      </c>
      <c r="J271" s="26" t="n">
        <f aca="false">IF(Returns!$O271=1,"",Returns!J271)</f>
        <v>-0.00731543054296402</v>
      </c>
      <c r="K271" s="26" t="str">
        <f aca="false">IF(Returns!$O271=1,Returns!B271,"")</f>
        <v/>
      </c>
      <c r="L271" s="26" t="str">
        <f aca="false">IF(Returns!$O271=1,Returns!C271,"")</f>
        <v/>
      </c>
      <c r="M271" s="26" t="str">
        <f aca="false">IF(Returns!$O271=1,Returns!D271,"")</f>
        <v/>
      </c>
      <c r="N271" s="26" t="str">
        <f aca="false">IF(Returns!$O271=1,Returns!E271,"")</f>
        <v/>
      </c>
      <c r="O271" s="26" t="str">
        <f aca="false">IF(Returns!$O271=1,Returns!F271,"")</f>
        <v/>
      </c>
      <c r="P271" s="26" t="str">
        <f aca="false">IF(Returns!$O271=1,Returns!G271,"")</f>
        <v/>
      </c>
      <c r="Q271" s="26" t="str">
        <f aca="false">IF(Returns!$O271=1,Returns!H271,"")</f>
        <v/>
      </c>
      <c r="R271" s="26" t="str">
        <f aca="false">IF(Returns!$O271=1,Returns!I271,"")</f>
        <v/>
      </c>
      <c r="S271" s="26" t="str">
        <f aca="false">IF(Returns!$O271=1,Returns!J271,"")</f>
        <v/>
      </c>
      <c r="T271" s="26" t="n">
        <f aca="false">IF(Returns!$O271=1,"",Returns!K271)</f>
        <v>-0.00330499516753319</v>
      </c>
    </row>
    <row r="272" customFormat="false" ht="15" hidden="false" customHeight="false" outlineLevel="0" collapsed="false">
      <c r="A272" s="25" t="n">
        <f aca="false">Returns!A272</f>
        <v>44104</v>
      </c>
      <c r="B272" s="26" t="n">
        <f aca="false">IF(Returns!$O272=1,"",Returns!B272)</f>
        <v>0.0185567392148731</v>
      </c>
      <c r="C272" s="26" t="n">
        <f aca="false">IF(Returns!$O272=1,"",Returns!C272)</f>
        <v>0.0253494692516212</v>
      </c>
      <c r="D272" s="26" t="n">
        <f aca="false">IF(Returns!$O272=1,"",Returns!D272)</f>
        <v>-0.00833337499999998</v>
      </c>
      <c r="E272" s="26" t="n">
        <f aca="false">IF(Returns!$O272=1,"",Returns!E272)</f>
        <v>-0.00211310086083638</v>
      </c>
      <c r="F272" s="26" t="n">
        <f aca="false">IF(Returns!$O272=1,"",Returns!F272)</f>
        <v>0.000704963675558723</v>
      </c>
      <c r="G272" s="26" t="n">
        <f aca="false">IF(Returns!$O272=1,"",Returns!G272)</f>
        <v>0.0114524212104332</v>
      </c>
      <c r="H272" s="26" t="n">
        <f aca="false">IF(Returns!$O272=1,"",Returns!H272)</f>
        <v>0.0155360960919779</v>
      </c>
      <c r="I272" s="26" t="n">
        <f aca="false">IF(Returns!$O272=1,"",Returns!I272)</f>
        <v>0.00203098394969459</v>
      </c>
      <c r="J272" s="26" t="n">
        <f aca="false">IF(Returns!$O272=1,"",Returns!J272)</f>
        <v>0.0130249019031672</v>
      </c>
      <c r="K272" s="26" t="str">
        <f aca="false">IF(Returns!$O272=1,Returns!B272,"")</f>
        <v/>
      </c>
      <c r="L272" s="26" t="str">
        <f aca="false">IF(Returns!$O272=1,Returns!C272,"")</f>
        <v/>
      </c>
      <c r="M272" s="26" t="str">
        <f aca="false">IF(Returns!$O272=1,Returns!D272,"")</f>
        <v/>
      </c>
      <c r="N272" s="26" t="str">
        <f aca="false">IF(Returns!$O272=1,Returns!E272,"")</f>
        <v/>
      </c>
      <c r="O272" s="26" t="str">
        <f aca="false">IF(Returns!$O272=1,Returns!F272,"")</f>
        <v/>
      </c>
      <c r="P272" s="26" t="str">
        <f aca="false">IF(Returns!$O272=1,Returns!G272,"")</f>
        <v/>
      </c>
      <c r="Q272" s="26" t="str">
        <f aca="false">IF(Returns!$O272=1,Returns!H272,"")</f>
        <v/>
      </c>
      <c r="R272" s="26" t="str">
        <f aca="false">IF(Returns!$O272=1,Returns!I272,"")</f>
        <v/>
      </c>
      <c r="S272" s="26" t="str">
        <f aca="false">IF(Returns!$O272=1,Returns!J272,"")</f>
        <v/>
      </c>
      <c r="T272" s="26" t="n">
        <f aca="false">IF(Returns!$O272=1,"",Returns!K272)</f>
        <v>0.00846767771516551</v>
      </c>
    </row>
    <row r="273" customFormat="false" ht="15" hidden="false" customHeight="false" outlineLevel="0" collapsed="false">
      <c r="A273" s="25" t="n">
        <f aca="false">Returns!A273</f>
        <v>44105</v>
      </c>
      <c r="B273" s="26" t="n">
        <f aca="false">IF(Returns!$O273=1,"",Returns!B273)</f>
        <v>0.0200588884799411</v>
      </c>
      <c r="C273" s="26" t="n">
        <f aca="false">IF(Returns!$O273=1,"",Returns!C273)</f>
        <v>-0.00872568655610573</v>
      </c>
      <c r="D273" s="26" t="n">
        <f aca="false">IF(Returns!$O273=1,"",Returns!D273)</f>
        <v>0.0218487824306211</v>
      </c>
      <c r="E273" s="26" t="n">
        <f aca="false">IF(Returns!$O273=1,"",Returns!E273)</f>
        <v>0.00794072729630235</v>
      </c>
      <c r="F273" s="26" t="n">
        <f aca="false">IF(Returns!$O273=1,"",Returns!F273)</f>
        <v>0.0331103044660352</v>
      </c>
      <c r="G273" s="26" t="n">
        <f aca="false">IF(Returns!$O273=1,"",Returns!G273)</f>
        <v>0.0576427689140504</v>
      </c>
      <c r="H273" s="26" t="n">
        <f aca="false">IF(Returns!$O273=1,"",Returns!H273)</f>
        <v>0.012238602129597</v>
      </c>
      <c r="I273" s="26" t="n">
        <f aca="false">IF(Returns!$O273=1,"",Returns!I273)</f>
        <v>0.0412972422263545</v>
      </c>
      <c r="J273" s="26" t="n">
        <f aca="false">IF(Returns!$O273=1,"",Returns!J273)</f>
        <v>-0.00422940273677208</v>
      </c>
      <c r="K273" s="26" t="str">
        <f aca="false">IF(Returns!$O273=1,Returns!B273,"")</f>
        <v/>
      </c>
      <c r="L273" s="26" t="str">
        <f aca="false">IF(Returns!$O273=1,Returns!C273,"")</f>
        <v/>
      </c>
      <c r="M273" s="26" t="str">
        <f aca="false">IF(Returns!$O273=1,Returns!D273,"")</f>
        <v/>
      </c>
      <c r="N273" s="26" t="str">
        <f aca="false">IF(Returns!$O273=1,Returns!E273,"")</f>
        <v/>
      </c>
      <c r="O273" s="26" t="str">
        <f aca="false">IF(Returns!$O273=1,Returns!F273,"")</f>
        <v/>
      </c>
      <c r="P273" s="26" t="str">
        <f aca="false">IF(Returns!$O273=1,Returns!G273,"")</f>
        <v/>
      </c>
      <c r="Q273" s="26" t="str">
        <f aca="false">IF(Returns!$O273=1,Returns!H273,"")</f>
        <v/>
      </c>
      <c r="R273" s="26" t="str">
        <f aca="false">IF(Returns!$O273=1,Returns!I273,"")</f>
        <v/>
      </c>
      <c r="S273" s="26" t="str">
        <f aca="false">IF(Returns!$O273=1,Returns!J273,"")</f>
        <v/>
      </c>
      <c r="T273" s="26" t="n">
        <f aca="false">IF(Returns!$O273=1,"",Returns!K273)</f>
        <v>0.0201313585166693</v>
      </c>
    </row>
    <row r="274" customFormat="false" ht="15" hidden="false" customHeight="false" outlineLevel="0" collapsed="false">
      <c r="A274" s="25" t="n">
        <f aca="false">Returns!A274</f>
        <v>44106</v>
      </c>
      <c r="B274" s="26" t="n">
        <f aca="false">IF(Returns!$O274=1,"",Returns!B274)</f>
        <v>-0.00902038607252387</v>
      </c>
      <c r="C274" s="26" t="n">
        <f aca="false">IF(Returns!$O274=1,"",Returns!C274)</f>
        <v>-0.0232899696787079</v>
      </c>
      <c r="D274" s="26" t="n">
        <f aca="false">IF(Returns!$O274=1,"",Returns!D274)</f>
        <v>-0.0180921463815789</v>
      </c>
      <c r="E274" s="26" t="n">
        <f aca="false">IF(Returns!$O274=1,"",Returns!E274)</f>
        <v>-0.00735290629119234</v>
      </c>
      <c r="F274" s="26" t="n">
        <f aca="false">IF(Returns!$O274=1,"",Returns!F274)</f>
        <v>-0.0252301842591477</v>
      </c>
      <c r="G274" s="26" t="n">
        <f aca="false">IF(Returns!$O274=1,"",Returns!G274)</f>
        <v>-0.0141118741660279</v>
      </c>
      <c r="H274" s="26" t="n">
        <f aca="false">IF(Returns!$O274=1,"",Returns!H274)</f>
        <v>-0.0418136020151134</v>
      </c>
      <c r="I274" s="26" t="n">
        <f aca="false">IF(Returns!$O274=1,"",Returns!I274)</f>
        <v>-0.00462288077438533</v>
      </c>
      <c r="J274" s="26" t="n">
        <f aca="false">IF(Returns!$O274=1,"",Returns!J274)</f>
        <v>-0.00917432876020508</v>
      </c>
      <c r="K274" s="26" t="str">
        <f aca="false">IF(Returns!$O274=1,Returns!B274,"")</f>
        <v/>
      </c>
      <c r="L274" s="26" t="str">
        <f aca="false">IF(Returns!$O274=1,Returns!C274,"")</f>
        <v/>
      </c>
      <c r="M274" s="26" t="str">
        <f aca="false">IF(Returns!$O274=1,Returns!D274,"")</f>
        <v/>
      </c>
      <c r="N274" s="26" t="str">
        <f aca="false">IF(Returns!$O274=1,Returns!E274,"")</f>
        <v/>
      </c>
      <c r="O274" s="26" t="str">
        <f aca="false">IF(Returns!$O274=1,Returns!F274,"")</f>
        <v/>
      </c>
      <c r="P274" s="26" t="str">
        <f aca="false">IF(Returns!$O274=1,Returns!G274,"")</f>
        <v/>
      </c>
      <c r="Q274" s="26" t="str">
        <f aca="false">IF(Returns!$O274=1,Returns!H274,"")</f>
        <v/>
      </c>
      <c r="R274" s="26" t="str">
        <f aca="false">IF(Returns!$O274=1,Returns!I274,"")</f>
        <v/>
      </c>
      <c r="S274" s="26" t="str">
        <f aca="false">IF(Returns!$O274=1,Returns!J274,"")</f>
        <v/>
      </c>
      <c r="T274" s="26" t="n">
        <f aca="false">IF(Returns!$O274=1,"",Returns!K274)</f>
        <v>-0.0169675864887647</v>
      </c>
    </row>
    <row r="275" customFormat="false" ht="15" hidden="false" customHeight="false" outlineLevel="0" collapsed="false">
      <c r="A275" s="25" t="n">
        <f aca="false">Returns!A275</f>
        <v>44109</v>
      </c>
      <c r="B275" s="26" t="n">
        <f aca="false">IF(Returns!$O275=1,"",Returns!B275)</f>
        <v>0.0247588021117786</v>
      </c>
      <c r="C275" s="26" t="n">
        <f aca="false">IF(Returns!$O275=1,"",Returns!C275)</f>
        <v>0.046751787213803</v>
      </c>
      <c r="D275" s="26" t="n">
        <f aca="false">IF(Returns!$O275=1,"",Returns!D275)</f>
        <v>0.0163317008514112</v>
      </c>
      <c r="E275" s="26" t="n">
        <f aca="false">IF(Returns!$O275=1,"",Returns!E275)</f>
        <v>0.00970015855908013</v>
      </c>
      <c r="F275" s="26" t="n">
        <f aca="false">IF(Returns!$O275=1,"",Returns!F275)</f>
        <v>-0.0045470559592623</v>
      </c>
      <c r="G275" s="26" t="n">
        <f aca="false">IF(Returns!$O275=1,"",Returns!G275)</f>
        <v>0.0207305034550838</v>
      </c>
      <c r="H275" s="26" t="n">
        <f aca="false">IF(Returns!$O275=1,"",Returns!H275)</f>
        <v>0.0531020504731861</v>
      </c>
      <c r="I275" s="26" t="n">
        <f aca="false">IF(Returns!$O275=1,"",Returns!I275)</f>
        <v>0.00464435105558958</v>
      </c>
      <c r="J275" s="26" t="n">
        <f aca="false">IF(Returns!$O275=1,"",Returns!J275)</f>
        <v>0.0217764060356653</v>
      </c>
      <c r="K275" s="26" t="str">
        <f aca="false">IF(Returns!$O275=1,Returns!B275,"")</f>
        <v/>
      </c>
      <c r="L275" s="26" t="str">
        <f aca="false">IF(Returns!$O275=1,Returns!C275,"")</f>
        <v/>
      </c>
      <c r="M275" s="26" t="str">
        <f aca="false">IF(Returns!$O275=1,Returns!D275,"")</f>
        <v/>
      </c>
      <c r="N275" s="26" t="str">
        <f aca="false">IF(Returns!$O275=1,Returns!E275,"")</f>
        <v/>
      </c>
      <c r="O275" s="26" t="str">
        <f aca="false">IF(Returns!$O275=1,Returns!F275,"")</f>
        <v/>
      </c>
      <c r="P275" s="26" t="str">
        <f aca="false">IF(Returns!$O275=1,Returns!G275,"")</f>
        <v/>
      </c>
      <c r="Q275" s="26" t="str">
        <f aca="false">IF(Returns!$O275=1,Returns!H275,"")</f>
        <v/>
      </c>
      <c r="R275" s="26" t="str">
        <f aca="false">IF(Returns!$O275=1,Returns!I275,"")</f>
        <v/>
      </c>
      <c r="S275" s="26" t="str">
        <f aca="false">IF(Returns!$O275=1,Returns!J275,"")</f>
        <v/>
      </c>
      <c r="T275" s="26" t="n">
        <f aca="false">IF(Returns!$O275=1,"",Returns!K275)</f>
        <v>0.0214720781995928</v>
      </c>
    </row>
    <row r="276" customFormat="false" ht="15" hidden="false" customHeight="false" outlineLevel="0" collapsed="false">
      <c r="A276" s="25" t="n">
        <f aca="false">Returns!A276</f>
        <v>44110</v>
      </c>
      <c r="B276" s="26" t="n">
        <f aca="false">IF(Returns!$O276=1,"",Returns!B276)</f>
        <v>-0.0163439684429921</v>
      </c>
      <c r="C276" s="26" t="n">
        <f aca="false">IF(Returns!$O276=1,"",Returns!C276)</f>
        <v>-0.035694998076771</v>
      </c>
      <c r="D276" s="26" t="n">
        <f aca="false">IF(Returns!$O276=1,"",Returns!D276)</f>
        <v>-0.00865269880510911</v>
      </c>
      <c r="E276" s="26" t="n">
        <f aca="false">IF(Returns!$O276=1,"",Returns!E276)</f>
        <v>0.00104805240174666</v>
      </c>
      <c r="F276" s="26" t="n">
        <f aca="false">IF(Returns!$O276=1,"",Returns!F276)</f>
        <v>0.00281097262906926</v>
      </c>
      <c r="G276" s="26" t="n">
        <f aca="false">IF(Returns!$O276=1,"",Returns!G276)</f>
        <v>0.0227272727272727</v>
      </c>
      <c r="H276" s="26" t="n">
        <f aca="false">IF(Returns!$O276=1,"",Returns!H276)</f>
        <v>-0.00499256090900835</v>
      </c>
      <c r="I276" s="26" t="n">
        <f aca="false">IF(Returns!$O276=1,"",Returns!I276)</f>
        <v>0.00194640417180936</v>
      </c>
      <c r="J276" s="26" t="n">
        <f aca="false">IF(Returns!$O276=1,"",Returns!J276)</f>
        <v>-0.0162779157576776</v>
      </c>
      <c r="K276" s="26" t="str">
        <f aca="false">IF(Returns!$O276=1,Returns!B276,"")</f>
        <v/>
      </c>
      <c r="L276" s="26" t="str">
        <f aca="false">IF(Returns!$O276=1,Returns!C276,"")</f>
        <v/>
      </c>
      <c r="M276" s="26" t="str">
        <f aca="false">IF(Returns!$O276=1,Returns!D276,"")</f>
        <v/>
      </c>
      <c r="N276" s="26" t="str">
        <f aca="false">IF(Returns!$O276=1,Returns!E276,"")</f>
        <v/>
      </c>
      <c r="O276" s="26" t="str">
        <f aca="false">IF(Returns!$O276=1,Returns!F276,"")</f>
        <v/>
      </c>
      <c r="P276" s="26" t="str">
        <f aca="false">IF(Returns!$O276=1,Returns!G276,"")</f>
        <v/>
      </c>
      <c r="Q276" s="26" t="str">
        <f aca="false">IF(Returns!$O276=1,Returns!H276,"")</f>
        <v/>
      </c>
      <c r="R276" s="26" t="str">
        <f aca="false">IF(Returns!$O276=1,Returns!I276,"")</f>
        <v/>
      </c>
      <c r="S276" s="26" t="str">
        <f aca="false">IF(Returns!$O276=1,Returns!J276,"")</f>
        <v/>
      </c>
      <c r="T276" s="26" t="n">
        <f aca="false">IF(Returns!$O276=1,"",Returns!K276)</f>
        <v>-0.00593660445129557</v>
      </c>
    </row>
    <row r="277" customFormat="false" ht="15" hidden="false" customHeight="false" outlineLevel="0" collapsed="false">
      <c r="A277" s="25" t="n">
        <f aca="false">Returns!A277</f>
        <v>44111</v>
      </c>
      <c r="B277" s="26" t="n">
        <f aca="false">IF(Returns!$O277=1,"",Returns!B277)</f>
        <v>0.00379272175894396</v>
      </c>
      <c r="C277" s="26" t="n">
        <f aca="false">IF(Returns!$O277=1,"",Returns!C277)</f>
        <v>-0.000930022321428581</v>
      </c>
      <c r="D277" s="26" t="n">
        <f aca="false">IF(Returns!$O277=1,"",Returns!D277)</f>
        <v>0.0157939324935132</v>
      </c>
      <c r="E277" s="26" t="n">
        <f aca="false">IF(Returns!$O277=1,"",Returns!E277)</f>
        <v>-0.00732859872049207</v>
      </c>
      <c r="F277" s="26" t="n">
        <f aca="false">IF(Returns!$O277=1,"",Returns!F277)</f>
        <v>-0.0283812616936019</v>
      </c>
      <c r="G277" s="26" t="n">
        <f aca="false">IF(Returns!$O277=1,"",Returns!G277)</f>
        <v>0.021276595744681</v>
      </c>
      <c r="H277" s="26" t="n">
        <f aca="false">IF(Returns!$O277=1,"",Returns!H277)</f>
        <v>-0.00702453587556451</v>
      </c>
      <c r="I277" s="26" t="n">
        <f aca="false">IF(Returns!$O277=1,"",Returns!I277)</f>
        <v>-0.0118989203204211</v>
      </c>
      <c r="J277" s="26" t="n">
        <f aca="false">IF(Returns!$O277=1,"",Returns!J277)</f>
        <v>0.0264414709389538</v>
      </c>
      <c r="K277" s="26" t="str">
        <f aca="false">IF(Returns!$O277=1,Returns!B277,"")</f>
        <v/>
      </c>
      <c r="L277" s="26" t="str">
        <f aca="false">IF(Returns!$O277=1,Returns!C277,"")</f>
        <v/>
      </c>
      <c r="M277" s="26" t="str">
        <f aca="false">IF(Returns!$O277=1,Returns!D277,"")</f>
        <v/>
      </c>
      <c r="N277" s="26" t="str">
        <f aca="false">IF(Returns!$O277=1,Returns!E277,"")</f>
        <v/>
      </c>
      <c r="O277" s="26" t="str">
        <f aca="false">IF(Returns!$O277=1,Returns!F277,"")</f>
        <v/>
      </c>
      <c r="P277" s="26" t="str">
        <f aca="false">IF(Returns!$O277=1,Returns!G277,"")</f>
        <v/>
      </c>
      <c r="Q277" s="26" t="str">
        <f aca="false">IF(Returns!$O277=1,Returns!H277,"")</f>
        <v/>
      </c>
      <c r="R277" s="26" t="str">
        <f aca="false">IF(Returns!$O277=1,Returns!I277,"")</f>
        <v/>
      </c>
      <c r="S277" s="26" t="str">
        <f aca="false">IF(Returns!$O277=1,Returns!J277,"")</f>
        <v/>
      </c>
      <c r="T277" s="26" t="n">
        <f aca="false">IF(Returns!$O277=1,"",Returns!K277)</f>
        <v>0.00130459800050932</v>
      </c>
    </row>
    <row r="278" customFormat="false" ht="15" hidden="false" customHeight="false" outlineLevel="0" collapsed="false">
      <c r="A278" s="25" t="n">
        <f aca="false">Returns!A278</f>
        <v>44112</v>
      </c>
      <c r="B278" s="26" t="n">
        <f aca="false">IF(Returns!$O278=1,"",Returns!B278)</f>
        <v>0.0219502870834729</v>
      </c>
      <c r="C278" s="26" t="n">
        <f aca="false">IF(Returns!$O278=1,"",Returns!C278)</f>
        <v>0.0212250411012831</v>
      </c>
      <c r="D278" s="26" t="n">
        <f aca="false">IF(Returns!$O278=1,"",Returns!D278)</f>
        <v>0.0184123560387743</v>
      </c>
      <c r="E278" s="26" t="n">
        <f aca="false">IF(Returns!$O278=1,"",Returns!E278)</f>
        <v>0.0539637907182948</v>
      </c>
      <c r="F278" s="26" t="n">
        <f aca="false">IF(Returns!$O278=1,"",Returns!F278)</f>
        <v>-0.00108183301228681</v>
      </c>
      <c r="G278" s="26" t="n">
        <f aca="false">IF(Returns!$O278=1,"",Returns!G278)</f>
        <v>-0.000462962962962998</v>
      </c>
      <c r="H278" s="26" t="n">
        <f aca="false">IF(Returns!$O278=1,"",Returns!H278)</f>
        <v>0.032844869487374</v>
      </c>
      <c r="I278" s="26" t="n">
        <f aca="false">IF(Returns!$O278=1,"",Returns!I278)</f>
        <v>0.00638973954131195</v>
      </c>
      <c r="J278" s="26" t="n">
        <f aca="false">IF(Returns!$O278=1,"",Returns!J278)</f>
        <v>0.0186139776836953</v>
      </c>
      <c r="K278" s="26" t="str">
        <f aca="false">IF(Returns!$O278=1,Returns!B278,"")</f>
        <v/>
      </c>
      <c r="L278" s="26" t="str">
        <f aca="false">IF(Returns!$O278=1,Returns!C278,"")</f>
        <v/>
      </c>
      <c r="M278" s="26" t="str">
        <f aca="false">IF(Returns!$O278=1,Returns!D278,"")</f>
        <v/>
      </c>
      <c r="N278" s="26" t="str">
        <f aca="false">IF(Returns!$O278=1,Returns!E278,"")</f>
        <v/>
      </c>
      <c r="O278" s="26" t="str">
        <f aca="false">IF(Returns!$O278=1,Returns!F278,"")</f>
        <v/>
      </c>
      <c r="P278" s="26" t="str">
        <f aca="false">IF(Returns!$O278=1,Returns!G278,"")</f>
        <v/>
      </c>
      <c r="Q278" s="26" t="str">
        <f aca="false">IF(Returns!$O278=1,Returns!H278,"")</f>
        <v/>
      </c>
      <c r="R278" s="26" t="str">
        <f aca="false">IF(Returns!$O278=1,Returns!I278,"")</f>
        <v/>
      </c>
      <c r="S278" s="26" t="str">
        <f aca="false">IF(Returns!$O278=1,Returns!J278,"")</f>
        <v/>
      </c>
      <c r="T278" s="26" t="n">
        <f aca="false">IF(Returns!$O278=1,"",Returns!K278)</f>
        <v>0.0190950295198841</v>
      </c>
    </row>
    <row r="279" customFormat="false" ht="15" hidden="false" customHeight="false" outlineLevel="0" collapsed="false">
      <c r="A279" s="25" t="n">
        <f aca="false">Returns!A279</f>
        <v>44113</v>
      </c>
      <c r="B279" s="26" t="n">
        <f aca="false">IF(Returns!$O279=1,"",Returns!B279)</f>
        <v>-0.0341548949675158</v>
      </c>
      <c r="C279" s="26" t="n">
        <f aca="false">IF(Returns!$O279=1,"",Returns!C279)</f>
        <v>-0.00255243395720017</v>
      </c>
      <c r="D279" s="26" t="n">
        <f aca="false">IF(Returns!$O279=1,"",Returns!D279)</f>
        <v>-0.028525473223201</v>
      </c>
      <c r="E279" s="26" t="n">
        <f aca="false">IF(Returns!$O279=1,"",Returns!E279)</f>
        <v>0.00316882927232864</v>
      </c>
      <c r="F279" s="26" t="n">
        <f aca="false">IF(Returns!$O279=1,"",Returns!F279)</f>
        <v>-0.0180504874389263</v>
      </c>
      <c r="G279" s="26" t="n">
        <f aca="false">IF(Returns!$O279=1,"",Returns!G279)</f>
        <v>-0.0106530338119499</v>
      </c>
      <c r="H279" s="26" t="n">
        <f aca="false">IF(Returns!$O279=1,"",Returns!H279)</f>
        <v>-0.0313112509143223</v>
      </c>
      <c r="I279" s="26" t="n">
        <f aca="false">IF(Returns!$O279=1,"",Returns!I279)</f>
        <v>-0.0168497447351358</v>
      </c>
      <c r="J279" s="26" t="n">
        <f aca="false">IF(Returns!$O279=1,"",Returns!J279)</f>
        <v>0.00505787232733113</v>
      </c>
      <c r="K279" s="26" t="str">
        <f aca="false">IF(Returns!$O279=1,Returns!B279,"")</f>
        <v/>
      </c>
      <c r="L279" s="26" t="str">
        <f aca="false">IF(Returns!$O279=1,Returns!C279,"")</f>
        <v/>
      </c>
      <c r="M279" s="26" t="str">
        <f aca="false">IF(Returns!$O279=1,Returns!D279,"")</f>
        <v/>
      </c>
      <c r="N279" s="26" t="str">
        <f aca="false">IF(Returns!$O279=1,Returns!E279,"")</f>
        <v/>
      </c>
      <c r="O279" s="26" t="str">
        <f aca="false">IF(Returns!$O279=1,Returns!F279,"")</f>
        <v/>
      </c>
      <c r="P279" s="26" t="str">
        <f aca="false">IF(Returns!$O279=1,Returns!G279,"")</f>
        <v/>
      </c>
      <c r="Q279" s="26" t="str">
        <f aca="false">IF(Returns!$O279=1,Returns!H279,"")</f>
        <v/>
      </c>
      <c r="R279" s="26" t="str">
        <f aca="false">IF(Returns!$O279=1,Returns!I279,"")</f>
        <v/>
      </c>
      <c r="S279" s="26" t="str">
        <f aca="false">IF(Returns!$O279=1,Returns!J279,"")</f>
        <v/>
      </c>
      <c r="T279" s="26" t="n">
        <f aca="false">IF(Returns!$O279=1,"",Returns!K279)</f>
        <v>-0.0148745130498435</v>
      </c>
    </row>
    <row r="280" customFormat="false" ht="15" hidden="false" customHeight="false" outlineLevel="0" collapsed="false">
      <c r="A280" s="25" t="n">
        <f aca="false">Returns!A280</f>
        <v>44117</v>
      </c>
      <c r="B280" s="26" t="n">
        <f aca="false">IF(Returns!$O280=1,"",Returns!B280)</f>
        <v>-0.00200512209250592</v>
      </c>
      <c r="C280" s="26" t="n">
        <f aca="false">IF(Returns!$O280=1,"",Returns!C280)</f>
        <v>0.00164503753043466</v>
      </c>
      <c r="D280" s="26" t="n">
        <f aca="false">IF(Returns!$O280=1,"",Returns!D280)</f>
        <v>0.0198511166253101</v>
      </c>
      <c r="E280" s="26" t="n">
        <f aca="false">IF(Returns!$O280=1,"",Returns!E280)</f>
        <v>-0.0129676304915168</v>
      </c>
      <c r="F280" s="26" t="n">
        <f aca="false">IF(Returns!$O280=1,"",Returns!F280)</f>
        <v>0.0220588078151311</v>
      </c>
      <c r="G280" s="26" t="n">
        <f aca="false">IF(Returns!$O280=1,"",Returns!G280)</f>
        <v>-0.00983150703036029</v>
      </c>
      <c r="H280" s="26" t="n">
        <f aca="false">IF(Returns!$O280=1,"",Returns!H280)</f>
        <v>0.0166666675084177</v>
      </c>
      <c r="I280" s="26" t="n">
        <f aca="false">IF(Returns!$O280=1,"",Returns!I280)</f>
        <v>0.0111773195874629</v>
      </c>
      <c r="J280" s="26" t="n">
        <f aca="false">IF(Returns!$O280=1,"",Returns!J280)</f>
        <v>0.00876625028461864</v>
      </c>
      <c r="K280" s="26" t="str">
        <f aca="false">IF(Returns!$O280=1,Returns!B280,"")</f>
        <v/>
      </c>
      <c r="L280" s="26" t="str">
        <f aca="false">IF(Returns!$O280=1,Returns!C280,"")</f>
        <v/>
      </c>
      <c r="M280" s="26" t="str">
        <f aca="false">IF(Returns!$O280=1,Returns!D280,"")</f>
        <v/>
      </c>
      <c r="N280" s="26" t="str">
        <f aca="false">IF(Returns!$O280=1,Returns!E280,"")</f>
        <v/>
      </c>
      <c r="O280" s="26" t="str">
        <f aca="false">IF(Returns!$O280=1,Returns!F280,"")</f>
        <v/>
      </c>
      <c r="P280" s="26" t="str">
        <f aca="false">IF(Returns!$O280=1,Returns!G280,"")</f>
        <v/>
      </c>
      <c r="Q280" s="26" t="str">
        <f aca="false">IF(Returns!$O280=1,Returns!H280,"")</f>
        <v/>
      </c>
      <c r="R280" s="26" t="str">
        <f aca="false">IF(Returns!$O280=1,Returns!I280,"")</f>
        <v/>
      </c>
      <c r="S280" s="26" t="str">
        <f aca="false">IF(Returns!$O280=1,Returns!J280,"")</f>
        <v/>
      </c>
      <c r="T280" s="26" t="n">
        <f aca="false">IF(Returns!$O280=1,"",Returns!K280)</f>
        <v>0.00615121552633247</v>
      </c>
    </row>
    <row r="281" customFormat="false" ht="15" hidden="false" customHeight="false" outlineLevel="0" collapsed="false">
      <c r="A281" s="25" t="n">
        <f aca="false">Returns!A281</f>
        <v>44118</v>
      </c>
      <c r="B281" s="26" t="n">
        <f aca="false">IF(Returns!$O281=1,"",Returns!B281)</f>
        <v>-0.00073061187214607</v>
      </c>
      <c r="C281" s="26" t="n">
        <f aca="false">IF(Returns!$O281=1,"",Returns!C281)</f>
        <v>0.028832136088764</v>
      </c>
      <c r="D281" s="26" t="n">
        <f aca="false">IF(Returns!$O281=1,"",Returns!D281)</f>
        <v>-0.00851577453365771</v>
      </c>
      <c r="E281" s="26" t="n">
        <f aca="false">IF(Returns!$O281=1,"",Returns!E281)</f>
        <v>0.0390769755613436</v>
      </c>
      <c r="F281" s="26" t="n">
        <f aca="false">IF(Returns!$O281=1,"",Returns!F281)</f>
        <v>-0.0197842279718856</v>
      </c>
      <c r="G281" s="26" t="n">
        <f aca="false">IF(Returns!$O281=1,"",Returns!G281)</f>
        <v>0.000945626477541595</v>
      </c>
      <c r="H281" s="26" t="n">
        <f aca="false">IF(Returns!$O281=1,"",Returns!H281)</f>
        <v>-0.00794833621203861</v>
      </c>
      <c r="I281" s="26" t="n">
        <f aca="false">IF(Returns!$O281=1,"",Returns!I281)</f>
        <v>0.00466708814071093</v>
      </c>
      <c r="J281" s="26" t="n">
        <f aca="false">IF(Returns!$O281=1,"",Returns!J281)</f>
        <v>0.0138397330839994</v>
      </c>
      <c r="K281" s="26" t="str">
        <f aca="false">IF(Returns!$O281=1,Returns!B281,"")</f>
        <v/>
      </c>
      <c r="L281" s="26" t="str">
        <f aca="false">IF(Returns!$O281=1,Returns!C281,"")</f>
        <v/>
      </c>
      <c r="M281" s="26" t="str">
        <f aca="false">IF(Returns!$O281=1,Returns!D281,"")</f>
        <v/>
      </c>
      <c r="N281" s="26" t="str">
        <f aca="false">IF(Returns!$O281=1,Returns!E281,"")</f>
        <v/>
      </c>
      <c r="O281" s="26" t="str">
        <f aca="false">IF(Returns!$O281=1,Returns!F281,"")</f>
        <v/>
      </c>
      <c r="P281" s="26" t="str">
        <f aca="false">IF(Returns!$O281=1,Returns!G281,"")</f>
        <v/>
      </c>
      <c r="Q281" s="26" t="str">
        <f aca="false">IF(Returns!$O281=1,Returns!H281,"")</f>
        <v/>
      </c>
      <c r="R281" s="26" t="str">
        <f aca="false">IF(Returns!$O281=1,Returns!I281,"")</f>
        <v/>
      </c>
      <c r="S281" s="26" t="str">
        <f aca="false">IF(Returns!$O281=1,Returns!J281,"")</f>
        <v/>
      </c>
      <c r="T281" s="26" t="n">
        <f aca="false">IF(Returns!$O281=1,"",Returns!K281)</f>
        <v>0.0055980676402924</v>
      </c>
    </row>
    <row r="282" customFormat="false" ht="15" hidden="false" customHeight="false" outlineLevel="0" collapsed="false">
      <c r="A282" s="25" t="n">
        <f aca="false">Returns!A282</f>
        <v>44119</v>
      </c>
      <c r="B282" s="26" t="n">
        <f aca="false">IF(Returns!$O282=1,"",Returns!B282)</f>
        <v>-0.016815902336244</v>
      </c>
      <c r="C282" s="26" t="n">
        <f aca="false">IF(Returns!$O282=1,"",Returns!C282)</f>
        <v>-0.0136572900613212</v>
      </c>
      <c r="D282" s="26" t="n">
        <f aca="false">IF(Returns!$O282=1,"",Returns!D282)</f>
        <v>0.015132882816651</v>
      </c>
      <c r="E282" s="26" t="n">
        <f aca="false">IF(Returns!$O282=1,"",Returns!E282)</f>
        <v>0.0111849896447558</v>
      </c>
      <c r="F282" s="26" t="n">
        <f aca="false">IF(Returns!$O282=1,"",Returns!F282)</f>
        <v>0.0209174821578133</v>
      </c>
      <c r="G282" s="26" t="n">
        <f aca="false">IF(Returns!$O282=1,"",Returns!G282)</f>
        <v>0.00141714690599892</v>
      </c>
      <c r="H282" s="26" t="n">
        <f aca="false">IF(Returns!$O282=1,"",Returns!H282)</f>
        <v>-0.0110164752637194</v>
      </c>
      <c r="I282" s="26" t="n">
        <f aca="false">IF(Returns!$O282=1,"",Returns!I282)</f>
        <v>-0.014425414710234</v>
      </c>
      <c r="J282" s="26" t="n">
        <f aca="false">IF(Returns!$O282=1,"",Returns!J282)</f>
        <v>-0.00841268253968253</v>
      </c>
      <c r="K282" s="26" t="str">
        <f aca="false">IF(Returns!$O282=1,Returns!B282,"")</f>
        <v/>
      </c>
      <c r="L282" s="26" t="str">
        <f aca="false">IF(Returns!$O282=1,Returns!C282,"")</f>
        <v/>
      </c>
      <c r="M282" s="26" t="str">
        <f aca="false">IF(Returns!$O282=1,Returns!D282,"")</f>
        <v/>
      </c>
      <c r="N282" s="26" t="str">
        <f aca="false">IF(Returns!$O282=1,Returns!E282,"")</f>
        <v/>
      </c>
      <c r="O282" s="26" t="str">
        <f aca="false">IF(Returns!$O282=1,Returns!F282,"")</f>
        <v/>
      </c>
      <c r="P282" s="26" t="str">
        <f aca="false">IF(Returns!$O282=1,Returns!G282,"")</f>
        <v/>
      </c>
      <c r="Q282" s="26" t="str">
        <f aca="false">IF(Returns!$O282=1,Returns!H282,"")</f>
        <v/>
      </c>
      <c r="R282" s="26" t="str">
        <f aca="false">IF(Returns!$O282=1,Returns!I282,"")</f>
        <v/>
      </c>
      <c r="S282" s="26" t="str">
        <f aca="false">IF(Returns!$O282=1,Returns!J282,"")</f>
        <v/>
      </c>
      <c r="T282" s="26" t="n">
        <f aca="false">IF(Returns!$O282=1,"",Returns!K282)</f>
        <v>-0.00174169593177578</v>
      </c>
    </row>
    <row r="283" customFormat="false" ht="15" hidden="false" customHeight="false" outlineLevel="0" collapsed="false">
      <c r="A283" s="25" t="n">
        <f aca="false">Returns!A283</f>
        <v>44120</v>
      </c>
      <c r="B283" s="26" t="n">
        <f aca="false">IF(Returns!$O283=1,"",Returns!B283)</f>
        <v>-0.0011154675382884</v>
      </c>
      <c r="C283" s="26" t="n">
        <f aca="false">IF(Returns!$O283=1,"",Returns!C283)</f>
        <v>-0.0228376546873287</v>
      </c>
      <c r="D283" s="26" t="n">
        <f aca="false">IF(Returns!$O283=1,"",Returns!D283)</f>
        <v>0.0398871474617244</v>
      </c>
      <c r="E283" s="26" t="n">
        <f aca="false">IF(Returns!$O283=1,"",Returns!E283)</f>
        <v>-0.00176340170305545</v>
      </c>
      <c r="F283" s="26" t="n">
        <f aca="false">IF(Returns!$O283=1,"",Returns!F283)</f>
        <v>-0.0165348615891774</v>
      </c>
      <c r="G283" s="26" t="n">
        <f aca="false">IF(Returns!$O283=1,"",Returns!G283)</f>
        <v>-0.0141509898985382</v>
      </c>
      <c r="H283" s="26" t="n">
        <f aca="false">IF(Returns!$O283=1,"",Returns!H283)</f>
        <v>-0.0212658227848103</v>
      </c>
      <c r="I283" s="26" t="n">
        <f aca="false">IF(Returns!$O283=1,"",Returns!I283)</f>
        <v>-0.00818647030723674</v>
      </c>
      <c r="J283" s="26" t="n">
        <f aca="false">IF(Returns!$O283=1,"",Returns!J283)</f>
        <v>-0.00368175118165925</v>
      </c>
      <c r="K283" s="26" t="str">
        <f aca="false">IF(Returns!$O283=1,Returns!B283,"")</f>
        <v/>
      </c>
      <c r="L283" s="26" t="str">
        <f aca="false">IF(Returns!$O283=1,Returns!C283,"")</f>
        <v/>
      </c>
      <c r="M283" s="26" t="str">
        <f aca="false">IF(Returns!$O283=1,Returns!D283,"")</f>
        <v/>
      </c>
      <c r="N283" s="26" t="str">
        <f aca="false">IF(Returns!$O283=1,Returns!E283,"")</f>
        <v/>
      </c>
      <c r="O283" s="26" t="str">
        <f aca="false">IF(Returns!$O283=1,Returns!F283,"")</f>
        <v/>
      </c>
      <c r="P283" s="26" t="str">
        <f aca="false">IF(Returns!$O283=1,Returns!G283,"")</f>
        <v/>
      </c>
      <c r="Q283" s="26" t="str">
        <f aca="false">IF(Returns!$O283=1,Returns!H283,"")</f>
        <v/>
      </c>
      <c r="R283" s="26" t="str">
        <f aca="false">IF(Returns!$O283=1,Returns!I283,"")</f>
        <v/>
      </c>
      <c r="S283" s="26" t="str">
        <f aca="false">IF(Returns!$O283=1,Returns!J283,"")</f>
        <v/>
      </c>
      <c r="T283" s="26" t="n">
        <f aca="false">IF(Returns!$O283=1,"",Returns!K283)</f>
        <v>-0.00551658580315222</v>
      </c>
    </row>
    <row r="284" customFormat="false" ht="15" hidden="false" customHeight="false" outlineLevel="0" collapsed="false">
      <c r="A284" s="25" t="n">
        <f aca="false">Returns!A284</f>
        <v>44123</v>
      </c>
      <c r="B284" s="26" t="n">
        <f aca="false">IF(Returns!$O284=1,"",Returns!B284)</f>
        <v>0.0167504373720455</v>
      </c>
      <c r="C284" s="26" t="n">
        <f aca="false">IF(Returns!$O284=1,"",Returns!C284)</f>
        <v>0.0331247705764586</v>
      </c>
      <c r="D284" s="26" t="n">
        <f aca="false">IF(Returns!$O284=1,"",Returns!D284)</f>
        <v>-0.0244091059437856</v>
      </c>
      <c r="E284" s="26" t="n">
        <f aca="false">IF(Returns!$O284=1,"",Returns!E284)</f>
        <v>-0.00947486751244586</v>
      </c>
      <c r="F284" s="26" t="n">
        <f aca="false">IF(Returns!$O284=1,"",Returns!F284)</f>
        <v>0.00511698602940136</v>
      </c>
      <c r="G284" s="26" t="n">
        <f aca="false">IF(Returns!$O284=1,"",Returns!G284)</f>
        <v>0.00765545454545458</v>
      </c>
      <c r="H284" s="26" t="n">
        <f aca="false">IF(Returns!$O284=1,"",Returns!H284)</f>
        <v>0.00982928091050184</v>
      </c>
      <c r="I284" s="26" t="n">
        <f aca="false">IF(Returns!$O284=1,"",Returns!I284)</f>
        <v>0.0225112269279808</v>
      </c>
      <c r="J284" s="26" t="n">
        <f aca="false">IF(Returns!$O284=1,"",Returns!J284)</f>
        <v>-0.00465939895053336</v>
      </c>
      <c r="K284" s="26" t="str">
        <f aca="false">IF(Returns!$O284=1,Returns!B284,"")</f>
        <v/>
      </c>
      <c r="L284" s="26" t="str">
        <f aca="false">IF(Returns!$O284=1,Returns!C284,"")</f>
        <v/>
      </c>
      <c r="M284" s="26" t="str">
        <f aca="false">IF(Returns!$O284=1,Returns!D284,"")</f>
        <v/>
      </c>
      <c r="N284" s="26" t="str">
        <f aca="false">IF(Returns!$O284=1,Returns!E284,"")</f>
        <v/>
      </c>
      <c r="O284" s="26" t="str">
        <f aca="false">IF(Returns!$O284=1,Returns!F284,"")</f>
        <v/>
      </c>
      <c r="P284" s="26" t="str">
        <f aca="false">IF(Returns!$O284=1,Returns!G284,"")</f>
        <v/>
      </c>
      <c r="Q284" s="26" t="str">
        <f aca="false">IF(Returns!$O284=1,Returns!H284,"")</f>
        <v/>
      </c>
      <c r="R284" s="26" t="str">
        <f aca="false">IF(Returns!$O284=1,Returns!I284,"")</f>
        <v/>
      </c>
      <c r="S284" s="26" t="str">
        <f aca="false">IF(Returns!$O284=1,Returns!J284,"")</f>
        <v/>
      </c>
      <c r="T284" s="26" t="n">
        <f aca="false">IF(Returns!$O284=1,"",Returns!K284)</f>
        <v>0.00627164266167531</v>
      </c>
    </row>
    <row r="285" customFormat="false" ht="15" hidden="false" customHeight="false" outlineLevel="0" collapsed="false">
      <c r="A285" s="25" t="n">
        <f aca="false">Returns!A285</f>
        <v>44124</v>
      </c>
      <c r="B285" s="26" t="n">
        <f aca="false">IF(Returns!$O285=1,"",Returns!B285)</f>
        <v>0.00860327643047265</v>
      </c>
      <c r="C285" s="26" t="n">
        <f aca="false">IF(Returns!$O285=1,"",Returns!C285)</f>
        <v>0.0313501608719302</v>
      </c>
      <c r="D285" s="26" t="n">
        <f aca="false">IF(Returns!$O285=1,"",Returns!D285)</f>
        <v>0.0127084988085782</v>
      </c>
      <c r="E285" s="26" t="n">
        <f aca="false">IF(Returns!$O285=1,"",Returns!E285)</f>
        <v>0.0452334792477302</v>
      </c>
      <c r="F285" s="26" t="n">
        <f aca="false">IF(Returns!$O285=1,"",Returns!F285)</f>
        <v>-0.00363643997271856</v>
      </c>
      <c r="G285" s="26" t="n">
        <f aca="false">IF(Returns!$O285=1,"",Returns!G285)</f>
        <v>0.00569805345194929</v>
      </c>
      <c r="H285" s="26" t="n">
        <f aca="false">IF(Returns!$O285=1,"",Returns!H285)</f>
        <v>0.033811475409836</v>
      </c>
      <c r="I285" s="26" t="n">
        <f aca="false">IF(Returns!$O285=1,"",Returns!I285)</f>
        <v>0.0254402719946505</v>
      </c>
      <c r="J285" s="26" t="n">
        <f aca="false">IF(Returns!$O285=1,"",Returns!J285)</f>
        <v>-0.00177564161782651</v>
      </c>
      <c r="K285" s="26" t="str">
        <f aca="false">IF(Returns!$O285=1,Returns!B285,"")</f>
        <v/>
      </c>
      <c r="L285" s="26" t="str">
        <f aca="false">IF(Returns!$O285=1,Returns!C285,"")</f>
        <v/>
      </c>
      <c r="M285" s="26" t="str">
        <f aca="false">IF(Returns!$O285=1,Returns!D285,"")</f>
        <v/>
      </c>
      <c r="N285" s="26" t="str">
        <f aca="false">IF(Returns!$O285=1,Returns!E285,"")</f>
        <v/>
      </c>
      <c r="O285" s="26" t="str">
        <f aca="false">IF(Returns!$O285=1,Returns!F285,"")</f>
        <v/>
      </c>
      <c r="P285" s="26" t="str">
        <f aca="false">IF(Returns!$O285=1,Returns!G285,"")</f>
        <v/>
      </c>
      <c r="Q285" s="26" t="str">
        <f aca="false">IF(Returns!$O285=1,Returns!H285,"")</f>
        <v/>
      </c>
      <c r="R285" s="26" t="str">
        <f aca="false">IF(Returns!$O285=1,Returns!I285,"")</f>
        <v/>
      </c>
      <c r="S285" s="26" t="str">
        <f aca="false">IF(Returns!$O285=1,Returns!J285,"")</f>
        <v/>
      </c>
      <c r="T285" s="26" t="n">
        <f aca="false">IF(Returns!$O285=1,"",Returns!K285)</f>
        <v>0.0174925705138447</v>
      </c>
    </row>
    <row r="286" customFormat="false" ht="15" hidden="false" customHeight="false" outlineLevel="0" collapsed="false">
      <c r="A286" s="25" t="n">
        <f aca="false">Returns!A286</f>
        <v>44125</v>
      </c>
      <c r="B286" s="26" t="n">
        <f aca="false">IF(Returns!$O286=1,"",Returns!B286)</f>
        <v>-0.0166968790089611</v>
      </c>
      <c r="C286" s="26" t="n">
        <f aca="false">IF(Returns!$O286=1,"",Returns!C286)</f>
        <v>-0.0091536792307606</v>
      </c>
      <c r="D286" s="26" t="n">
        <f aca="false">IF(Returns!$O286=1,"",Returns!D286)</f>
        <v>-0.0117646666666666</v>
      </c>
      <c r="E286" s="26" t="n">
        <f aca="false">IF(Returns!$O286=1,"",Returns!E286)</f>
        <v>-0.0245075535209003</v>
      </c>
      <c r="F286" s="26" t="n">
        <f aca="false">IF(Returns!$O286=1,"",Returns!F286)</f>
        <v>-0.0299269574779919</v>
      </c>
      <c r="G286" s="26" t="n">
        <f aca="false">IF(Returns!$O286=1,"",Returns!G286)</f>
        <v>0.0372992917847026</v>
      </c>
      <c r="H286" s="26" t="n">
        <f aca="false">IF(Returns!$O286=1,"",Returns!H286)</f>
        <v>-0.000991080277502499</v>
      </c>
      <c r="I286" s="26" t="n">
        <f aca="false">IF(Returns!$O286=1,"",Returns!I286)</f>
        <v>0.0212309370878505</v>
      </c>
      <c r="J286" s="26" t="n">
        <f aca="false">IF(Returns!$O286=1,"",Returns!J286)</f>
        <v>0.0163324385510995</v>
      </c>
      <c r="K286" s="26" t="str">
        <f aca="false">IF(Returns!$O286=1,Returns!B286,"")</f>
        <v/>
      </c>
      <c r="L286" s="26" t="str">
        <f aca="false">IF(Returns!$O286=1,Returns!C286,"")</f>
        <v/>
      </c>
      <c r="M286" s="26" t="str">
        <f aca="false">IF(Returns!$O286=1,Returns!D286,"")</f>
        <v/>
      </c>
      <c r="N286" s="26" t="str">
        <f aca="false">IF(Returns!$O286=1,Returns!E286,"")</f>
        <v/>
      </c>
      <c r="O286" s="26" t="str">
        <f aca="false">IF(Returns!$O286=1,Returns!F286,"")</f>
        <v/>
      </c>
      <c r="P286" s="26" t="str">
        <f aca="false">IF(Returns!$O286=1,Returns!G286,"")</f>
        <v/>
      </c>
      <c r="Q286" s="26" t="str">
        <f aca="false">IF(Returns!$O286=1,Returns!H286,"")</f>
        <v/>
      </c>
      <c r="R286" s="26" t="str">
        <f aca="false">IF(Returns!$O286=1,Returns!I286,"")</f>
        <v/>
      </c>
      <c r="S286" s="26" t="str">
        <f aca="false">IF(Returns!$O286=1,Returns!J286,"")</f>
        <v/>
      </c>
      <c r="T286" s="26" t="n">
        <f aca="false">IF(Returns!$O286=1,"",Returns!K286)</f>
        <v>-0.00201979430657005</v>
      </c>
    </row>
    <row r="287" customFormat="false" ht="15" hidden="false" customHeight="false" outlineLevel="0" collapsed="false">
      <c r="A287" s="25" t="n">
        <f aca="false">Returns!A287</f>
        <v>44126</v>
      </c>
      <c r="B287" s="26" t="n">
        <f aca="false">IF(Returns!$O287=1,"",Returns!B287)</f>
        <v>-0.0297157622739018</v>
      </c>
      <c r="C287" s="26" t="n">
        <f aca="false">IF(Returns!$O287=1,"",Returns!C287)</f>
        <v>-0.0226598574631316</v>
      </c>
      <c r="D287" s="26" t="n">
        <f aca="false">IF(Returns!$O287=1,"",Returns!D287)</f>
        <v>0.00595234103363729</v>
      </c>
      <c r="E287" s="26" t="n">
        <f aca="false">IF(Returns!$O287=1,"",Returns!E287)</f>
        <v>0.0176498810248034</v>
      </c>
      <c r="F287" s="26" t="n">
        <f aca="false">IF(Returns!$O287=1,"",Returns!F287)</f>
        <v>-0.0210684327010473</v>
      </c>
      <c r="G287" s="26" t="n">
        <f aca="false">IF(Returns!$O287=1,"",Returns!G287)</f>
        <v>-0.0172962684249554</v>
      </c>
      <c r="H287" s="26" t="n">
        <f aca="false">IF(Returns!$O287=1,"",Returns!H287)</f>
        <v>0.0337301587301586</v>
      </c>
      <c r="I287" s="26" t="n">
        <f aca="false">IF(Returns!$O287=1,"",Returns!I287)</f>
        <v>-0.0144825724577843</v>
      </c>
      <c r="J287" s="26" t="n">
        <f aca="false">IF(Returns!$O287=1,"",Returns!J287)</f>
        <v>0.00397772486802617</v>
      </c>
      <c r="K287" s="26" t="str">
        <f aca="false">IF(Returns!$O287=1,Returns!B287,"")</f>
        <v/>
      </c>
      <c r="L287" s="26" t="str">
        <f aca="false">IF(Returns!$O287=1,Returns!C287,"")</f>
        <v/>
      </c>
      <c r="M287" s="26" t="str">
        <f aca="false">IF(Returns!$O287=1,Returns!D287,"")</f>
        <v/>
      </c>
      <c r="N287" s="26" t="str">
        <f aca="false">IF(Returns!$O287=1,Returns!E287,"")</f>
        <v/>
      </c>
      <c r="O287" s="26" t="str">
        <f aca="false">IF(Returns!$O287=1,Returns!F287,"")</f>
        <v/>
      </c>
      <c r="P287" s="26" t="str">
        <f aca="false">IF(Returns!$O287=1,Returns!G287,"")</f>
        <v/>
      </c>
      <c r="Q287" s="26" t="str">
        <f aca="false">IF(Returns!$O287=1,Returns!H287,"")</f>
        <v/>
      </c>
      <c r="R287" s="26" t="str">
        <f aca="false">IF(Returns!$O287=1,Returns!I287,"")</f>
        <v/>
      </c>
      <c r="S287" s="26" t="str">
        <f aca="false">IF(Returns!$O287=1,Returns!J287,"")</f>
        <v/>
      </c>
      <c r="T287" s="26" t="n">
        <f aca="false">IF(Returns!$O287=1,"",Returns!K287)</f>
        <v>-0.00487919862935499</v>
      </c>
    </row>
    <row r="288" customFormat="false" ht="15" hidden="false" customHeight="false" outlineLevel="0" collapsed="false">
      <c r="A288" s="25" t="n">
        <f aca="false">Returns!A288</f>
        <v>44127</v>
      </c>
      <c r="B288" s="26" t="n">
        <f aca="false">IF(Returns!$O288=1,"",Returns!B288)</f>
        <v>0.160357618413544</v>
      </c>
      <c r="C288" s="26" t="n">
        <f aca="false">IF(Returns!$O288=1,"",Returns!C288)</f>
        <v>-0.0226503465676646</v>
      </c>
      <c r="D288" s="26" t="n">
        <f aca="false">IF(Returns!$O288=1,"",Returns!D288)</f>
        <v>0.00591715976331364</v>
      </c>
      <c r="E288" s="26" t="n">
        <f aca="false">IF(Returns!$O288=1,"",Returns!E288)</f>
        <v>-0.022499984375</v>
      </c>
      <c r="F288" s="26" t="n">
        <f aca="false">IF(Returns!$O288=1,"",Returns!F288)</f>
        <v>-0.00499616916324897</v>
      </c>
      <c r="G288" s="26" t="n">
        <f aca="false">IF(Returns!$O288=1,"",Returns!G288)</f>
        <v>-0.0176007874015748</v>
      </c>
      <c r="H288" s="26" t="n">
        <f aca="false">IF(Returns!$O288=1,"",Returns!H288)</f>
        <v>-0.0129558541266794</v>
      </c>
      <c r="I288" s="26" t="n">
        <f aca="false">IF(Returns!$O288=1,"",Returns!I288)</f>
        <v>-0.0220432019039233</v>
      </c>
      <c r="J288" s="26" t="n">
        <f aca="false">IF(Returns!$O288=1,"",Returns!J288)</f>
        <v>0.00554679890798093</v>
      </c>
      <c r="K288" s="26" t="str">
        <f aca="false">IF(Returns!$O288=1,Returns!B288,"")</f>
        <v/>
      </c>
      <c r="L288" s="26" t="str">
        <f aca="false">IF(Returns!$O288=1,Returns!C288,"")</f>
        <v/>
      </c>
      <c r="M288" s="26" t="str">
        <f aca="false">IF(Returns!$O288=1,Returns!D288,"")</f>
        <v/>
      </c>
      <c r="N288" s="26" t="str">
        <f aca="false">IF(Returns!$O288=1,Returns!E288,"")</f>
        <v/>
      </c>
      <c r="O288" s="26" t="str">
        <f aca="false">IF(Returns!$O288=1,Returns!F288,"")</f>
        <v/>
      </c>
      <c r="P288" s="26" t="str">
        <f aca="false">IF(Returns!$O288=1,Returns!G288,"")</f>
        <v/>
      </c>
      <c r="Q288" s="26" t="str">
        <f aca="false">IF(Returns!$O288=1,Returns!H288,"")</f>
        <v/>
      </c>
      <c r="R288" s="26" t="str">
        <f aca="false">IF(Returns!$O288=1,Returns!I288,"")</f>
        <v/>
      </c>
      <c r="S288" s="26" t="str">
        <f aca="false">IF(Returns!$O288=1,Returns!J288,"")</f>
        <v/>
      </c>
      <c r="T288" s="26" t="n">
        <f aca="false">IF(Returns!$O288=1,"",Returns!K288)</f>
        <v>0.00767502594963859</v>
      </c>
    </row>
    <row r="289" customFormat="false" ht="15" hidden="false" customHeight="false" outlineLevel="0" collapsed="false">
      <c r="A289" s="25" t="n">
        <f aca="false">Returns!A289</f>
        <v>44130</v>
      </c>
      <c r="B289" s="26" t="n">
        <f aca="false">IF(Returns!$O289=1,"",Returns!B289)</f>
        <v>0.0190163934426228</v>
      </c>
      <c r="C289" s="26" t="n">
        <f aca="false">IF(Returns!$O289=1,"",Returns!C289)</f>
        <v>0.00328467165272528</v>
      </c>
      <c r="D289" s="26" t="n">
        <f aca="false">IF(Returns!$O289=1,"",Returns!D289)</f>
        <v>-0.0117646666666666</v>
      </c>
      <c r="E289" s="26" t="n">
        <f aca="false">IF(Returns!$O289=1,"",Returns!E289)</f>
        <v>0.00527490400775421</v>
      </c>
      <c r="F289" s="26" t="n">
        <f aca="false">IF(Returns!$O289=1,"",Returns!F289)</f>
        <v>0.00926998168394499</v>
      </c>
      <c r="G289" s="26" t="n">
        <f aca="false">IF(Returns!$O289=1,"",Returns!G289)</f>
        <v>-0.0429042924518761</v>
      </c>
      <c r="H289" s="26" t="n">
        <f aca="false">IF(Returns!$O289=1,"",Returns!H289)</f>
        <v>-0.0155566358774915</v>
      </c>
      <c r="I289" s="26" t="n">
        <f aca="false">IF(Returns!$O289=1,"",Returns!I289)</f>
        <v>0.00363555218104072</v>
      </c>
      <c r="J289" s="26" t="n">
        <f aca="false">IF(Returns!$O289=1,"",Returns!J289)</f>
        <v>-0.0149724347522074</v>
      </c>
      <c r="K289" s="26" t="str">
        <f aca="false">IF(Returns!$O289=1,Returns!B289,"")</f>
        <v/>
      </c>
      <c r="L289" s="26" t="str">
        <f aca="false">IF(Returns!$O289=1,Returns!C289,"")</f>
        <v/>
      </c>
      <c r="M289" s="26" t="str">
        <f aca="false">IF(Returns!$O289=1,Returns!D289,"")</f>
        <v/>
      </c>
      <c r="N289" s="26" t="str">
        <f aca="false">IF(Returns!$O289=1,Returns!E289,"")</f>
        <v/>
      </c>
      <c r="O289" s="26" t="str">
        <f aca="false">IF(Returns!$O289=1,Returns!F289,"")</f>
        <v/>
      </c>
      <c r="P289" s="26" t="str">
        <f aca="false">IF(Returns!$O289=1,Returns!G289,"")</f>
        <v/>
      </c>
      <c r="Q289" s="26" t="str">
        <f aca="false">IF(Returns!$O289=1,Returns!H289,"")</f>
        <v/>
      </c>
      <c r="R289" s="26" t="str">
        <f aca="false">IF(Returns!$O289=1,Returns!I289,"")</f>
        <v/>
      </c>
      <c r="S289" s="26" t="str">
        <f aca="false">IF(Returns!$O289=1,Returns!J289,"")</f>
        <v/>
      </c>
      <c r="T289" s="26" t="n">
        <f aca="false">IF(Returns!$O289=1,"",Returns!K289)</f>
        <v>-0.00496850297557262</v>
      </c>
    </row>
    <row r="290" customFormat="false" ht="15" hidden="false" customHeight="false" outlineLevel="0" collapsed="false">
      <c r="A290" s="25" t="n">
        <f aca="false">Returns!A290</f>
        <v>44131</v>
      </c>
      <c r="B290" s="26" t="n">
        <f aca="false">IF(Returns!$O290=1,"",Returns!B290)</f>
        <v>-0.0146396396396395</v>
      </c>
      <c r="C290" s="26" t="n">
        <f aca="false">IF(Returns!$O290=1,"",Returns!C290)</f>
        <v>-0.040560241562759</v>
      </c>
      <c r="D290" s="26" t="n">
        <f aca="false">IF(Returns!$O290=1,"",Returns!D290)</f>
        <v>-0.0166666660052911</v>
      </c>
      <c r="E290" s="26" t="n">
        <f aca="false">IF(Returns!$O290=1,"",Returns!E290)</f>
        <v>0.0267133252776803</v>
      </c>
      <c r="F290" s="26" t="n">
        <f aca="false">IF(Returns!$O290=1,"",Returns!F290)</f>
        <v>-0.0107157087271422</v>
      </c>
      <c r="G290" s="26" t="n">
        <f aca="false">IF(Returns!$O290=1,"",Returns!G290)</f>
        <v>-0.0103447788347182</v>
      </c>
      <c r="H290" s="26" t="n">
        <f aca="false">IF(Returns!$O290=1,"",Returns!H290)</f>
        <v>-0.0182716543209875</v>
      </c>
      <c r="I290" s="26" t="n">
        <f aca="false">IF(Returns!$O290=1,"",Returns!I290)</f>
        <v>-0.00507130985665394</v>
      </c>
      <c r="J290" s="26" t="n">
        <f aca="false">IF(Returns!$O290=1,"",Returns!J290)</f>
        <v>0.000479984000000044</v>
      </c>
      <c r="K290" s="26" t="str">
        <f aca="false">IF(Returns!$O290=1,Returns!B290,"")</f>
        <v/>
      </c>
      <c r="L290" s="26" t="str">
        <f aca="false">IF(Returns!$O290=1,Returns!C290,"")</f>
        <v/>
      </c>
      <c r="M290" s="26" t="str">
        <f aca="false">IF(Returns!$O290=1,Returns!D290,"")</f>
        <v/>
      </c>
      <c r="N290" s="26" t="str">
        <f aca="false">IF(Returns!$O290=1,Returns!E290,"")</f>
        <v/>
      </c>
      <c r="O290" s="26" t="str">
        <f aca="false">IF(Returns!$O290=1,Returns!F290,"")</f>
        <v/>
      </c>
      <c r="P290" s="26" t="str">
        <f aca="false">IF(Returns!$O290=1,Returns!G290,"")</f>
        <v/>
      </c>
      <c r="Q290" s="26" t="str">
        <f aca="false">IF(Returns!$O290=1,Returns!H290,"")</f>
        <v/>
      </c>
      <c r="R290" s="26" t="str">
        <f aca="false">IF(Returns!$O290=1,Returns!I290,"")</f>
        <v/>
      </c>
      <c r="S290" s="26" t="str">
        <f aca="false">IF(Returns!$O290=1,Returns!J290,"")</f>
        <v/>
      </c>
      <c r="T290" s="26" t="n">
        <f aca="false">IF(Returns!$O290=1,"",Returns!K290)</f>
        <v>-0.00989740996327901</v>
      </c>
    </row>
    <row r="291" customFormat="false" ht="15" hidden="false" customHeight="false" outlineLevel="0" collapsed="false">
      <c r="A291" s="25" t="n">
        <f aca="false">Returns!A291</f>
        <v>44132</v>
      </c>
      <c r="B291" s="26" t="n">
        <f aca="false">IF(Returns!$O291=1,"",Returns!B291)</f>
        <v>-0.0171428408163266</v>
      </c>
      <c r="C291" s="26" t="n">
        <f aca="false">IF(Returns!$O291=1,"",Returns!C291)</f>
        <v>-0.0269193006194729</v>
      </c>
      <c r="D291" s="26" t="n">
        <f aca="false">IF(Returns!$O291=1,"",Returns!D291)</f>
        <v>-0.0334947524820519</v>
      </c>
      <c r="E291" s="26" t="n">
        <f aca="false">IF(Returns!$O291=1,"",Returns!E291)</f>
        <v>-0.03128389344897</v>
      </c>
      <c r="F291" s="26" t="n">
        <f aca="false">IF(Returns!$O291=1,"",Returns!F291)</f>
        <v>-0.0437137461242932</v>
      </c>
      <c r="G291" s="26" t="n">
        <f aca="false">IF(Returns!$O291=1,"",Returns!G291)</f>
        <v>-0.0532603285216526</v>
      </c>
      <c r="H291" s="26" t="n">
        <f aca="false">IF(Returns!$O291=1,"",Returns!H291)</f>
        <v>-0.0608651439066974</v>
      </c>
      <c r="I291" s="26" t="n">
        <f aca="false">IF(Returns!$O291=1,"",Returns!I291)</f>
        <v>-0.0225727774019536</v>
      </c>
      <c r="J291" s="26" t="n">
        <f aca="false">IF(Returns!$O291=1,"",Returns!J291)</f>
        <v>-0.0363025913369996</v>
      </c>
      <c r="K291" s="26" t="str">
        <f aca="false">IF(Returns!$O291=1,Returns!B291,"")</f>
        <v/>
      </c>
      <c r="L291" s="26" t="str">
        <f aca="false">IF(Returns!$O291=1,Returns!C291,"")</f>
        <v/>
      </c>
      <c r="M291" s="26" t="str">
        <f aca="false">IF(Returns!$O291=1,Returns!D291,"")</f>
        <v/>
      </c>
      <c r="N291" s="26" t="str">
        <f aca="false">IF(Returns!$O291=1,Returns!E291,"")</f>
        <v/>
      </c>
      <c r="O291" s="26" t="str">
        <f aca="false">IF(Returns!$O291=1,Returns!F291,"")</f>
        <v/>
      </c>
      <c r="P291" s="26" t="str">
        <f aca="false">IF(Returns!$O291=1,Returns!G291,"")</f>
        <v/>
      </c>
      <c r="Q291" s="26" t="str">
        <f aca="false">IF(Returns!$O291=1,Returns!H291,"")</f>
        <v/>
      </c>
      <c r="R291" s="26" t="str">
        <f aca="false">IF(Returns!$O291=1,Returns!I291,"")</f>
        <v/>
      </c>
      <c r="S291" s="26" t="str">
        <f aca="false">IF(Returns!$O291=1,Returns!J291,"")</f>
        <v/>
      </c>
      <c r="T291" s="26" t="n">
        <f aca="false">IF(Returns!$O291=1,"",Returns!K291)</f>
        <v>-0.0361728194064909</v>
      </c>
    </row>
    <row r="292" customFormat="false" ht="15" hidden="false" customHeight="false" outlineLevel="0" collapsed="false">
      <c r="A292" s="25" t="n">
        <f aca="false">Returns!A292</f>
        <v>44133</v>
      </c>
      <c r="B292" s="26" t="n">
        <f aca="false">IF(Returns!$O292=1,"",Returns!B292)</f>
        <v>0.032059800131897</v>
      </c>
      <c r="C292" s="26" t="n">
        <f aca="false">IF(Returns!$O292=1,"",Returns!C292)</f>
        <v>0.0321448841528413</v>
      </c>
      <c r="D292" s="26" t="n">
        <f aca="false">IF(Returns!$O292=1,"",Returns!D292)</f>
        <v>-0.00459294344079575</v>
      </c>
      <c r="E292" s="26" t="n">
        <f aca="false">IF(Returns!$O292=1,"",Returns!E292)</f>
        <v>0.000159904079295004</v>
      </c>
      <c r="F292" s="26" t="n">
        <f aca="false">IF(Returns!$O292=1,"",Returns!F292)</f>
        <v>-0.00121356103779813</v>
      </c>
      <c r="G292" s="26" t="n">
        <f aca="false">IF(Returns!$O292=1,"",Returns!G292)</f>
        <v>0.00420609884332301</v>
      </c>
      <c r="H292" s="26" t="n">
        <f aca="false">IF(Returns!$O292=1,"",Returns!H292)</f>
        <v>0.0332084092126406</v>
      </c>
      <c r="I292" s="26" t="n">
        <f aca="false">IF(Returns!$O292=1,"",Returns!I292)</f>
        <v>-0.0101813107150429</v>
      </c>
      <c r="J292" s="26" t="n">
        <f aca="false">IF(Returns!$O292=1,"",Returns!J292)</f>
        <v>0.029206804819343</v>
      </c>
      <c r="K292" s="26" t="str">
        <f aca="false">IF(Returns!$O292=1,Returns!B292,"")</f>
        <v/>
      </c>
      <c r="L292" s="26" t="str">
        <f aca="false">IF(Returns!$O292=1,Returns!C292,"")</f>
        <v/>
      </c>
      <c r="M292" s="26" t="str">
        <f aca="false">IF(Returns!$O292=1,Returns!D292,"")</f>
        <v/>
      </c>
      <c r="N292" s="26" t="str">
        <f aca="false">IF(Returns!$O292=1,Returns!E292,"")</f>
        <v/>
      </c>
      <c r="O292" s="26" t="str">
        <f aca="false">IF(Returns!$O292=1,Returns!F292,"")</f>
        <v/>
      </c>
      <c r="P292" s="26" t="str">
        <f aca="false">IF(Returns!$O292=1,Returns!G292,"")</f>
        <v/>
      </c>
      <c r="Q292" s="26" t="str">
        <f aca="false">IF(Returns!$O292=1,Returns!H292,"")</f>
        <v/>
      </c>
      <c r="R292" s="26" t="str">
        <f aca="false">IF(Returns!$O292=1,Returns!I292,"")</f>
        <v/>
      </c>
      <c r="S292" s="26" t="str">
        <f aca="false">IF(Returns!$O292=1,Returns!J292,"")</f>
        <v/>
      </c>
      <c r="T292" s="26" t="n">
        <f aca="false">IF(Returns!$O292=1,"",Returns!K292)</f>
        <v>0.0127775651161892</v>
      </c>
    </row>
    <row r="293" customFormat="false" ht="15" hidden="false" customHeight="false" outlineLevel="0" collapsed="false">
      <c r="A293" s="25" t="n">
        <f aca="false">Returns!A293</f>
        <v>44134</v>
      </c>
      <c r="B293" s="26" t="n">
        <f aca="false">IF(Returns!$O293=1,"",Returns!B293)</f>
        <v>-0.0294544015861195</v>
      </c>
      <c r="C293" s="26" t="n">
        <f aca="false">IF(Returns!$O293=1,"",Returns!C293)</f>
        <v>-0.036428878822197</v>
      </c>
      <c r="D293" s="26" t="n">
        <f aca="false">IF(Returns!$O293=1,"",Returns!D293)</f>
        <v>-0.00209727348993283</v>
      </c>
      <c r="E293" s="26" t="n">
        <f aca="false">IF(Returns!$O293=1,"",Returns!E293)</f>
        <v>-0.0300511663994378</v>
      </c>
      <c r="F293" s="26" t="n">
        <f aca="false">IF(Returns!$O293=1,"",Returns!F293)</f>
        <v>-0.0591332459497123</v>
      </c>
      <c r="G293" s="26" t="n">
        <f aca="false">IF(Returns!$O293=1,"",Returns!G293)</f>
        <v>-0.00680633507853401</v>
      </c>
      <c r="H293" s="26" t="n">
        <f aca="false">IF(Returns!$O293=1,"",Returns!H293)</f>
        <v>-0.0181441151817463</v>
      </c>
      <c r="I293" s="26" t="n">
        <f aca="false">IF(Returns!$O293=1,"",Returns!I293)</f>
        <v>-0.00727541420546329</v>
      </c>
      <c r="J293" s="26" t="n">
        <f aca="false">IF(Returns!$O293=1,"",Returns!J293)</f>
        <v>-0.0237020477265398</v>
      </c>
      <c r="K293" s="26" t="str">
        <f aca="false">IF(Returns!$O293=1,Returns!B293,"")</f>
        <v/>
      </c>
      <c r="L293" s="26" t="str">
        <f aca="false">IF(Returns!$O293=1,Returns!C293,"")</f>
        <v/>
      </c>
      <c r="M293" s="26" t="str">
        <f aca="false">IF(Returns!$O293=1,Returns!D293,"")</f>
        <v/>
      </c>
      <c r="N293" s="26" t="str">
        <f aca="false">IF(Returns!$O293=1,Returns!E293,"")</f>
        <v/>
      </c>
      <c r="O293" s="26" t="str">
        <f aca="false">IF(Returns!$O293=1,Returns!F293,"")</f>
        <v/>
      </c>
      <c r="P293" s="26" t="str">
        <f aca="false">IF(Returns!$O293=1,Returns!G293,"")</f>
        <v/>
      </c>
      <c r="Q293" s="26" t="str">
        <f aca="false">IF(Returns!$O293=1,Returns!H293,"")</f>
        <v/>
      </c>
      <c r="R293" s="26" t="str">
        <f aca="false">IF(Returns!$O293=1,Returns!I293,"")</f>
        <v/>
      </c>
      <c r="S293" s="26" t="str">
        <f aca="false">IF(Returns!$O293=1,Returns!J293,"")</f>
        <v/>
      </c>
      <c r="T293" s="26" t="n">
        <f aca="false">IF(Returns!$O293=1,"",Returns!K293)</f>
        <v>-0.0236769864932981</v>
      </c>
    </row>
    <row r="294" customFormat="false" ht="15" hidden="false" customHeight="false" outlineLevel="0" collapsed="false">
      <c r="A294" s="25" t="n">
        <f aca="false">Returns!A294</f>
        <v>44138</v>
      </c>
      <c r="B294" s="26" t="n">
        <f aca="false">IF(Returns!$O294=1,"",Returns!B294)</f>
        <v>-0.00829187410102605</v>
      </c>
      <c r="C294" s="26" t="n">
        <f aca="false">IF(Returns!$O294=1,"",Returns!C294)</f>
        <v>-0.00156705197128526</v>
      </c>
      <c r="D294" s="26" t="n">
        <f aca="false">IF(Returns!$O294=1,"",Returns!D294)</f>
        <v>0.0180747365248115</v>
      </c>
      <c r="E294" s="26" t="n">
        <f aca="false">IF(Returns!$O294=1,"",Returns!E294)</f>
        <v>0.0509228740936059</v>
      </c>
      <c r="F294" s="26" t="n">
        <f aca="false">IF(Returns!$O294=1,"",Returns!F294)</f>
        <v>0.0232458084501204</v>
      </c>
      <c r="G294" s="26" t="n">
        <f aca="false">IF(Returns!$O294=1,"",Returns!G294)</f>
        <v>-0.0168686882903896</v>
      </c>
      <c r="H294" s="26" t="n">
        <f aca="false">IF(Returns!$O294=1,"",Returns!H294)</f>
        <v>0.0374867456448391</v>
      </c>
      <c r="I294" s="26" t="n">
        <f aca="false">IF(Returns!$O294=1,"",Returns!I294)</f>
        <v>-0.0126358589925158</v>
      </c>
      <c r="J294" s="26" t="n">
        <f aca="false">IF(Returns!$O294=1,"",Returns!J294)</f>
        <v>0.0460776390764268</v>
      </c>
      <c r="K294" s="26" t="str">
        <f aca="false">IF(Returns!$O294=1,Returns!B294,"")</f>
        <v/>
      </c>
      <c r="L294" s="26" t="str">
        <f aca="false">IF(Returns!$O294=1,Returns!C294,"")</f>
        <v/>
      </c>
      <c r="M294" s="26" t="str">
        <f aca="false">IF(Returns!$O294=1,Returns!D294,"")</f>
        <v/>
      </c>
      <c r="N294" s="26" t="str">
        <f aca="false">IF(Returns!$O294=1,Returns!E294,"")</f>
        <v/>
      </c>
      <c r="O294" s="26" t="str">
        <f aca="false">IF(Returns!$O294=1,Returns!F294,"")</f>
        <v/>
      </c>
      <c r="P294" s="26" t="str">
        <f aca="false">IF(Returns!$O294=1,Returns!G294,"")</f>
        <v/>
      </c>
      <c r="Q294" s="26" t="str">
        <f aca="false">IF(Returns!$O294=1,Returns!H294,"")</f>
        <v/>
      </c>
      <c r="R294" s="26" t="str">
        <f aca="false">IF(Returns!$O294=1,Returns!I294,"")</f>
        <v/>
      </c>
      <c r="S294" s="26" t="str">
        <f aca="false">IF(Returns!$O294=1,Returns!J294,"")</f>
        <v/>
      </c>
      <c r="T294" s="26" t="n">
        <f aca="false">IF(Returns!$O294=1,"",Returns!K294)</f>
        <v>0.0151604811593985</v>
      </c>
    </row>
    <row r="295" customFormat="false" ht="15" hidden="false" customHeight="false" outlineLevel="0" collapsed="false">
      <c r="A295" s="25" t="n">
        <f aca="false">Returns!A295</f>
        <v>44139</v>
      </c>
      <c r="B295" s="26" t="n">
        <f aca="false">IF(Returns!$O295=1,"",Returns!B295)</f>
        <v>0.0717390814672088</v>
      </c>
      <c r="C295" s="26" t="n">
        <f aca="false">IF(Returns!$O295=1,"",Returns!C295)</f>
        <v>0.0614086521483226</v>
      </c>
      <c r="D295" s="26" t="n">
        <f aca="false">IF(Returns!$O295=1,"",Returns!D295)</f>
        <v>-0.0136251037830349</v>
      </c>
      <c r="E295" s="26" t="n">
        <f aca="false">IF(Returns!$O295=1,"",Returns!E295)</f>
        <v>0.0396738748627881</v>
      </c>
      <c r="F295" s="26" t="n">
        <f aca="false">IF(Returns!$O295=1,"",Returns!F295)</f>
        <v>0.0496423790596443</v>
      </c>
      <c r="G295" s="26" t="n">
        <f aca="false">IF(Returns!$O295=1,"",Returns!G295)</f>
        <v>0.0396782305630028</v>
      </c>
      <c r="H295" s="26" t="n">
        <f aca="false">IF(Returns!$O295=1,"",Returns!H295)</f>
        <v>0.00356229007633613</v>
      </c>
      <c r="I295" s="26" t="n">
        <f aca="false">IF(Returns!$O295=1,"",Returns!I295)</f>
        <v>0.023291587876479</v>
      </c>
      <c r="J295" s="26" t="n">
        <f aca="false">IF(Returns!$O295=1,"",Returns!J295)</f>
        <v>-0.0277865172087149</v>
      </c>
      <c r="K295" s="26" t="str">
        <f aca="false">IF(Returns!$O295=1,Returns!B295,"")</f>
        <v/>
      </c>
      <c r="L295" s="26" t="str">
        <f aca="false">IF(Returns!$O295=1,Returns!C295,"")</f>
        <v/>
      </c>
      <c r="M295" s="26" t="str">
        <f aca="false">IF(Returns!$O295=1,Returns!D295,"")</f>
        <v/>
      </c>
      <c r="N295" s="26" t="str">
        <f aca="false">IF(Returns!$O295=1,Returns!E295,"")</f>
        <v/>
      </c>
      <c r="O295" s="26" t="str">
        <f aca="false">IF(Returns!$O295=1,Returns!F295,"")</f>
        <v/>
      </c>
      <c r="P295" s="26" t="str">
        <f aca="false">IF(Returns!$O295=1,Returns!G295,"")</f>
        <v/>
      </c>
      <c r="Q295" s="26" t="str">
        <f aca="false">IF(Returns!$O295=1,Returns!H295,"")</f>
        <v/>
      </c>
      <c r="R295" s="26" t="str">
        <f aca="false">IF(Returns!$O295=1,Returns!I295,"")</f>
        <v/>
      </c>
      <c r="S295" s="26" t="str">
        <f aca="false">IF(Returns!$O295=1,Returns!J295,"")</f>
        <v/>
      </c>
      <c r="T295" s="26" t="n">
        <f aca="false">IF(Returns!$O295=1,"",Returns!K295)</f>
        <v>0.0275093861180035</v>
      </c>
    </row>
    <row r="296" customFormat="false" ht="15" hidden="false" customHeight="false" outlineLevel="0" collapsed="false">
      <c r="A296" s="25" t="n">
        <f aca="false">Returns!A296</f>
        <v>44140</v>
      </c>
      <c r="B296" s="26" t="n">
        <f aca="false">IF(Returns!$O296=1,"",Returns!B296)</f>
        <v>0.000780199767838941</v>
      </c>
      <c r="C296" s="26" t="n">
        <f aca="false">IF(Returns!$O296=1,"",Returns!C296)</f>
        <v>0.0463956385655386</v>
      </c>
      <c r="D296" s="26" t="n">
        <f aca="false">IF(Returns!$O296=1,"",Returns!D296)</f>
        <v>0.00711594839330054</v>
      </c>
      <c r="E296" s="26" t="n">
        <f aca="false">IF(Returns!$O296=1,"",Returns!E296)</f>
        <v>0.023830979313832</v>
      </c>
      <c r="F296" s="26" t="n">
        <f aca="false">IF(Returns!$O296=1,"",Returns!F296)</f>
        <v>0.0124249184153651</v>
      </c>
      <c r="G296" s="26" t="n">
        <f aca="false">IF(Returns!$O296=1,"",Returns!G296)</f>
        <v>0.0680763315150248</v>
      </c>
      <c r="H296" s="26" t="n">
        <f aca="false">IF(Returns!$O296=1,"",Returns!H296)</f>
        <v>0.00862069009232691</v>
      </c>
      <c r="I296" s="26" t="n">
        <f aca="false">IF(Returns!$O296=1,"",Returns!I296)</f>
        <v>0.0367683039866742</v>
      </c>
      <c r="J296" s="26" t="n">
        <f aca="false">IF(Returns!$O296=1,"",Returns!J296)</f>
        <v>0.0157518182607399</v>
      </c>
      <c r="K296" s="26" t="str">
        <f aca="false">IF(Returns!$O296=1,Returns!B296,"")</f>
        <v/>
      </c>
      <c r="L296" s="26" t="str">
        <f aca="false">IF(Returns!$O296=1,Returns!C296,"")</f>
        <v/>
      </c>
      <c r="M296" s="26" t="str">
        <f aca="false">IF(Returns!$O296=1,Returns!D296,"")</f>
        <v/>
      </c>
      <c r="N296" s="26" t="str">
        <f aca="false">IF(Returns!$O296=1,Returns!E296,"")</f>
        <v/>
      </c>
      <c r="O296" s="26" t="str">
        <f aca="false">IF(Returns!$O296=1,Returns!F296,"")</f>
        <v/>
      </c>
      <c r="P296" s="26" t="str">
        <f aca="false">IF(Returns!$O296=1,Returns!G296,"")</f>
        <v/>
      </c>
      <c r="Q296" s="26" t="str">
        <f aca="false">IF(Returns!$O296=1,Returns!H296,"")</f>
        <v/>
      </c>
      <c r="R296" s="26" t="str">
        <f aca="false">IF(Returns!$O296=1,Returns!I296,"")</f>
        <v/>
      </c>
      <c r="S296" s="26" t="str">
        <f aca="false">IF(Returns!$O296=1,Returns!J296,"")</f>
        <v/>
      </c>
      <c r="T296" s="26" t="n">
        <f aca="false">IF(Returns!$O296=1,"",Returns!K296)</f>
        <v>0.0244183142567379</v>
      </c>
    </row>
    <row r="297" customFormat="false" ht="15" hidden="false" customHeight="false" outlineLevel="0" collapsed="false">
      <c r="A297" s="25" t="n">
        <f aca="false">Returns!A297</f>
        <v>44141</v>
      </c>
      <c r="B297" s="26" t="n">
        <f aca="false">IF(Returns!$O297=1,"",Returns!B297)</f>
        <v>-0.0144995324992132</v>
      </c>
      <c r="C297" s="26" t="n">
        <f aca="false">IF(Returns!$O297=1,"",Returns!C297)</f>
        <v>0.000176576567219033</v>
      </c>
      <c r="D297" s="26" t="n">
        <f aca="false">IF(Returns!$O297=1,"",Returns!D297)</f>
        <v>-0.0116374900929964</v>
      </c>
      <c r="E297" s="26" t="n">
        <f aca="false">IF(Returns!$O297=1,"",Returns!E297)</f>
        <v>0.00176786984831478</v>
      </c>
      <c r="F297" s="26" t="n">
        <f aca="false">IF(Returns!$O297=1,"",Returns!F297)</f>
        <v>-0.00950126002870877</v>
      </c>
      <c r="G297" s="26" t="n">
        <f aca="false">IF(Returns!$O297=1,"",Returns!G297)</f>
        <v>0.038145873401539</v>
      </c>
      <c r="H297" s="26" t="n">
        <f aca="false">IF(Returns!$O297=1,"",Returns!H297)</f>
        <v>-0.00703866299842448</v>
      </c>
      <c r="I297" s="26" t="n">
        <f aca="false">IF(Returns!$O297=1,"",Returns!I297)</f>
        <v>0.00506639018825883</v>
      </c>
      <c r="J297" s="26" t="n">
        <f aca="false">IF(Returns!$O297=1,"",Returns!J297)</f>
        <v>0.0102318147119396</v>
      </c>
      <c r="K297" s="26" t="str">
        <f aca="false">IF(Returns!$O297=1,Returns!B297,"")</f>
        <v/>
      </c>
      <c r="L297" s="26" t="str">
        <f aca="false">IF(Returns!$O297=1,Returns!C297,"")</f>
        <v/>
      </c>
      <c r="M297" s="26" t="str">
        <f aca="false">IF(Returns!$O297=1,Returns!D297,"")</f>
        <v/>
      </c>
      <c r="N297" s="26" t="str">
        <f aca="false">IF(Returns!$O297=1,Returns!E297,"")</f>
        <v/>
      </c>
      <c r="O297" s="26" t="str">
        <f aca="false">IF(Returns!$O297=1,Returns!F297,"")</f>
        <v/>
      </c>
      <c r="P297" s="26" t="str">
        <f aca="false">IF(Returns!$O297=1,Returns!G297,"")</f>
        <v/>
      </c>
      <c r="Q297" s="26" t="str">
        <f aca="false">IF(Returns!$O297=1,Returns!H297,"")</f>
        <v/>
      </c>
      <c r="R297" s="26" t="str">
        <f aca="false">IF(Returns!$O297=1,Returns!I297,"")</f>
        <v/>
      </c>
      <c r="S297" s="26" t="str">
        <f aca="false">IF(Returns!$O297=1,Returns!J297,"")</f>
        <v/>
      </c>
      <c r="T297" s="26" t="n">
        <f aca="false">IF(Returns!$O297=1,"",Returns!K297)</f>
        <v>0.00141239767754759</v>
      </c>
    </row>
    <row r="298" customFormat="false" ht="15" hidden="false" customHeight="false" outlineLevel="0" collapsed="false">
      <c r="A298" s="25" t="n">
        <f aca="false">Returns!A298</f>
        <v>44144</v>
      </c>
      <c r="B298" s="26" t="n">
        <f aca="false">IF(Returns!$O298=1,"",Returns!B298)</f>
        <v>0.0275272587806874</v>
      </c>
      <c r="C298" s="26" t="n">
        <f aca="false">IF(Returns!$O298=1,"",Returns!C298)</f>
        <v>-0.0489225723935459</v>
      </c>
      <c r="D298" s="26" t="n">
        <f aca="false">IF(Returns!$O298=1,"",Returns!D298)</f>
        <v>0.00462565161372375</v>
      </c>
      <c r="E298" s="26" t="n">
        <f aca="false">IF(Returns!$O298=1,"",Returns!E298)</f>
        <v>-0.0279412058823529</v>
      </c>
      <c r="F298" s="26" t="n">
        <f aca="false">IF(Returns!$O298=1,"",Returns!F298)</f>
        <v>0.00999197642358385</v>
      </c>
      <c r="G298" s="26" t="n">
        <f aca="false">IF(Returns!$O298=1,"",Returns!G298)</f>
        <v>0.14046511627907</v>
      </c>
      <c r="H298" s="26" t="n">
        <f aca="false">IF(Returns!$O298=1,"",Returns!H298)</f>
        <v>0.0941772658227849</v>
      </c>
      <c r="I298" s="26" t="n">
        <f aca="false">IF(Returns!$O298=1,"",Returns!I298)</f>
        <v>-0.00312053315066263</v>
      </c>
      <c r="J298" s="26" t="n">
        <f aca="false">IF(Returns!$O298=1,"",Returns!J298)</f>
        <v>0</v>
      </c>
      <c r="K298" s="26" t="str">
        <f aca="false">IF(Returns!$O298=1,Returns!B298,"")</f>
        <v/>
      </c>
      <c r="L298" s="26" t="str">
        <f aca="false">IF(Returns!$O298=1,Returns!C298,"")</f>
        <v/>
      </c>
      <c r="M298" s="26" t="str">
        <f aca="false">IF(Returns!$O298=1,Returns!D298,"")</f>
        <v/>
      </c>
      <c r="N298" s="26" t="str">
        <f aca="false">IF(Returns!$O298=1,Returns!E298,"")</f>
        <v/>
      </c>
      <c r="O298" s="26" t="str">
        <f aca="false">IF(Returns!$O298=1,Returns!F298,"")</f>
        <v/>
      </c>
      <c r="P298" s="26" t="str">
        <f aca="false">IF(Returns!$O298=1,Returns!G298,"")</f>
        <v/>
      </c>
      <c r="Q298" s="26" t="str">
        <f aca="false">IF(Returns!$O298=1,Returns!H298,"")</f>
        <v/>
      </c>
      <c r="R298" s="26" t="str">
        <f aca="false">IF(Returns!$O298=1,Returns!I298,"")</f>
        <v/>
      </c>
      <c r="S298" s="26" t="str">
        <f aca="false">IF(Returns!$O298=1,Returns!J298,"")</f>
        <v/>
      </c>
      <c r="T298" s="26" t="n">
        <f aca="false">IF(Returns!$O298=1,"",Returns!K298)</f>
        <v>0.021866995277032</v>
      </c>
    </row>
    <row r="299" customFormat="false" ht="15" hidden="false" customHeight="false" outlineLevel="0" collapsed="false">
      <c r="A299" s="25" t="n">
        <f aca="false">Returns!A299</f>
        <v>44145</v>
      </c>
      <c r="B299" s="26" t="n">
        <f aca="false">IF(Returns!$O299=1,"",Returns!B299)</f>
        <v>0.0115473446442191</v>
      </c>
      <c r="C299" s="26" t="n">
        <f aca="false">IF(Returns!$O299=1,"",Returns!C299)</f>
        <v>0.0046424509948495</v>
      </c>
      <c r="D299" s="26" t="n">
        <f aca="false">IF(Returns!$O299=1,"",Returns!D299)</f>
        <v>-0.0293008802553738</v>
      </c>
      <c r="E299" s="26" t="n">
        <f aca="false">IF(Returns!$O299=1,"",Returns!E299)</f>
        <v>0.00332832082687795</v>
      </c>
      <c r="F299" s="26" t="n">
        <f aca="false">IF(Returns!$O299=1,"",Returns!F299)</f>
        <v>-0.00633160130246779</v>
      </c>
      <c r="G299" s="26" t="n">
        <f aca="false">IF(Returns!$O299=1,"",Returns!G299)</f>
        <v>-0.0195758156606851</v>
      </c>
      <c r="H299" s="26" t="n">
        <f aca="false">IF(Returns!$O299=1,"",Returns!H299)</f>
        <v>0.0680240135111516</v>
      </c>
      <c r="I299" s="26" t="n">
        <f aca="false">IF(Returns!$O299=1,"",Returns!I299)</f>
        <v>0.0298579089232072</v>
      </c>
      <c r="J299" s="26" t="n">
        <f aca="false">IF(Returns!$O299=1,"",Returns!J299)</f>
        <v>-0.000474742846569787</v>
      </c>
      <c r="K299" s="26" t="str">
        <f aca="false">IF(Returns!$O299=1,Returns!B299,"")</f>
        <v/>
      </c>
      <c r="L299" s="26" t="str">
        <f aca="false">IF(Returns!$O299=1,Returns!C299,"")</f>
        <v/>
      </c>
      <c r="M299" s="26" t="str">
        <f aca="false">IF(Returns!$O299=1,Returns!D299,"")</f>
        <v/>
      </c>
      <c r="N299" s="26" t="str">
        <f aca="false">IF(Returns!$O299=1,Returns!E299,"")</f>
        <v/>
      </c>
      <c r="O299" s="26" t="str">
        <f aca="false">IF(Returns!$O299=1,Returns!F299,"")</f>
        <v/>
      </c>
      <c r="P299" s="26" t="str">
        <f aca="false">IF(Returns!$O299=1,Returns!G299,"")</f>
        <v/>
      </c>
      <c r="Q299" s="26" t="str">
        <f aca="false">IF(Returns!$O299=1,Returns!H299,"")</f>
        <v/>
      </c>
      <c r="R299" s="26" t="str">
        <f aca="false">IF(Returns!$O299=1,Returns!I299,"")</f>
        <v/>
      </c>
      <c r="S299" s="26" t="str">
        <f aca="false">IF(Returns!$O299=1,Returns!J299,"")</f>
        <v/>
      </c>
      <c r="T299" s="26" t="n">
        <f aca="false">IF(Returns!$O299=1,"",Returns!K299)</f>
        <v>0.00685744431502321</v>
      </c>
    </row>
    <row r="300" customFormat="false" ht="15" hidden="false" customHeight="false" outlineLevel="0" collapsed="false">
      <c r="A300" s="25" t="n">
        <f aca="false">Returns!A300</f>
        <v>44146</v>
      </c>
      <c r="B300" s="26" t="n">
        <f aca="false">IF(Returns!$O300=1,"",Returns!B300)</f>
        <v>-0.00319633195721447</v>
      </c>
      <c r="C300" s="26" t="n">
        <f aca="false">IF(Returns!$O300=1,"",Returns!C300)</f>
        <v>0.0240295013683827</v>
      </c>
      <c r="D300" s="26" t="n">
        <f aca="false">IF(Returns!$O300=1,"",Returns!D300)</f>
        <v>-0.00431224647208939</v>
      </c>
      <c r="E300" s="26" t="n">
        <f aca="false">IF(Returns!$O300=1,"",Returns!E300)</f>
        <v>-0.00150782569360675</v>
      </c>
      <c r="F300" s="26" t="n">
        <f aca="false">IF(Returns!$O300=1,"",Returns!F300)</f>
        <v>-0.0274791041077799</v>
      </c>
      <c r="G300" s="26" t="n">
        <f aca="false">IF(Returns!$O300=1,"",Returns!G300)</f>
        <v>-0.0170549909710902</v>
      </c>
      <c r="H300" s="26" t="n">
        <f aca="false">IF(Returns!$O300=1,"",Returns!H300)</f>
        <v>-0.00866555459272078</v>
      </c>
      <c r="I300" s="26" t="n">
        <f aca="false">IF(Returns!$O300=1,"",Returns!I300)</f>
        <v>-0.022445616255638</v>
      </c>
      <c r="J300" s="26" t="n">
        <f aca="false">IF(Returns!$O300=1,"",Returns!J300)</f>
        <v>0.0069664027865739</v>
      </c>
      <c r="K300" s="26" t="str">
        <f aca="false">IF(Returns!$O300=1,Returns!B300,"")</f>
        <v/>
      </c>
      <c r="L300" s="26" t="str">
        <f aca="false">IF(Returns!$O300=1,Returns!C300,"")</f>
        <v/>
      </c>
      <c r="M300" s="26" t="str">
        <f aca="false">IF(Returns!$O300=1,Returns!D300,"")</f>
        <v/>
      </c>
      <c r="N300" s="26" t="str">
        <f aca="false">IF(Returns!$O300=1,Returns!E300,"")</f>
        <v/>
      </c>
      <c r="O300" s="26" t="str">
        <f aca="false">IF(Returns!$O300=1,Returns!F300,"")</f>
        <v/>
      </c>
      <c r="P300" s="26" t="str">
        <f aca="false">IF(Returns!$O300=1,Returns!G300,"")</f>
        <v/>
      </c>
      <c r="Q300" s="26" t="str">
        <f aca="false">IF(Returns!$O300=1,Returns!H300,"")</f>
        <v/>
      </c>
      <c r="R300" s="26" t="str">
        <f aca="false">IF(Returns!$O300=1,Returns!I300,"")</f>
        <v/>
      </c>
      <c r="S300" s="26" t="str">
        <f aca="false">IF(Returns!$O300=1,Returns!J300,"")</f>
        <v/>
      </c>
      <c r="T300" s="26" t="n">
        <f aca="false">IF(Returns!$O300=1,"",Returns!K300)</f>
        <v>-0.00596286287724254</v>
      </c>
    </row>
    <row r="301" customFormat="false" ht="15" hidden="false" customHeight="false" outlineLevel="0" collapsed="false">
      <c r="A301" s="25" t="n">
        <f aca="false">Returns!A301</f>
        <v>44147</v>
      </c>
      <c r="B301" s="26" t="n">
        <f aca="false">IF(Returns!$O301=1,"",Returns!B301)</f>
        <v>-0.0204610786520408</v>
      </c>
      <c r="C301" s="26" t="n">
        <f aca="false">IF(Returns!$O301=1,"",Returns!C301)</f>
        <v>-0.029241825743847</v>
      </c>
      <c r="D301" s="26" t="n">
        <f aca="false">IF(Returns!$O301=1,"",Returns!D301)</f>
        <v>0.0168904287570377</v>
      </c>
      <c r="E301" s="26" t="n">
        <f aca="false">IF(Returns!$O301=1,"",Returns!E301)</f>
        <v>-0.0116279672058598</v>
      </c>
      <c r="F301" s="26" t="n">
        <f aca="false">IF(Returns!$O301=1,"",Returns!F301)</f>
        <v>-0.0200654833596371</v>
      </c>
      <c r="G301" s="26" t="n">
        <f aca="false">IF(Returns!$O301=1,"",Returns!G301)</f>
        <v>-0.0270841738080481</v>
      </c>
      <c r="H301" s="26" t="n">
        <f aca="false">IF(Returns!$O301=1,"",Returns!H301)</f>
        <v>-0.0423950630417423</v>
      </c>
      <c r="I301" s="26" t="n">
        <f aca="false">IF(Returns!$O301=1,"",Returns!I301)</f>
        <v>-0.0301363152918765</v>
      </c>
      <c r="J301" s="26" t="n">
        <f aca="false">IF(Returns!$O301=1,"",Returns!J301)</f>
        <v>-0.0146226419692654</v>
      </c>
      <c r="K301" s="26" t="str">
        <f aca="false">IF(Returns!$O301=1,Returns!B301,"")</f>
        <v/>
      </c>
      <c r="L301" s="26" t="str">
        <f aca="false">IF(Returns!$O301=1,Returns!C301,"")</f>
        <v/>
      </c>
      <c r="M301" s="26" t="str">
        <f aca="false">IF(Returns!$O301=1,Returns!D301,"")</f>
        <v/>
      </c>
      <c r="N301" s="26" t="str">
        <f aca="false">IF(Returns!$O301=1,Returns!E301,"")</f>
        <v/>
      </c>
      <c r="O301" s="26" t="str">
        <f aca="false">IF(Returns!$O301=1,Returns!F301,"")</f>
        <v/>
      </c>
      <c r="P301" s="26" t="str">
        <f aca="false">IF(Returns!$O301=1,Returns!G301,"")</f>
        <v/>
      </c>
      <c r="Q301" s="26" t="str">
        <f aca="false">IF(Returns!$O301=1,Returns!H301,"")</f>
        <v/>
      </c>
      <c r="R301" s="26" t="str">
        <f aca="false">IF(Returns!$O301=1,Returns!I301,"")</f>
        <v/>
      </c>
      <c r="S301" s="26" t="str">
        <f aca="false">IF(Returns!$O301=1,Returns!J301,"")</f>
        <v/>
      </c>
      <c r="T301" s="26" t="n">
        <f aca="false">IF(Returns!$O301=1,"",Returns!K301)</f>
        <v>-0.0198604578128088</v>
      </c>
    </row>
    <row r="302" customFormat="false" ht="15" hidden="false" customHeight="false" outlineLevel="0" collapsed="false">
      <c r="A302" s="25" t="n">
        <f aca="false">Returns!A302</f>
        <v>44148</v>
      </c>
      <c r="B302" s="26" t="n">
        <f aca="false">IF(Returns!$O302=1,"",Returns!B302)</f>
        <v>0.0598596395990758</v>
      </c>
      <c r="C302" s="26" t="n">
        <f aca="false">IF(Returns!$O302=1,"",Returns!C302)</f>
        <v>-0.00148750470388648</v>
      </c>
      <c r="D302" s="26" t="n">
        <f aca="false">IF(Returns!$O302=1,"",Returns!D302)</f>
        <v>0.0425894378194207</v>
      </c>
      <c r="E302" s="26" t="n">
        <f aca="false">IF(Returns!$O302=1,"",Returns!E302)</f>
        <v>0.0236822470748166</v>
      </c>
      <c r="F302" s="26" t="n">
        <f aca="false">IF(Returns!$O302=1,"",Returns!F302)</f>
        <v>0.00501458073217398</v>
      </c>
      <c r="G302" s="26" t="n">
        <f aca="false">IF(Returns!$O302=1,"",Returns!G302)</f>
        <v>-0.023488429752066</v>
      </c>
      <c r="H302" s="26" t="n">
        <f aca="false">IF(Returns!$O302=1,"",Returns!H302)</f>
        <v>0.0328616613418531</v>
      </c>
      <c r="I302" s="26" t="n">
        <f aca="false">IF(Returns!$O302=1,"",Returns!I302)</f>
        <v>0.0357583162902626</v>
      </c>
      <c r="J302" s="26" t="n">
        <f aca="false">IF(Returns!$O302=1,"",Returns!J302)</f>
        <v>0.00925485907945944</v>
      </c>
      <c r="K302" s="26" t="str">
        <f aca="false">IF(Returns!$O302=1,Returns!B302,"")</f>
        <v/>
      </c>
      <c r="L302" s="26" t="str">
        <f aca="false">IF(Returns!$O302=1,Returns!C302,"")</f>
        <v/>
      </c>
      <c r="M302" s="26" t="str">
        <f aca="false">IF(Returns!$O302=1,Returns!D302,"")</f>
        <v/>
      </c>
      <c r="N302" s="26" t="str">
        <f aca="false">IF(Returns!$O302=1,Returns!E302,"")</f>
        <v/>
      </c>
      <c r="O302" s="26" t="str">
        <f aca="false">IF(Returns!$O302=1,Returns!F302,"")</f>
        <v/>
      </c>
      <c r="P302" s="26" t="str">
        <f aca="false">IF(Returns!$O302=1,Returns!G302,"")</f>
        <v/>
      </c>
      <c r="Q302" s="26" t="str">
        <f aca="false">IF(Returns!$O302=1,Returns!H302,"")</f>
        <v/>
      </c>
      <c r="R302" s="26" t="str">
        <f aca="false">IF(Returns!$O302=1,Returns!I302,"")</f>
        <v/>
      </c>
      <c r="S302" s="26" t="str">
        <f aca="false">IF(Returns!$O302=1,Returns!J302,"")</f>
        <v/>
      </c>
      <c r="T302" s="26" t="n">
        <f aca="false">IF(Returns!$O302=1,"",Returns!K302)</f>
        <v>0.0204494230534566</v>
      </c>
    </row>
    <row r="303" customFormat="false" ht="15" hidden="false" customHeight="false" outlineLevel="0" collapsed="false">
      <c r="A303" s="25" t="n">
        <f aca="false">Returns!A303</f>
        <v>44151</v>
      </c>
      <c r="B303" s="26" t="n">
        <f aca="false">IF(Returns!$O303=1,"",Returns!B303)</f>
        <v>0.0357405511322417</v>
      </c>
      <c r="C303" s="26" t="n">
        <f aca="false">IF(Returns!$O303=1,"",Returns!C303)</f>
        <v>-0.00558664804469267</v>
      </c>
      <c r="D303" s="26" t="n">
        <f aca="false">IF(Returns!$O303=1,"",Returns!D303)</f>
        <v>-0.0102124183006536</v>
      </c>
      <c r="E303" s="26" t="n">
        <f aca="false">IF(Returns!$O303=1,"",Returns!E303)</f>
        <v>-0.00268656716417925</v>
      </c>
      <c r="F303" s="26" t="n">
        <f aca="false">IF(Returns!$O303=1,"",Returns!F303)</f>
        <v>-0.0195425065478341</v>
      </c>
      <c r="G303" s="26" t="n">
        <f aca="false">IF(Returns!$O303=1,"",Returns!G303)</f>
        <v>0.0120266364353392</v>
      </c>
      <c r="H303" s="26" t="n">
        <f aca="false">IF(Returns!$O303=1,"",Returns!H303)</f>
        <v>0.0291649151199698</v>
      </c>
      <c r="I303" s="26" t="n">
        <f aca="false">IF(Returns!$O303=1,"",Returns!I303)</f>
        <v>0.0214285710610882</v>
      </c>
      <c r="J303" s="26" t="n">
        <f aca="false">IF(Returns!$O303=1,"",Returns!J303)</f>
        <v>0.0264031304347827</v>
      </c>
      <c r="K303" s="26" t="str">
        <f aca="false">IF(Returns!$O303=1,Returns!B303,"")</f>
        <v/>
      </c>
      <c r="L303" s="26" t="str">
        <f aca="false">IF(Returns!$O303=1,Returns!C303,"")</f>
        <v/>
      </c>
      <c r="M303" s="26" t="str">
        <f aca="false">IF(Returns!$O303=1,Returns!D303,"")</f>
        <v/>
      </c>
      <c r="N303" s="26" t="str">
        <f aca="false">IF(Returns!$O303=1,Returns!E303,"")</f>
        <v/>
      </c>
      <c r="O303" s="26" t="str">
        <f aca="false">IF(Returns!$O303=1,Returns!F303,"")</f>
        <v/>
      </c>
      <c r="P303" s="26" t="str">
        <f aca="false">IF(Returns!$O303=1,Returns!G303,"")</f>
        <v/>
      </c>
      <c r="Q303" s="26" t="str">
        <f aca="false">IF(Returns!$O303=1,Returns!H303,"")</f>
        <v/>
      </c>
      <c r="R303" s="26" t="str">
        <f aca="false">IF(Returns!$O303=1,Returns!I303,"")</f>
        <v/>
      </c>
      <c r="S303" s="26" t="str">
        <f aca="false">IF(Returns!$O303=1,Returns!J303,"")</f>
        <v/>
      </c>
      <c r="T303" s="26" t="n">
        <f aca="false">IF(Returns!$O303=1,"",Returns!K303)</f>
        <v>0.00963729601400689</v>
      </c>
    </row>
    <row r="304" customFormat="false" ht="15" hidden="false" customHeight="false" outlineLevel="0" collapsed="false">
      <c r="A304" s="25" t="n">
        <f aca="false">Returns!A304</f>
        <v>44152</v>
      </c>
      <c r="B304" s="26" t="n">
        <f aca="false">IF(Returns!$O304=1,"",Returns!B304)</f>
        <v>-0.0170405713445208</v>
      </c>
      <c r="C304" s="26" t="n">
        <f aca="false">IF(Returns!$O304=1,"",Returns!C304)</f>
        <v>0.00280904510163182</v>
      </c>
      <c r="D304" s="26" t="n">
        <f aca="false">IF(Returns!$O304=1,"",Returns!D304)</f>
        <v>-0.0177466364011556</v>
      </c>
      <c r="E304" s="26" t="n">
        <f aca="false">IF(Returns!$O304=1,"",Returns!E304)</f>
        <v>-0.0122717749176892</v>
      </c>
      <c r="F304" s="26" t="n">
        <f aca="false">IF(Returns!$O304=1,"",Returns!F304)</f>
        <v>0.0122984674860234</v>
      </c>
      <c r="G304" s="26" t="n">
        <f aca="false">IF(Returns!$O304=1,"",Returns!G304)</f>
        <v>0.0162852559984708</v>
      </c>
      <c r="H304" s="26" t="n">
        <f aca="false">IF(Returns!$O304=1,"",Returns!H304)</f>
        <v>0.0171747523754937</v>
      </c>
      <c r="I304" s="26" t="n">
        <f aca="false">IF(Returns!$O304=1,"",Returns!I304)</f>
        <v>0.0016317329446105</v>
      </c>
      <c r="J304" s="26" t="n">
        <f aca="false">IF(Returns!$O304=1,"",Returns!J304)</f>
        <v>0.0315773731231475</v>
      </c>
      <c r="K304" s="26" t="str">
        <f aca="false">IF(Returns!$O304=1,Returns!B304,"")</f>
        <v/>
      </c>
      <c r="L304" s="26" t="str">
        <f aca="false">IF(Returns!$O304=1,Returns!C304,"")</f>
        <v/>
      </c>
      <c r="M304" s="26" t="str">
        <f aca="false">IF(Returns!$O304=1,Returns!D304,"")</f>
        <v/>
      </c>
      <c r="N304" s="26" t="str">
        <f aca="false">IF(Returns!$O304=1,Returns!E304,"")</f>
        <v/>
      </c>
      <c r="O304" s="26" t="str">
        <f aca="false">IF(Returns!$O304=1,Returns!F304,"")</f>
        <v/>
      </c>
      <c r="P304" s="26" t="str">
        <f aca="false">IF(Returns!$O304=1,Returns!G304,"")</f>
        <v/>
      </c>
      <c r="Q304" s="26" t="str">
        <f aca="false">IF(Returns!$O304=1,Returns!H304,"")</f>
        <v/>
      </c>
      <c r="R304" s="26" t="str">
        <f aca="false">IF(Returns!$O304=1,Returns!I304,"")</f>
        <v/>
      </c>
      <c r="S304" s="26" t="str">
        <f aca="false">IF(Returns!$O304=1,Returns!J304,"")</f>
        <v/>
      </c>
      <c r="T304" s="26" t="n">
        <f aca="false">IF(Returns!$O304=1,"",Returns!K304)</f>
        <v>0.00385751604066801</v>
      </c>
    </row>
    <row r="305" customFormat="false" ht="15" hidden="false" customHeight="false" outlineLevel="0" collapsed="false">
      <c r="A305" s="25" t="n">
        <f aca="false">Returns!A305</f>
        <v>44153</v>
      </c>
      <c r="B305" s="26" t="n">
        <f aca="false">IF(Returns!$O305=1,"",Returns!B305)</f>
        <v>-0.00751233736618984</v>
      </c>
      <c r="C305" s="26" t="n">
        <f aca="false">IF(Returns!$O305=1,"",Returns!C305)</f>
        <v>0.00933703081232484</v>
      </c>
      <c r="D305" s="26" t="n">
        <f aca="false">IF(Returns!$O305=1,"",Returns!D305)</f>
        <v>0</v>
      </c>
      <c r="E305" s="26" t="n">
        <f aca="false">IF(Returns!$O305=1,"",Returns!E305)</f>
        <v>-0.0228788181818181</v>
      </c>
      <c r="F305" s="26" t="n">
        <f aca="false">IF(Returns!$O305=1,"",Returns!F305)</f>
        <v>0.0217846806838635</v>
      </c>
      <c r="G305" s="26" t="n">
        <f aca="false">IF(Returns!$O305=1,"",Returns!G305)</f>
        <v>-0.042009484625379</v>
      </c>
      <c r="H305" s="26" t="n">
        <f aca="false">IF(Returns!$O305=1,"",Returns!H305)</f>
        <v>-0.00590975070030597</v>
      </c>
      <c r="I305" s="26" t="n">
        <f aca="false">IF(Returns!$O305=1,"",Returns!I305)</f>
        <v>-0.028624617101312</v>
      </c>
      <c r="J305" s="26" t="n">
        <f aca="false">IF(Returns!$O305=1,"",Returns!J305)</f>
        <v>-0.00776473036038927</v>
      </c>
      <c r="K305" s="26" t="str">
        <f aca="false">IF(Returns!$O305=1,Returns!B305,"")</f>
        <v/>
      </c>
      <c r="L305" s="26" t="str">
        <f aca="false">IF(Returns!$O305=1,Returns!C305,"")</f>
        <v/>
      </c>
      <c r="M305" s="26" t="str">
        <f aca="false">IF(Returns!$O305=1,Returns!D305,"")</f>
        <v/>
      </c>
      <c r="N305" s="26" t="str">
        <f aca="false">IF(Returns!$O305=1,Returns!E305,"")</f>
        <v/>
      </c>
      <c r="O305" s="26" t="str">
        <f aca="false">IF(Returns!$O305=1,Returns!F305,"")</f>
        <v/>
      </c>
      <c r="P305" s="26" t="str">
        <f aca="false">IF(Returns!$O305=1,Returns!G305,"")</f>
        <v/>
      </c>
      <c r="Q305" s="26" t="str">
        <f aca="false">IF(Returns!$O305=1,Returns!H305,"")</f>
        <v/>
      </c>
      <c r="R305" s="26" t="str">
        <f aca="false">IF(Returns!$O305=1,Returns!I305,"")</f>
        <v/>
      </c>
      <c r="S305" s="26" t="str">
        <f aca="false">IF(Returns!$O305=1,Returns!J305,"")</f>
        <v/>
      </c>
      <c r="T305" s="26" t="n">
        <f aca="false">IF(Returns!$O305=1,"",Returns!K305)</f>
        <v>-0.00928644742657843</v>
      </c>
    </row>
    <row r="306" customFormat="false" ht="15" hidden="false" customHeight="false" outlineLevel="0" collapsed="false">
      <c r="A306" s="25" t="n">
        <f aca="false">Returns!A306</f>
        <v>44154</v>
      </c>
      <c r="B306" s="26" t="n">
        <f aca="false">IF(Returns!$O306=1,"",Returns!B306)</f>
        <v>0.00742361022228288</v>
      </c>
      <c r="C306" s="26" t="n">
        <f aca="false">IF(Returns!$O306=1,"",Returns!C306)</f>
        <v>0.023496855633556</v>
      </c>
      <c r="D306" s="26" t="n">
        <f aca="false">IF(Returns!$O306=1,"",Returns!D306)</f>
        <v>-0.0184873117011475</v>
      </c>
      <c r="E306" s="26" t="n">
        <f aca="false">IF(Returns!$O306=1,"",Returns!E306)</f>
        <v>0.0153512952504666</v>
      </c>
      <c r="F306" s="26" t="n">
        <f aca="false">IF(Returns!$O306=1,"",Returns!F306)</f>
        <v>-0.00533006686324777</v>
      </c>
      <c r="G306" s="26" t="n">
        <f aca="false">IF(Returns!$O306=1,"",Returns!G306)</f>
        <v>-0.00542499975474675</v>
      </c>
      <c r="H306" s="26" t="n">
        <f aca="false">IF(Returns!$O306=1,"",Returns!H306)</f>
        <v>0.0114650111025483</v>
      </c>
      <c r="I306" s="26" t="n">
        <f aca="false">IF(Returns!$O306=1,"",Returns!I306)</f>
        <v>-0.000718826445358589</v>
      </c>
      <c r="J306" s="26" t="n">
        <f aca="false">IF(Returns!$O306=1,"",Returns!J306)</f>
        <v>0.0191121754301959</v>
      </c>
      <c r="K306" s="26" t="str">
        <f aca="false">IF(Returns!$O306=1,Returns!B306,"")</f>
        <v/>
      </c>
      <c r="L306" s="26" t="str">
        <f aca="false">IF(Returns!$O306=1,Returns!C306,"")</f>
        <v/>
      </c>
      <c r="M306" s="26" t="str">
        <f aca="false">IF(Returns!$O306=1,Returns!D306,"")</f>
        <v/>
      </c>
      <c r="N306" s="26" t="str">
        <f aca="false">IF(Returns!$O306=1,Returns!E306,"")</f>
        <v/>
      </c>
      <c r="O306" s="26" t="str">
        <f aca="false">IF(Returns!$O306=1,Returns!F306,"")</f>
        <v/>
      </c>
      <c r="P306" s="26" t="str">
        <f aca="false">IF(Returns!$O306=1,Returns!G306,"")</f>
        <v/>
      </c>
      <c r="Q306" s="26" t="str">
        <f aca="false">IF(Returns!$O306=1,Returns!H306,"")</f>
        <v/>
      </c>
      <c r="R306" s="26" t="str">
        <f aca="false">IF(Returns!$O306=1,Returns!I306,"")</f>
        <v/>
      </c>
      <c r="S306" s="26" t="str">
        <f aca="false">IF(Returns!$O306=1,Returns!J306,"")</f>
        <v/>
      </c>
      <c r="T306" s="26" t="n">
        <f aca="false">IF(Returns!$O306=1,"",Returns!K306)</f>
        <v>0.00520974920828323</v>
      </c>
    </row>
    <row r="307" customFormat="false" ht="15" hidden="false" customHeight="false" outlineLevel="0" collapsed="false">
      <c r="A307" s="25" t="n">
        <f aca="false">Returns!A307</f>
        <v>44158</v>
      </c>
      <c r="B307" s="26" t="n">
        <f aca="false">IF(Returns!$O307=1,"",Returns!B307)</f>
        <v>0.0385782117985583</v>
      </c>
      <c r="C307" s="26" t="n">
        <f aca="false">IF(Returns!$O307=1,"",Returns!C307)</f>
        <v>-0.0222342721131089</v>
      </c>
      <c r="D307" s="26" t="n">
        <f aca="false">IF(Returns!$O307=1,"",Returns!D307)</f>
        <v>0.00299653240597042</v>
      </c>
      <c r="E307" s="26" t="n">
        <f aca="false">IF(Returns!$O307=1,"",Returns!E307)</f>
        <v>-0.00183265110723951</v>
      </c>
      <c r="F307" s="26" t="n">
        <f aca="false">IF(Returns!$O307=1,"",Returns!F307)</f>
        <v>-0.0230832219921701</v>
      </c>
      <c r="G307" s="26" t="n">
        <f aca="false">IF(Returns!$O307=1,"",Returns!G307)</f>
        <v>-0.00318181818181817</v>
      </c>
      <c r="H307" s="26" t="n">
        <f aca="false">IF(Returns!$O307=1,"",Returns!H307)</f>
        <v>0.0537363560033586</v>
      </c>
      <c r="I307" s="26" t="n">
        <f aca="false">IF(Returns!$O307=1,"",Returns!I307)</f>
        <v>0.00743236167259154</v>
      </c>
      <c r="J307" s="26" t="n">
        <f aca="false">IF(Returns!$O307=1,"",Returns!J307)</f>
        <v>0.0527170695109707</v>
      </c>
      <c r="K307" s="26" t="str">
        <f aca="false">IF(Returns!$O307=1,Returns!B307,"")</f>
        <v/>
      </c>
      <c r="L307" s="26" t="str">
        <f aca="false">IF(Returns!$O307=1,Returns!C307,"")</f>
        <v/>
      </c>
      <c r="M307" s="26" t="str">
        <f aca="false">IF(Returns!$O307=1,Returns!D307,"")</f>
        <v/>
      </c>
      <c r="N307" s="26" t="str">
        <f aca="false">IF(Returns!$O307=1,Returns!E307,"")</f>
        <v/>
      </c>
      <c r="O307" s="26" t="str">
        <f aca="false">IF(Returns!$O307=1,Returns!F307,"")</f>
        <v/>
      </c>
      <c r="P307" s="26" t="str">
        <f aca="false">IF(Returns!$O307=1,Returns!G307,"")</f>
        <v/>
      </c>
      <c r="Q307" s="26" t="str">
        <f aca="false">IF(Returns!$O307=1,Returns!H307,"")</f>
        <v/>
      </c>
      <c r="R307" s="26" t="str">
        <f aca="false">IF(Returns!$O307=1,Returns!I307,"")</f>
        <v/>
      </c>
      <c r="S307" s="26" t="str">
        <f aca="false">IF(Returns!$O307=1,Returns!J307,"")</f>
        <v/>
      </c>
      <c r="T307" s="26" t="n">
        <f aca="false">IF(Returns!$O307=1,"",Returns!K307)</f>
        <v>0.0116809519996792</v>
      </c>
    </row>
    <row r="308" customFormat="false" ht="15" hidden="false" customHeight="false" outlineLevel="0" collapsed="false">
      <c r="A308" s="25" t="n">
        <f aca="false">Returns!A308</f>
        <v>44159</v>
      </c>
      <c r="B308" s="26" t="n">
        <f aca="false">IF(Returns!$O308=1,"",Returns!B308)</f>
        <v>0.000695645549345203</v>
      </c>
      <c r="C308" s="26" t="n">
        <f aca="false">IF(Returns!$O308=1,"",Returns!C308)</f>
        <v>0.0297651120485243</v>
      </c>
      <c r="D308" s="26" t="n">
        <f aca="false">IF(Returns!$O308=1,"",Returns!D308)</f>
        <v>0.00426807511737093</v>
      </c>
      <c r="E308" s="26" t="n">
        <f aca="false">IF(Returns!$O308=1,"",Returns!E308)</f>
        <v>0.00367192466842226</v>
      </c>
      <c r="F308" s="26" t="n">
        <f aca="false">IF(Returns!$O308=1,"",Returns!F308)</f>
        <v>0.000421915965351793</v>
      </c>
      <c r="G308" s="26" t="n">
        <f aca="false">IF(Returns!$O308=1,"",Returns!G308)</f>
        <v>0.0715914272685818</v>
      </c>
      <c r="H308" s="26" t="n">
        <f aca="false">IF(Returns!$O308=1,"",Returns!H308)</f>
        <v>0.0446214741035857</v>
      </c>
      <c r="I308" s="26" t="n">
        <f aca="false">IF(Returns!$O308=1,"",Returns!I308)</f>
        <v>0.0235601722028562</v>
      </c>
      <c r="J308" s="26" t="n">
        <f aca="false">IF(Returns!$O308=1,"",Returns!J308)</f>
        <v>0.0492355442665795</v>
      </c>
      <c r="K308" s="26" t="str">
        <f aca="false">IF(Returns!$O308=1,Returns!B308,"")</f>
        <v/>
      </c>
      <c r="L308" s="26" t="str">
        <f aca="false">IF(Returns!$O308=1,Returns!C308,"")</f>
        <v/>
      </c>
      <c r="M308" s="26" t="str">
        <f aca="false">IF(Returns!$O308=1,Returns!D308,"")</f>
        <v/>
      </c>
      <c r="N308" s="26" t="str">
        <f aca="false">IF(Returns!$O308=1,Returns!E308,"")</f>
        <v/>
      </c>
      <c r="O308" s="26" t="str">
        <f aca="false">IF(Returns!$O308=1,Returns!F308,"")</f>
        <v/>
      </c>
      <c r="P308" s="26" t="str">
        <f aca="false">IF(Returns!$O308=1,Returns!G308,"")</f>
        <v/>
      </c>
      <c r="Q308" s="26" t="str">
        <f aca="false">IF(Returns!$O308=1,Returns!H308,"")</f>
        <v/>
      </c>
      <c r="R308" s="26" t="str">
        <f aca="false">IF(Returns!$O308=1,Returns!I308,"")</f>
        <v/>
      </c>
      <c r="S308" s="26" t="str">
        <f aca="false">IF(Returns!$O308=1,Returns!J308,"")</f>
        <v/>
      </c>
      <c r="T308" s="26" t="n">
        <f aca="false">IF(Returns!$O308=1,"",Returns!K308)</f>
        <v>0.0253145879100686</v>
      </c>
    </row>
    <row r="309" customFormat="false" ht="15" hidden="false" customHeight="false" outlineLevel="0" collapsed="false">
      <c r="A309" s="25" t="n">
        <f aca="false">Returns!A309</f>
        <v>44160</v>
      </c>
      <c r="B309" s="26" t="n">
        <f aca="false">IF(Returns!$O309=1,"",Returns!B309)</f>
        <v>-0.00570002780481027</v>
      </c>
      <c r="C309" s="26" t="n">
        <f aca="false">IF(Returns!$O309=1,"",Returns!C309)</f>
        <v>0.0163376127948871</v>
      </c>
      <c r="D309" s="26" t="n">
        <f aca="false">IF(Returns!$O309=1,"",Returns!D309)</f>
        <v>-0.00807484028581207</v>
      </c>
      <c r="E309" s="26" t="n">
        <f aca="false">IF(Returns!$O309=1,"",Returns!E309)</f>
        <v>0.00228661592337254</v>
      </c>
      <c r="F309" s="26" t="n">
        <f aca="false">IF(Returns!$O309=1,"",Returns!F309)</f>
        <v>-0.00253059724817306</v>
      </c>
      <c r="G309" s="26" t="n">
        <f aca="false">IF(Returns!$O309=1,"",Returns!G309)</f>
        <v>0.0102127659574467</v>
      </c>
      <c r="H309" s="26" t="n">
        <f aca="false">IF(Returns!$O309=1,"",Returns!H309)</f>
        <v>0.00114420294218931</v>
      </c>
      <c r="I309" s="26" t="n">
        <f aca="false">IF(Returns!$O309=1,"",Returns!I309)</f>
        <v>0.0183677971464551</v>
      </c>
      <c r="J309" s="26" t="n">
        <f aca="false">IF(Returns!$O309=1,"",Returns!J309)</f>
        <v>0.00935824828777077</v>
      </c>
      <c r="K309" s="26" t="str">
        <f aca="false">IF(Returns!$O309=1,Returns!B309,"")</f>
        <v/>
      </c>
      <c r="L309" s="26" t="str">
        <f aca="false">IF(Returns!$O309=1,Returns!C309,"")</f>
        <v/>
      </c>
      <c r="M309" s="26" t="str">
        <f aca="false">IF(Returns!$O309=1,Returns!D309,"")</f>
        <v/>
      </c>
      <c r="N309" s="26" t="str">
        <f aca="false">IF(Returns!$O309=1,Returns!E309,"")</f>
        <v/>
      </c>
      <c r="O309" s="26" t="str">
        <f aca="false">IF(Returns!$O309=1,Returns!F309,"")</f>
        <v/>
      </c>
      <c r="P309" s="26" t="str">
        <f aca="false">IF(Returns!$O309=1,Returns!G309,"")</f>
        <v/>
      </c>
      <c r="Q309" s="26" t="str">
        <f aca="false">IF(Returns!$O309=1,Returns!H309,"")</f>
        <v/>
      </c>
      <c r="R309" s="26" t="str">
        <f aca="false">IF(Returns!$O309=1,Returns!I309,"")</f>
        <v/>
      </c>
      <c r="S309" s="26" t="str">
        <f aca="false">IF(Returns!$O309=1,Returns!J309,"")</f>
        <v/>
      </c>
      <c r="T309" s="26" t="n">
        <f aca="false">IF(Returns!$O309=1,"",Returns!K309)</f>
        <v>0.0046001975237029</v>
      </c>
    </row>
    <row r="310" customFormat="false" ht="15" hidden="false" customHeight="false" outlineLevel="0" collapsed="false">
      <c r="A310" s="25" t="n">
        <f aca="false">Returns!A310</f>
        <v>44161</v>
      </c>
      <c r="B310" s="26" t="n">
        <f aca="false">IF(Returns!$O310=1,"",Returns!B310)</f>
        <v>-0.00447427311832815</v>
      </c>
      <c r="C310" s="26" t="n">
        <f aca="false">IF(Returns!$O310=1,"",Returns!C310)</f>
        <v>0.0068891888241025</v>
      </c>
      <c r="D310" s="26" t="n">
        <f aca="false">IF(Returns!$O310=1,"",Returns!D310)</f>
        <v>0.032133676092545</v>
      </c>
      <c r="E310" s="26" t="n">
        <f aca="false">IF(Returns!$O310=1,"",Returns!E310)</f>
        <v>-0.0047147984790874</v>
      </c>
      <c r="F310" s="26" t="n">
        <f aca="false">IF(Returns!$O310=1,"",Returns!F310)</f>
        <v>0.00211420943340257</v>
      </c>
      <c r="G310" s="26" t="n">
        <f aca="false">IF(Returns!$O310=1,"",Returns!G310)</f>
        <v>-0.0126368576242628</v>
      </c>
      <c r="H310" s="26" t="n">
        <f aca="false">IF(Returns!$O310=1,"",Returns!H310)</f>
        <v>-0.0163809523809524</v>
      </c>
      <c r="I310" s="26" t="n">
        <f aca="false">IF(Returns!$O310=1,"",Returns!I310)</f>
        <v>0.0100456824645556</v>
      </c>
      <c r="J310" s="26" t="n">
        <f aca="false">IF(Returns!$O310=1,"",Returns!J310)</f>
        <v>0.0141721854304635</v>
      </c>
      <c r="K310" s="26" t="str">
        <f aca="false">IF(Returns!$O310=1,Returns!B310,"")</f>
        <v/>
      </c>
      <c r="L310" s="26" t="str">
        <f aca="false">IF(Returns!$O310=1,Returns!C310,"")</f>
        <v/>
      </c>
      <c r="M310" s="26" t="str">
        <f aca="false">IF(Returns!$O310=1,Returns!D310,"")</f>
        <v/>
      </c>
      <c r="N310" s="26" t="str">
        <f aca="false">IF(Returns!$O310=1,Returns!E310,"")</f>
        <v/>
      </c>
      <c r="O310" s="26" t="str">
        <f aca="false">IF(Returns!$O310=1,Returns!F310,"")</f>
        <v/>
      </c>
      <c r="P310" s="26" t="str">
        <f aca="false">IF(Returns!$O310=1,Returns!G310,"")</f>
        <v/>
      </c>
      <c r="Q310" s="26" t="str">
        <f aca="false">IF(Returns!$O310=1,Returns!H310,"")</f>
        <v/>
      </c>
      <c r="R310" s="26" t="str">
        <f aca="false">IF(Returns!$O310=1,Returns!I310,"")</f>
        <v/>
      </c>
      <c r="S310" s="26" t="str">
        <f aca="false">IF(Returns!$O310=1,Returns!J310,"")</f>
        <v/>
      </c>
      <c r="T310" s="26" t="n">
        <f aca="false">IF(Returns!$O310=1,"",Returns!K310)</f>
        <v>0.00301645118249316</v>
      </c>
    </row>
    <row r="311" customFormat="false" ht="15" hidden="false" customHeight="false" outlineLevel="0" collapsed="false">
      <c r="A311" s="25" t="n">
        <f aca="false">Returns!A311</f>
        <v>44162</v>
      </c>
      <c r="B311" s="26" t="n">
        <f aca="false">IF(Returns!$O311=1,"",Returns!B311)</f>
        <v>-0.00280894674756793</v>
      </c>
      <c r="C311" s="26" t="n">
        <f aca="false">IF(Returns!$O311=1,"",Returns!C311)</f>
        <v>-0.00175447368421056</v>
      </c>
      <c r="D311" s="26" t="n">
        <f aca="false">IF(Returns!$O311=1,"",Returns!D311)</f>
        <v>0.0381901203819013</v>
      </c>
      <c r="E311" s="26" t="n">
        <f aca="false">IF(Returns!$O311=1,"",Returns!E311)</f>
        <v>0.0152811731271034</v>
      </c>
      <c r="F311" s="26" t="n">
        <f aca="false">IF(Returns!$O311=1,"",Returns!F311)</f>
        <v>-0.00253166494755408</v>
      </c>
      <c r="G311" s="26" t="n">
        <f aca="false">IF(Returns!$O311=1,"",Returns!G311)</f>
        <v>0.00255968419113972</v>
      </c>
      <c r="H311" s="26" t="n">
        <f aca="false">IF(Returns!$O311=1,"",Returns!H311)</f>
        <v>-0.0123934934159566</v>
      </c>
      <c r="I311" s="26" t="n">
        <f aca="false">IF(Returns!$O311=1,"",Returns!I311)</f>
        <v>0.00452896590821905</v>
      </c>
      <c r="J311" s="26" t="n">
        <f aca="false">IF(Returns!$O311=1,"",Returns!J311)</f>
        <v>0.0244221235470812</v>
      </c>
      <c r="K311" s="26" t="str">
        <f aca="false">IF(Returns!$O311=1,Returns!B311,"")</f>
        <v/>
      </c>
      <c r="L311" s="26" t="str">
        <f aca="false">IF(Returns!$O311=1,Returns!C311,"")</f>
        <v/>
      </c>
      <c r="M311" s="26" t="str">
        <f aca="false">IF(Returns!$O311=1,Returns!D311,"")</f>
        <v/>
      </c>
      <c r="N311" s="26" t="str">
        <f aca="false">IF(Returns!$O311=1,Returns!E311,"")</f>
        <v/>
      </c>
      <c r="O311" s="26" t="str">
        <f aca="false">IF(Returns!$O311=1,Returns!F311,"")</f>
        <v/>
      </c>
      <c r="P311" s="26" t="str">
        <f aca="false">IF(Returns!$O311=1,Returns!G311,"")</f>
        <v/>
      </c>
      <c r="Q311" s="26" t="str">
        <f aca="false">IF(Returns!$O311=1,Returns!H311,"")</f>
        <v/>
      </c>
      <c r="R311" s="26" t="str">
        <f aca="false">IF(Returns!$O311=1,Returns!I311,"")</f>
        <v/>
      </c>
      <c r="S311" s="26" t="str">
        <f aca="false">IF(Returns!$O311=1,Returns!J311,"")</f>
        <v/>
      </c>
      <c r="T311" s="26" t="n">
        <f aca="false">IF(Returns!$O311=1,"",Returns!K311)</f>
        <v>0.00727705426223949</v>
      </c>
    </row>
    <row r="312" customFormat="false" ht="15" hidden="false" customHeight="false" outlineLevel="0" collapsed="false">
      <c r="A312" s="25" t="n">
        <f aca="false">Returns!A312</f>
        <v>44165</v>
      </c>
      <c r="B312" s="26" t="n">
        <f aca="false">IF(Returns!$O312=1,"",Returns!B312)</f>
        <v>-0.0218310281690142</v>
      </c>
      <c r="C312" s="26" t="n">
        <f aca="false">IF(Returns!$O312=1,"",Returns!C312)</f>
        <v>-0.0135324792207802</v>
      </c>
      <c r="D312" s="26" t="n">
        <f aca="false">IF(Returns!$O312=1,"",Returns!D312)</f>
        <v>0</v>
      </c>
      <c r="E312" s="26" t="n">
        <f aca="false">IF(Returns!$O312=1,"",Returns!E312)</f>
        <v>0.011739900308853</v>
      </c>
      <c r="F312" s="26" t="n">
        <f aca="false">IF(Returns!$O312=1,"",Returns!F312)</f>
        <v>-0.0300338453055309</v>
      </c>
      <c r="G312" s="26" t="n">
        <f aca="false">IF(Returns!$O312=1,"",Returns!G312)</f>
        <v>-0.0353191489361702</v>
      </c>
      <c r="H312" s="26" t="n">
        <f aca="false">IF(Returns!$O312=1,"",Returns!H312)</f>
        <v>-0.0235294117647059</v>
      </c>
      <c r="I312" s="26" t="n">
        <f aca="false">IF(Returns!$O312=1,"",Returns!I312)</f>
        <v>-0.0217789718278485</v>
      </c>
      <c r="J312" s="26" t="n">
        <f aca="false">IF(Returns!$O312=1,"",Returns!J312)</f>
        <v>-0.00560940832204471</v>
      </c>
      <c r="K312" s="26" t="str">
        <f aca="false">IF(Returns!$O312=1,Returns!B312,"")</f>
        <v/>
      </c>
      <c r="L312" s="26" t="str">
        <f aca="false">IF(Returns!$O312=1,Returns!C312,"")</f>
        <v/>
      </c>
      <c r="M312" s="26" t="str">
        <f aca="false">IF(Returns!$O312=1,Returns!D312,"")</f>
        <v/>
      </c>
      <c r="N312" s="26" t="str">
        <f aca="false">IF(Returns!$O312=1,Returns!E312,"")</f>
        <v/>
      </c>
      <c r="O312" s="26" t="str">
        <f aca="false">IF(Returns!$O312=1,Returns!F312,"")</f>
        <v/>
      </c>
      <c r="P312" s="26" t="str">
        <f aca="false">IF(Returns!$O312=1,Returns!G312,"")</f>
        <v/>
      </c>
      <c r="Q312" s="26" t="str">
        <f aca="false">IF(Returns!$O312=1,Returns!H312,"")</f>
        <v/>
      </c>
      <c r="R312" s="26" t="str">
        <f aca="false">IF(Returns!$O312=1,Returns!I312,"")</f>
        <v/>
      </c>
      <c r="S312" s="26" t="str">
        <f aca="false">IF(Returns!$O312=1,Returns!J312,"")</f>
        <v/>
      </c>
      <c r="T312" s="26" t="n">
        <f aca="false">IF(Returns!$O312=1,"",Returns!K312)</f>
        <v>-0.0155438214708046</v>
      </c>
    </row>
    <row r="313" customFormat="false" ht="15" hidden="false" customHeight="false" outlineLevel="0" collapsed="false">
      <c r="A313" s="25" t="n">
        <f aca="false">Returns!A313</f>
        <v>44166</v>
      </c>
      <c r="B313" s="26" t="n">
        <f aca="false">IF(Returns!$O313=1,"",Returns!B313)</f>
        <v>-0.00417556533515751</v>
      </c>
      <c r="C313" s="26" t="n">
        <f aca="false">IF(Returns!$O313=1,"",Returns!C313)</f>
        <v>0.011580278545178</v>
      </c>
      <c r="D313" s="26" t="n">
        <f aca="false">IF(Returns!$O313=1,"",Returns!D313)</f>
        <v>0.0219911635345862</v>
      </c>
      <c r="E313" s="26" t="n">
        <f aca="false">IF(Returns!$O313=1,"",Returns!E313)</f>
        <v>-0.0263315080878979</v>
      </c>
      <c r="F313" s="26" t="n">
        <f aca="false">IF(Returns!$O313=1,"",Returns!F313)</f>
        <v>0.00261667948941313</v>
      </c>
      <c r="G313" s="26" t="n">
        <f aca="false">IF(Returns!$O313=1,"",Returns!G313)</f>
        <v>0.0604323334803705</v>
      </c>
      <c r="H313" s="26" t="n">
        <f aca="false">IF(Returns!$O313=1,"",Returns!H313)</f>
        <v>0.0281124497991969</v>
      </c>
      <c r="I313" s="26" t="n">
        <f aca="false">IF(Returns!$O313=1,"",Returns!I313)</f>
        <v>0.0154674870648852</v>
      </c>
      <c r="J313" s="26" t="n">
        <f aca="false">IF(Returns!$O313=1,"",Returns!J313)</f>
        <v>0.0416666666666667</v>
      </c>
      <c r="K313" s="26" t="str">
        <f aca="false">IF(Returns!$O313=1,Returns!B313,"")</f>
        <v/>
      </c>
      <c r="L313" s="26" t="str">
        <f aca="false">IF(Returns!$O313=1,Returns!C313,"")</f>
        <v/>
      </c>
      <c r="M313" s="26" t="str">
        <f aca="false">IF(Returns!$O313=1,Returns!D313,"")</f>
        <v/>
      </c>
      <c r="N313" s="26" t="str">
        <f aca="false">IF(Returns!$O313=1,Returns!E313,"")</f>
        <v/>
      </c>
      <c r="O313" s="26" t="str">
        <f aca="false">IF(Returns!$O313=1,Returns!F313,"")</f>
        <v/>
      </c>
      <c r="P313" s="26" t="str">
        <f aca="false">IF(Returns!$O313=1,Returns!G313,"")</f>
        <v/>
      </c>
      <c r="Q313" s="26" t="str">
        <f aca="false">IF(Returns!$O313=1,Returns!H313,"")</f>
        <v/>
      </c>
      <c r="R313" s="26" t="str">
        <f aca="false">IF(Returns!$O313=1,Returns!I313,"")</f>
        <v/>
      </c>
      <c r="S313" s="26" t="str">
        <f aca="false">IF(Returns!$O313=1,Returns!J313,"")</f>
        <v/>
      </c>
      <c r="T313" s="26" t="n">
        <f aca="false">IF(Returns!$O313=1,"",Returns!K313)</f>
        <v>0.0168177761285824</v>
      </c>
    </row>
    <row r="314" customFormat="false" ht="15" hidden="false" customHeight="false" outlineLevel="0" collapsed="false">
      <c r="A314" s="25" t="n">
        <f aca="false">Returns!A314</f>
        <v>44167</v>
      </c>
      <c r="B314" s="26" t="n">
        <f aca="false">IF(Returns!$O314=1,"",Returns!B314)</f>
        <v>0.0244360020569114</v>
      </c>
      <c r="C314" s="26" t="n">
        <f aca="false">IF(Returns!$O314=1,"",Returns!C314)</f>
        <v>0.049665429716993</v>
      </c>
      <c r="D314" s="26" t="n">
        <f aca="false">IF(Returns!$O314=1,"",Returns!D314)</f>
        <v>-0.0254303218086981</v>
      </c>
      <c r="E314" s="26" t="n">
        <f aca="false">IF(Returns!$O314=1,"",Returns!E314)</f>
        <v>0.00183350657754811</v>
      </c>
      <c r="F314" s="26" t="n">
        <f aca="false">IF(Returns!$O314=1,"",Returns!F314)</f>
        <v>0.00130488157890163</v>
      </c>
      <c r="G314" s="26" t="n">
        <f aca="false">IF(Returns!$O314=1,"",Returns!G314)</f>
        <v>0.0149749993770798</v>
      </c>
      <c r="H314" s="26" t="n">
        <f aca="false">IF(Returns!$O314=1,"",Returns!H314)</f>
        <v>0.0121093749999999</v>
      </c>
      <c r="I314" s="26" t="n">
        <f aca="false">IF(Returns!$O314=1,"",Returns!I314)</f>
        <v>0.0145396418445236</v>
      </c>
      <c r="J314" s="26" t="n">
        <f aca="false">IF(Returns!$O314=1,"",Returns!J314)</f>
        <v>-0.0173538953846154</v>
      </c>
      <c r="K314" s="26" t="str">
        <f aca="false">IF(Returns!$O314=1,Returns!B314,"")</f>
        <v/>
      </c>
      <c r="L314" s="26" t="str">
        <f aca="false">IF(Returns!$O314=1,Returns!C314,"")</f>
        <v/>
      </c>
      <c r="M314" s="26" t="str">
        <f aca="false">IF(Returns!$O314=1,Returns!D314,"")</f>
        <v/>
      </c>
      <c r="N314" s="26" t="str">
        <f aca="false">IF(Returns!$O314=1,Returns!E314,"")</f>
        <v/>
      </c>
      <c r="O314" s="26" t="str">
        <f aca="false">IF(Returns!$O314=1,Returns!F314,"")</f>
        <v/>
      </c>
      <c r="P314" s="26" t="str">
        <f aca="false">IF(Returns!$O314=1,Returns!G314,"")</f>
        <v/>
      </c>
      <c r="Q314" s="26" t="str">
        <f aca="false">IF(Returns!$O314=1,Returns!H314,"")</f>
        <v/>
      </c>
      <c r="R314" s="26" t="str">
        <f aca="false">IF(Returns!$O314=1,Returns!I314,"")</f>
        <v/>
      </c>
      <c r="S314" s="26" t="str">
        <f aca="false">IF(Returns!$O314=1,Returns!J314,"")</f>
        <v/>
      </c>
      <c r="T314" s="26" t="n">
        <f aca="false">IF(Returns!$O314=1,"",Returns!K314)</f>
        <v>0.00845329099540488</v>
      </c>
    </row>
    <row r="315" customFormat="false" ht="15" hidden="false" customHeight="false" outlineLevel="0" collapsed="false">
      <c r="A315" s="25" t="n">
        <f aca="false">Returns!A315</f>
        <v>44168</v>
      </c>
      <c r="B315" s="26" t="n">
        <f aca="false">IF(Returns!$O315=1,"",Returns!B315)</f>
        <v>-0.0203245453867197</v>
      </c>
      <c r="C315" s="26" t="n">
        <f aca="false">IF(Returns!$O315=1,"",Returns!C315)</f>
        <v>-0.0119128185920667</v>
      </c>
      <c r="D315" s="26" t="n">
        <f aca="false">IF(Returns!$O315=1,"",Returns!D315)</f>
        <v>-0.0272982737856282</v>
      </c>
      <c r="E315" s="26" t="n">
        <f aca="false">IF(Returns!$O315=1,"",Returns!E315)</f>
        <v>0.0384321488485588</v>
      </c>
      <c r="F315" s="26" t="n">
        <f aca="false">IF(Returns!$O315=1,"",Returns!F315)</f>
        <v>0.0273674993290787</v>
      </c>
      <c r="G315" s="26" t="n">
        <f aca="false">IF(Returns!$O315=1,"",Returns!G315)</f>
        <v>0.0307377049180329</v>
      </c>
      <c r="H315" s="26" t="n">
        <f aca="false">IF(Returns!$O315=1,"",Returns!H315)</f>
        <v>0.0281744114241604</v>
      </c>
      <c r="I315" s="26" t="n">
        <f aca="false">IF(Returns!$O315=1,"",Returns!I315)</f>
        <v>0.00773424369238596</v>
      </c>
      <c r="J315" s="26" t="n">
        <f aca="false">IF(Returns!$O315=1,"",Returns!J315)</f>
        <v>-0.0110220070652308</v>
      </c>
      <c r="K315" s="26" t="str">
        <f aca="false">IF(Returns!$O315=1,Returns!B315,"")</f>
        <v/>
      </c>
      <c r="L315" s="26" t="str">
        <f aca="false">IF(Returns!$O315=1,Returns!C315,"")</f>
        <v/>
      </c>
      <c r="M315" s="26" t="str">
        <f aca="false">IF(Returns!$O315=1,Returns!D315,"")</f>
        <v/>
      </c>
      <c r="N315" s="26" t="str">
        <f aca="false">IF(Returns!$O315=1,Returns!E315,"")</f>
        <v/>
      </c>
      <c r="O315" s="26" t="str">
        <f aca="false">IF(Returns!$O315=1,Returns!F315,"")</f>
        <v/>
      </c>
      <c r="P315" s="26" t="str">
        <f aca="false">IF(Returns!$O315=1,Returns!G315,"")</f>
        <v/>
      </c>
      <c r="Q315" s="26" t="str">
        <f aca="false">IF(Returns!$O315=1,Returns!H315,"")</f>
        <v/>
      </c>
      <c r="R315" s="26" t="str">
        <f aca="false">IF(Returns!$O315=1,Returns!I315,"")</f>
        <v/>
      </c>
      <c r="S315" s="26" t="str">
        <f aca="false">IF(Returns!$O315=1,Returns!J315,"")</f>
        <v/>
      </c>
      <c r="T315" s="26" t="n">
        <f aca="false">IF(Returns!$O315=1,"",Returns!K315)</f>
        <v>0.0068764848202857</v>
      </c>
    </row>
    <row r="316" customFormat="false" ht="15" hidden="false" customHeight="false" outlineLevel="0" collapsed="false">
      <c r="A316" s="25" t="n">
        <f aca="false">Returns!A316</f>
        <v>44169</v>
      </c>
      <c r="B316" s="26" t="n">
        <f aca="false">IF(Returns!$O316=1,"",Returns!B316)</f>
        <v>0.0214666174057561</v>
      </c>
      <c r="C316" s="26" t="n">
        <f aca="false">IF(Returns!$O316=1,"",Returns!C316)</f>
        <v>-0.00203764656330352</v>
      </c>
      <c r="D316" s="26" t="n">
        <f aca="false">IF(Returns!$O316=1,"",Returns!D316)</f>
        <v>-0.00206355757325627</v>
      </c>
      <c r="E316" s="26" t="n">
        <f aca="false">IF(Returns!$O316=1,"",Returns!E316)</f>
        <v>-0.0157144817573495</v>
      </c>
      <c r="F316" s="26" t="n">
        <f aca="false">IF(Returns!$O316=1,"",Returns!F316)</f>
        <v>0.070190320803492</v>
      </c>
      <c r="G316" s="26" t="n">
        <f aca="false">IF(Returns!$O316=1,"",Returns!G316)</f>
        <v>-0.0155069582504969</v>
      </c>
      <c r="H316" s="26" t="n">
        <f aca="false">IF(Returns!$O316=1,"",Returns!H316)</f>
        <v>0.0334084847375558</v>
      </c>
      <c r="I316" s="26" t="n">
        <f aca="false">IF(Returns!$O316=1,"",Returns!I316)</f>
        <v>-0.00541754705945674</v>
      </c>
      <c r="J316" s="26" t="n">
        <f aca="false">IF(Returns!$O316=1,"",Returns!J316)</f>
        <v>0.0382472649220778</v>
      </c>
      <c r="K316" s="26" t="str">
        <f aca="false">IF(Returns!$O316=1,Returns!B316,"")</f>
        <v/>
      </c>
      <c r="L316" s="26" t="str">
        <f aca="false">IF(Returns!$O316=1,Returns!C316,"")</f>
        <v/>
      </c>
      <c r="M316" s="26" t="str">
        <f aca="false">IF(Returns!$O316=1,Returns!D316,"")</f>
        <v/>
      </c>
      <c r="N316" s="26" t="str">
        <f aca="false">IF(Returns!$O316=1,Returns!E316,"")</f>
        <v/>
      </c>
      <c r="O316" s="26" t="str">
        <f aca="false">IF(Returns!$O316=1,Returns!F316,"")</f>
        <v/>
      </c>
      <c r="P316" s="26" t="str">
        <f aca="false">IF(Returns!$O316=1,Returns!G316,"")</f>
        <v/>
      </c>
      <c r="Q316" s="26" t="str">
        <f aca="false">IF(Returns!$O316=1,Returns!H316,"")</f>
        <v/>
      </c>
      <c r="R316" s="26" t="str">
        <f aca="false">IF(Returns!$O316=1,Returns!I316,"")</f>
        <v/>
      </c>
      <c r="S316" s="26" t="str">
        <f aca="false">IF(Returns!$O316=1,Returns!J316,"")</f>
        <v/>
      </c>
      <c r="T316" s="26" t="n">
        <f aca="false">IF(Returns!$O316=1,"",Returns!K316)</f>
        <v>0.0136191662961132</v>
      </c>
    </row>
    <row r="317" customFormat="false" ht="15" hidden="false" customHeight="false" outlineLevel="0" collapsed="false">
      <c r="A317" s="25" t="n">
        <f aca="false">Returns!A317</f>
        <v>44172</v>
      </c>
      <c r="B317" s="26" t="n">
        <f aca="false">IF(Returns!$O317=1,"",Returns!B317)</f>
        <v>-0.01001410408987</v>
      </c>
      <c r="C317" s="26" t="n">
        <f aca="false">IF(Returns!$O317=1,"",Returns!C317)</f>
        <v>-0.00527483409903018</v>
      </c>
      <c r="D317" s="26" t="n">
        <f aca="false">IF(Returns!$O317=1,"",Returns!D317)</f>
        <v>0.0053763027295286</v>
      </c>
      <c r="E317" s="26" t="n">
        <f aca="false">IF(Returns!$O317=1,"",Returns!E317)</f>
        <v>-0.0307370649389914</v>
      </c>
      <c r="F317" s="26" t="n">
        <f aca="false">IF(Returns!$O317=1,"",Returns!F317)</f>
        <v>0.00513632268218922</v>
      </c>
      <c r="G317" s="26" t="n">
        <f aca="false">IF(Returns!$O317=1,"",Returns!G317)</f>
        <v>0.00565428109854582</v>
      </c>
      <c r="H317" s="26" t="n">
        <f aca="false">IF(Returns!$O317=1,"",Returns!H317)</f>
        <v>-0.0192517610151921</v>
      </c>
      <c r="I317" s="26" t="n">
        <f aca="false">IF(Returns!$O317=1,"",Returns!I317)</f>
        <v>-0.0217885398730138</v>
      </c>
      <c r="J317" s="26" t="n">
        <f aca="false">IF(Returns!$O317=1,"",Returns!J317)</f>
        <v>0.0118320805623782</v>
      </c>
      <c r="K317" s="26" t="str">
        <f aca="false">IF(Returns!$O317=1,Returns!B317,"")</f>
        <v/>
      </c>
      <c r="L317" s="26" t="str">
        <f aca="false">IF(Returns!$O317=1,Returns!C317,"")</f>
        <v/>
      </c>
      <c r="M317" s="26" t="str">
        <f aca="false">IF(Returns!$O317=1,Returns!D317,"")</f>
        <v/>
      </c>
      <c r="N317" s="26" t="str">
        <f aca="false">IF(Returns!$O317=1,Returns!E317,"")</f>
        <v/>
      </c>
      <c r="O317" s="26" t="str">
        <f aca="false">IF(Returns!$O317=1,Returns!F317,"")</f>
        <v/>
      </c>
      <c r="P317" s="26" t="str">
        <f aca="false">IF(Returns!$O317=1,Returns!G317,"")</f>
        <v/>
      </c>
      <c r="Q317" s="26" t="str">
        <f aca="false">IF(Returns!$O317=1,Returns!H317,"")</f>
        <v/>
      </c>
      <c r="R317" s="26" t="str">
        <f aca="false">IF(Returns!$O317=1,Returns!I317,"")</f>
        <v/>
      </c>
      <c r="S317" s="26" t="str">
        <f aca="false">IF(Returns!$O317=1,Returns!J317,"")</f>
        <v/>
      </c>
      <c r="T317" s="26" t="n">
        <f aca="false">IF(Returns!$O317=1,"",Returns!K317)</f>
        <v>-0.00656303521593952</v>
      </c>
    </row>
    <row r="318" customFormat="false" ht="15" hidden="false" customHeight="false" outlineLevel="0" collapsed="false">
      <c r="A318" s="25" t="n">
        <f aca="false">Returns!A318</f>
        <v>44173</v>
      </c>
      <c r="B318" s="26" t="n">
        <f aca="false">IF(Returns!$O318=1,"",Returns!B318)</f>
        <v>-0.000712394907753433</v>
      </c>
      <c r="C318" s="26" t="n">
        <f aca="false">IF(Returns!$O318=1,"",Returns!C318)</f>
        <v>-0.0058159256180611</v>
      </c>
      <c r="D318" s="26" t="n">
        <f aca="false">IF(Returns!$O318=1,"",Returns!D318)</f>
        <v>-0.0180994659851694</v>
      </c>
      <c r="E318" s="26" t="n">
        <f aca="false">IF(Returns!$O318=1,"",Returns!E318)</f>
        <v>0.0153940889069286</v>
      </c>
      <c r="F318" s="26" t="n">
        <f aca="false">IF(Returns!$O318=1,"",Returns!F318)</f>
        <v>0</v>
      </c>
      <c r="G318" s="26" t="n">
        <f aca="false">IF(Returns!$O318=1,"",Returns!G318)</f>
        <v>-0.0164658634538153</v>
      </c>
      <c r="H318" s="26" t="n">
        <f aca="false">IF(Returns!$O318=1,"",Returns!H318)</f>
        <v>-0.0125925925925926</v>
      </c>
      <c r="I318" s="26" t="n">
        <f aca="false">IF(Returns!$O318=1,"",Returns!I318)</f>
        <v>-0.00580040480918009</v>
      </c>
      <c r="J318" s="26" t="n">
        <f aca="false">IF(Returns!$O318=1,"",Returns!J318)</f>
        <v>-0.000602712499193858</v>
      </c>
      <c r="K318" s="26" t="str">
        <f aca="false">IF(Returns!$O318=1,Returns!B318,"")</f>
        <v/>
      </c>
      <c r="L318" s="26" t="str">
        <f aca="false">IF(Returns!$O318=1,Returns!C318,"")</f>
        <v/>
      </c>
      <c r="M318" s="26" t="str">
        <f aca="false">IF(Returns!$O318=1,Returns!D318,"")</f>
        <v/>
      </c>
      <c r="N318" s="26" t="str">
        <f aca="false">IF(Returns!$O318=1,Returns!E318,"")</f>
        <v/>
      </c>
      <c r="O318" s="26" t="str">
        <f aca="false">IF(Returns!$O318=1,Returns!F318,"")</f>
        <v/>
      </c>
      <c r="P318" s="26" t="str">
        <f aca="false">IF(Returns!$O318=1,Returns!G318,"")</f>
        <v/>
      </c>
      <c r="Q318" s="26" t="str">
        <f aca="false">IF(Returns!$O318=1,Returns!H318,"")</f>
        <v/>
      </c>
      <c r="R318" s="26" t="str">
        <f aca="false">IF(Returns!$O318=1,Returns!I318,"")</f>
        <v/>
      </c>
      <c r="S318" s="26" t="str">
        <f aca="false">IF(Returns!$O318=1,Returns!J318,"")</f>
        <v/>
      </c>
      <c r="T318" s="26" t="n">
        <f aca="false">IF(Returns!$O318=1,"",Returns!K318)</f>
        <v>-0.00496614121764858</v>
      </c>
    </row>
    <row r="319" customFormat="false" ht="15" hidden="false" customHeight="false" outlineLevel="0" collapsed="false">
      <c r="A319" s="25" t="n">
        <f aca="false">Returns!A319</f>
        <v>44174</v>
      </c>
      <c r="B319" s="26" t="n">
        <f aca="false">IF(Returns!$O319=1,"",Returns!B319)</f>
        <v>-0.0027088965313502</v>
      </c>
      <c r="C319" s="26" t="n">
        <f aca="false">IF(Returns!$O319=1,"",Returns!C319)</f>
        <v>-0.025292498714599</v>
      </c>
      <c r="D319" s="26" t="n">
        <f aca="false">IF(Returns!$O319=1,"",Returns!D319)</f>
        <v>-0.00628412206601903</v>
      </c>
      <c r="E319" s="26" t="n">
        <f aca="false">IF(Returns!$O319=1,"",Returns!E319)</f>
        <v>-0.0316858707047585</v>
      </c>
      <c r="F319" s="26" t="n">
        <f aca="false">IF(Returns!$O319=1,"",Returns!F319)</f>
        <v>-0.043239035275198</v>
      </c>
      <c r="G319" s="26" t="n">
        <f aca="false">IF(Returns!$O319=1,"",Returns!G319)</f>
        <v>0.014291547570437</v>
      </c>
      <c r="H319" s="26" t="n">
        <f aca="false">IF(Returns!$O319=1,"",Returns!H319)</f>
        <v>0.0105026631657914</v>
      </c>
      <c r="I319" s="26" t="n">
        <f aca="false">IF(Returns!$O319=1,"",Returns!I319)</f>
        <v>-0.0109685157373798</v>
      </c>
      <c r="J319" s="26" t="n">
        <f aca="false">IF(Returns!$O319=1,"",Returns!J319)</f>
        <v>-0.00241260549064892</v>
      </c>
      <c r="K319" s="26" t="str">
        <f aca="false">IF(Returns!$O319=1,Returns!B319,"")</f>
        <v/>
      </c>
      <c r="L319" s="26" t="str">
        <f aca="false">IF(Returns!$O319=1,Returns!C319,"")</f>
        <v/>
      </c>
      <c r="M319" s="26" t="str">
        <f aca="false">IF(Returns!$O319=1,Returns!D319,"")</f>
        <v/>
      </c>
      <c r="N319" s="26" t="str">
        <f aca="false">IF(Returns!$O319=1,Returns!E319,"")</f>
        <v/>
      </c>
      <c r="O319" s="26" t="str">
        <f aca="false">IF(Returns!$O319=1,Returns!F319,"")</f>
        <v/>
      </c>
      <c r="P319" s="26" t="str">
        <f aca="false">IF(Returns!$O319=1,Returns!G319,"")</f>
        <v/>
      </c>
      <c r="Q319" s="26" t="str">
        <f aca="false">IF(Returns!$O319=1,Returns!H319,"")</f>
        <v/>
      </c>
      <c r="R319" s="26" t="str">
        <f aca="false">IF(Returns!$O319=1,Returns!I319,"")</f>
        <v/>
      </c>
      <c r="S319" s="26" t="str">
        <f aca="false">IF(Returns!$O319=1,Returns!J319,"")</f>
        <v/>
      </c>
      <c r="T319" s="26" t="n">
        <f aca="false">IF(Returns!$O319=1,"",Returns!K319)</f>
        <v>-0.0108663704204139</v>
      </c>
    </row>
    <row r="320" customFormat="false" ht="15" hidden="false" customHeight="false" outlineLevel="0" collapsed="false">
      <c r="A320" s="25" t="n">
        <f aca="false">Returns!A320</f>
        <v>44175</v>
      </c>
      <c r="B320" s="26" t="n">
        <f aca="false">IF(Returns!$O320=1,"",Returns!B320)</f>
        <v>-0.00500355990008117</v>
      </c>
      <c r="C320" s="26" t="n">
        <f aca="false">IF(Returns!$O320=1,"",Returns!C320)</f>
        <v>0.0275375644755087</v>
      </c>
      <c r="D320" s="26" t="n">
        <f aca="false">IF(Returns!$O320=1,"",Returns!D320)</f>
        <v>0.00379426660178184</v>
      </c>
      <c r="E320" s="26" t="n">
        <f aca="false">IF(Returns!$O320=1,"",Returns!E320)</f>
        <v>-0.00532331306283573</v>
      </c>
      <c r="F320" s="26" t="n">
        <f aca="false">IF(Returns!$O320=1,"",Returns!F320)</f>
        <v>0.0262942171062561</v>
      </c>
      <c r="G320" s="26" t="n">
        <f aca="false">IF(Returns!$O320=1,"",Returns!G320)</f>
        <v>0.0446860305958132</v>
      </c>
      <c r="H320" s="26" t="n">
        <f aca="false">IF(Returns!$O320=1,"",Returns!H320)</f>
        <v>0.0326651435536325</v>
      </c>
      <c r="I320" s="26" t="n">
        <f aca="false">IF(Returns!$O320=1,"",Returns!I320)</f>
        <v>0.0488437790684202</v>
      </c>
      <c r="J320" s="26" t="n">
        <f aca="false">IF(Returns!$O320=1,"",Returns!J320)</f>
        <v>0.0278114036690957</v>
      </c>
      <c r="K320" s="26" t="str">
        <f aca="false">IF(Returns!$O320=1,Returns!B320,"")</f>
        <v/>
      </c>
      <c r="L320" s="26" t="str">
        <f aca="false">IF(Returns!$O320=1,Returns!C320,"")</f>
        <v/>
      </c>
      <c r="M320" s="26" t="str">
        <f aca="false">IF(Returns!$O320=1,Returns!D320,"")</f>
        <v/>
      </c>
      <c r="N320" s="26" t="str">
        <f aca="false">IF(Returns!$O320=1,Returns!E320,"")</f>
        <v/>
      </c>
      <c r="O320" s="26" t="str">
        <f aca="false">IF(Returns!$O320=1,Returns!F320,"")</f>
        <v/>
      </c>
      <c r="P320" s="26" t="str">
        <f aca="false">IF(Returns!$O320=1,Returns!G320,"")</f>
        <v/>
      </c>
      <c r="Q320" s="26" t="str">
        <f aca="false">IF(Returns!$O320=1,Returns!H320,"")</f>
        <v/>
      </c>
      <c r="R320" s="26" t="str">
        <f aca="false">IF(Returns!$O320=1,Returns!I320,"")</f>
        <v/>
      </c>
      <c r="S320" s="26" t="str">
        <f aca="false">IF(Returns!$O320=1,Returns!J320,"")</f>
        <v/>
      </c>
      <c r="T320" s="26" t="n">
        <f aca="false">IF(Returns!$O320=1,"",Returns!K320)</f>
        <v>0.0223672813452879</v>
      </c>
    </row>
    <row r="321" customFormat="false" ht="15" hidden="false" customHeight="false" outlineLevel="0" collapsed="false">
      <c r="A321" s="25" t="n">
        <f aca="false">Returns!A321</f>
        <v>44176</v>
      </c>
      <c r="B321" s="26" t="n">
        <f aca="false">IF(Returns!$O321=1,"",Returns!B321)</f>
        <v>0.000143721268497599</v>
      </c>
      <c r="C321" s="26" t="n">
        <f aca="false">IF(Returns!$O321=1,"",Returns!C321)</f>
        <v>0.0108228307568174</v>
      </c>
      <c r="D321" s="26" t="n">
        <f aca="false">IF(Returns!$O321=1,"",Returns!D321)</f>
        <v>0.000420033616969073</v>
      </c>
      <c r="E321" s="26" t="n">
        <f aca="false">IF(Returns!$O321=1,"",Returns!E321)</f>
        <v>0.0026759326723742</v>
      </c>
      <c r="F321" s="26" t="n">
        <f aca="false">IF(Returns!$O321=1,"",Returns!F321)</f>
        <v>-0.0548438793242873</v>
      </c>
      <c r="G321" s="26" t="n">
        <f aca="false">IF(Returns!$O321=1,"",Returns!G321)</f>
        <v>-0.0358381874436151</v>
      </c>
      <c r="H321" s="26" t="n">
        <f aca="false">IF(Returns!$O321=1,"",Returns!H321)</f>
        <v>-0.00898634076204175</v>
      </c>
      <c r="I321" s="26" t="n">
        <f aca="false">IF(Returns!$O321=1,"",Returns!I321)</f>
        <v>0.0132733910695921</v>
      </c>
      <c r="J321" s="26" t="n">
        <f aca="false">IF(Returns!$O321=1,"",Returns!J321)</f>
        <v>-0.00164704705882357</v>
      </c>
      <c r="K321" s="26" t="str">
        <f aca="false">IF(Returns!$O321=1,Returns!B321,"")</f>
        <v/>
      </c>
      <c r="L321" s="26" t="str">
        <f aca="false">IF(Returns!$O321=1,Returns!C321,"")</f>
        <v/>
      </c>
      <c r="M321" s="26" t="str">
        <f aca="false">IF(Returns!$O321=1,Returns!D321,"")</f>
        <v/>
      </c>
      <c r="N321" s="26" t="str">
        <f aca="false">IF(Returns!$O321=1,Returns!E321,"")</f>
        <v/>
      </c>
      <c r="O321" s="26" t="str">
        <f aca="false">IF(Returns!$O321=1,Returns!F321,"")</f>
        <v/>
      </c>
      <c r="P321" s="26" t="str">
        <f aca="false">IF(Returns!$O321=1,Returns!G321,"")</f>
        <v/>
      </c>
      <c r="Q321" s="26" t="str">
        <f aca="false">IF(Returns!$O321=1,Returns!H321,"")</f>
        <v/>
      </c>
      <c r="R321" s="26" t="str">
        <f aca="false">IF(Returns!$O321=1,Returns!I321,"")</f>
        <v/>
      </c>
      <c r="S321" s="26" t="str">
        <f aca="false">IF(Returns!$O321=1,Returns!J321,"")</f>
        <v/>
      </c>
      <c r="T321" s="26" t="n">
        <f aca="false">IF(Returns!$O321=1,"",Returns!K321)</f>
        <v>-0.00821994946716858</v>
      </c>
    </row>
    <row r="322" customFormat="false" ht="15" hidden="false" customHeight="false" outlineLevel="0" collapsed="false">
      <c r="A322" s="25" t="n">
        <f aca="false">Returns!A322</f>
        <v>44179</v>
      </c>
      <c r="B322" s="26" t="n">
        <f aca="false">IF(Returns!$O322=1,"",Returns!B322)</f>
        <v>0.00818846418347285</v>
      </c>
      <c r="C322" s="26" t="n">
        <f aca="false">IF(Returns!$O322=1,"",Returns!C322)</f>
        <v>-0.0095173523031501</v>
      </c>
      <c r="D322" s="26" t="n">
        <f aca="false">IF(Returns!$O322=1,"",Returns!D322)</f>
        <v>0.00545764063811927</v>
      </c>
      <c r="E322" s="26" t="n">
        <f aca="false">IF(Returns!$O322=1,"",Returns!E322)</f>
        <v>-0.0064364206210924</v>
      </c>
      <c r="F322" s="26" t="n">
        <f aca="false">IF(Returns!$O322=1,"",Returns!F322)</f>
        <v>-0.00423553994845971</v>
      </c>
      <c r="G322" s="26" t="n">
        <f aca="false">IF(Returns!$O322=1,"",Returns!G322)</f>
        <v>0.00159868105515604</v>
      </c>
      <c r="H322" s="26" t="n">
        <f aca="false">IF(Returns!$O322=1,"",Returns!H322)</f>
        <v>0.00181360174102285</v>
      </c>
      <c r="I322" s="26" t="n">
        <f aca="false">IF(Returns!$O322=1,"",Returns!I322)</f>
        <v>-0.00421849501001315</v>
      </c>
      <c r="J322" s="26" t="n">
        <f aca="false">IF(Returns!$O322=1,"",Returns!J322)</f>
        <v>-0.0154371669168375</v>
      </c>
      <c r="K322" s="26" t="str">
        <f aca="false">IF(Returns!$O322=1,Returns!B322,"")</f>
        <v/>
      </c>
      <c r="L322" s="26" t="str">
        <f aca="false">IF(Returns!$O322=1,Returns!C322,"")</f>
        <v/>
      </c>
      <c r="M322" s="26" t="str">
        <f aca="false">IF(Returns!$O322=1,Returns!D322,"")</f>
        <v/>
      </c>
      <c r="N322" s="26" t="str">
        <f aca="false">IF(Returns!$O322=1,Returns!E322,"")</f>
        <v/>
      </c>
      <c r="O322" s="26" t="str">
        <f aca="false">IF(Returns!$O322=1,Returns!F322,"")</f>
        <v/>
      </c>
      <c r="P322" s="26" t="str">
        <f aca="false">IF(Returns!$O322=1,Returns!G322,"")</f>
        <v/>
      </c>
      <c r="Q322" s="26" t="str">
        <f aca="false">IF(Returns!$O322=1,Returns!H322,"")</f>
        <v/>
      </c>
      <c r="R322" s="26" t="str">
        <f aca="false">IF(Returns!$O322=1,Returns!I322,"")</f>
        <v/>
      </c>
      <c r="S322" s="26" t="str">
        <f aca="false">IF(Returns!$O322=1,Returns!J322,"")</f>
        <v/>
      </c>
      <c r="T322" s="26" t="n">
        <f aca="false">IF(Returns!$O322=1,"",Returns!K322)</f>
        <v>-0.00253184302019798</v>
      </c>
    </row>
    <row r="323" customFormat="false" ht="15" hidden="false" customHeight="false" outlineLevel="0" collapsed="false">
      <c r="A323" s="25" t="n">
        <f aca="false">Returns!A323</f>
        <v>44180</v>
      </c>
      <c r="B323" s="26" t="n">
        <f aca="false">IF(Returns!$O323=1,"",Returns!B323)</f>
        <v>0.00341974921630084</v>
      </c>
      <c r="C323" s="26" t="n">
        <f aca="false">IF(Returns!$O323=1,"",Returns!C323)</f>
        <v>0.0102950758508948</v>
      </c>
      <c r="D323" s="26" t="n">
        <f aca="false">IF(Returns!$O323=1,"",Returns!D323)</f>
        <v>0.0187891015119372</v>
      </c>
      <c r="E323" s="26" t="n">
        <f aca="false">IF(Returns!$O323=1,"",Returns!E323)</f>
        <v>0.0222783374580766</v>
      </c>
      <c r="F323" s="26" t="n">
        <f aca="false">IF(Returns!$O323=1,"",Returns!F323)</f>
        <v>0.0748617254302859</v>
      </c>
      <c r="G323" s="26" t="n">
        <f aca="false">IF(Returns!$O323=1,"",Returns!G323)</f>
        <v>0</v>
      </c>
      <c r="H323" s="26" t="n">
        <f aca="false">IF(Returns!$O323=1,"",Returns!H323)</f>
        <v>0.00832726255151117</v>
      </c>
      <c r="I323" s="26" t="n">
        <f aca="false">IF(Returns!$O323=1,"",Returns!I323)</f>
        <v>-0.00646602126725815</v>
      </c>
      <c r="J323" s="26" t="n">
        <f aca="false">IF(Returns!$O323=1,"",Returns!J323)</f>
        <v>0.0113704005492374</v>
      </c>
      <c r="K323" s="26" t="str">
        <f aca="false">IF(Returns!$O323=1,Returns!B323,"")</f>
        <v/>
      </c>
      <c r="L323" s="26" t="str">
        <f aca="false">IF(Returns!$O323=1,Returns!C323,"")</f>
        <v/>
      </c>
      <c r="M323" s="26" t="str">
        <f aca="false">IF(Returns!$O323=1,Returns!D323,"")</f>
        <v/>
      </c>
      <c r="N323" s="26" t="str">
        <f aca="false">IF(Returns!$O323=1,Returns!E323,"")</f>
        <v/>
      </c>
      <c r="O323" s="26" t="str">
        <f aca="false">IF(Returns!$O323=1,Returns!F323,"")</f>
        <v/>
      </c>
      <c r="P323" s="26" t="str">
        <f aca="false">IF(Returns!$O323=1,Returns!G323,"")</f>
        <v/>
      </c>
      <c r="Q323" s="26" t="str">
        <f aca="false">IF(Returns!$O323=1,Returns!H323,"")</f>
        <v/>
      </c>
      <c r="R323" s="26" t="str">
        <f aca="false">IF(Returns!$O323=1,Returns!I323,"")</f>
        <v/>
      </c>
      <c r="S323" s="26" t="str">
        <f aca="false">IF(Returns!$O323=1,Returns!J323,"")</f>
        <v/>
      </c>
      <c r="T323" s="26" t="n">
        <f aca="false">IF(Returns!$O323=1,"",Returns!K323)</f>
        <v>0.015875070144554</v>
      </c>
    </row>
    <row r="324" customFormat="false" ht="15" hidden="false" customHeight="false" outlineLevel="0" collapsed="false">
      <c r="A324" s="25" t="n">
        <f aca="false">Returns!A324</f>
        <v>44181</v>
      </c>
      <c r="B324" s="26" t="n">
        <f aca="false">IF(Returns!$O324=1,"",Returns!B324)</f>
        <v>0.00596418648009611</v>
      </c>
      <c r="C324" s="26" t="n">
        <f aca="false">IF(Returns!$O324=1,"",Returns!C324)</f>
        <v>0.0283627911313511</v>
      </c>
      <c r="D324" s="26" t="n">
        <f aca="false">IF(Returns!$O324=1,"",Returns!D324)</f>
        <v>0.014344262295082</v>
      </c>
      <c r="E324" s="26" t="n">
        <f aca="false">IF(Returns!$O324=1,"",Returns!E324)</f>
        <v>0.0194745294965006</v>
      </c>
      <c r="F324" s="26" t="n">
        <f aca="false">IF(Returns!$O324=1,"",Returns!F324)</f>
        <v>0.0138504695663637</v>
      </c>
      <c r="G324" s="26" t="n">
        <f aca="false">IF(Returns!$O324=1,"",Returns!G324)</f>
        <v>0.00957701554577062</v>
      </c>
      <c r="H324" s="26" t="n">
        <f aca="false">IF(Returns!$O324=1,"",Returns!H324)</f>
        <v>0.0122082944344704</v>
      </c>
      <c r="I324" s="26" t="n">
        <f aca="false">IF(Returns!$O324=1,"",Returns!I324)</f>
        <v>0.0132405293822393</v>
      </c>
      <c r="J324" s="26" t="n">
        <f aca="false">IF(Returns!$O324=1,"",Returns!J324)</f>
        <v>0.0203550414201183</v>
      </c>
      <c r="K324" s="26" t="str">
        <f aca="false">IF(Returns!$O324=1,Returns!B324,"")</f>
        <v/>
      </c>
      <c r="L324" s="26" t="str">
        <f aca="false">IF(Returns!$O324=1,Returns!C324,"")</f>
        <v/>
      </c>
      <c r="M324" s="26" t="str">
        <f aca="false">IF(Returns!$O324=1,Returns!D324,"")</f>
        <v/>
      </c>
      <c r="N324" s="26" t="str">
        <f aca="false">IF(Returns!$O324=1,Returns!E324,"")</f>
        <v/>
      </c>
      <c r="O324" s="26" t="str">
        <f aca="false">IF(Returns!$O324=1,Returns!F324,"")</f>
        <v/>
      </c>
      <c r="P324" s="26" t="str">
        <f aca="false">IF(Returns!$O324=1,Returns!G324,"")</f>
        <v/>
      </c>
      <c r="Q324" s="26" t="str">
        <f aca="false">IF(Returns!$O324=1,Returns!H324,"")</f>
        <v/>
      </c>
      <c r="R324" s="26" t="str">
        <f aca="false">IF(Returns!$O324=1,Returns!I324,"")</f>
        <v/>
      </c>
      <c r="S324" s="26" t="str">
        <f aca="false">IF(Returns!$O324=1,Returns!J324,"")</f>
        <v/>
      </c>
      <c r="T324" s="26" t="n">
        <f aca="false">IF(Returns!$O324=1,"",Returns!K324)</f>
        <v>0.015264124416888</v>
      </c>
    </row>
    <row r="325" customFormat="false" ht="15" hidden="false" customHeight="false" outlineLevel="0" collapsed="false">
      <c r="A325" s="25" t="n">
        <f aca="false">Returns!A325</f>
        <v>44182</v>
      </c>
      <c r="B325" s="26" t="n">
        <f aca="false">IF(Returns!$O325=1,"",Returns!B325)</f>
        <v>-0.00875204736036406</v>
      </c>
      <c r="C325" s="26" t="n">
        <f aca="false">IF(Returns!$O325=1,"",Returns!C325)</f>
        <v>-0.00165146171107933</v>
      </c>
      <c r="D325" s="26" t="n">
        <f aca="false">IF(Returns!$O325=1,"",Returns!D325)</f>
        <v>0.0105050505050506</v>
      </c>
      <c r="E325" s="26" t="n">
        <f aca="false">IF(Returns!$O325=1,"",Returns!E325)</f>
        <v>0.0177379929917829</v>
      </c>
      <c r="F325" s="26" t="n">
        <f aca="false">IF(Returns!$O325=1,"",Returns!F325)</f>
        <v>0.0226385937635574</v>
      </c>
      <c r="G325" s="26" t="n">
        <f aca="false">IF(Returns!$O325=1,"",Returns!G325)</f>
        <v>-0.0154149808464419</v>
      </c>
      <c r="H325" s="26" t="n">
        <f aca="false">IF(Returns!$O325=1,"",Returns!H325)</f>
        <v>0.00177364307294625</v>
      </c>
      <c r="I325" s="26" t="n">
        <f aca="false">IF(Returns!$O325=1,"",Returns!I325)</f>
        <v>-0.00908077725795675</v>
      </c>
      <c r="J325" s="26" t="n">
        <f aca="false">IF(Returns!$O325=1,"",Returns!J325)</f>
        <v>0.0113662258018299</v>
      </c>
      <c r="K325" s="26" t="str">
        <f aca="false">IF(Returns!$O325=1,Returns!B325,"")</f>
        <v/>
      </c>
      <c r="L325" s="26" t="str">
        <f aca="false">IF(Returns!$O325=1,Returns!C325,"")</f>
        <v/>
      </c>
      <c r="M325" s="26" t="str">
        <f aca="false">IF(Returns!$O325=1,Returns!D325,"")</f>
        <v/>
      </c>
      <c r="N325" s="26" t="str">
        <f aca="false">IF(Returns!$O325=1,Returns!E325,"")</f>
        <v/>
      </c>
      <c r="O325" s="26" t="str">
        <f aca="false">IF(Returns!$O325=1,Returns!F325,"")</f>
        <v/>
      </c>
      <c r="P325" s="26" t="str">
        <f aca="false">IF(Returns!$O325=1,Returns!G325,"")</f>
        <v/>
      </c>
      <c r="Q325" s="26" t="str">
        <f aca="false">IF(Returns!$O325=1,Returns!H325,"")</f>
        <v/>
      </c>
      <c r="R325" s="26" t="str">
        <f aca="false">IF(Returns!$O325=1,Returns!I325,"")</f>
        <v/>
      </c>
      <c r="S325" s="26" t="str">
        <f aca="false">IF(Returns!$O325=1,Returns!J325,"")</f>
        <v/>
      </c>
      <c r="T325" s="26" t="n">
        <f aca="false">IF(Returns!$O325=1,"",Returns!K325)</f>
        <v>0.00323580432881389</v>
      </c>
    </row>
    <row r="326" customFormat="false" ht="15" hidden="false" customHeight="false" outlineLevel="0" collapsed="false">
      <c r="A326" s="25" t="n">
        <f aca="false">Returns!A326</f>
        <v>44183</v>
      </c>
      <c r="B326" s="26" t="n">
        <f aca="false">IF(Returns!$O326=1,"",Returns!B326)</f>
        <v>-0.025348888844362</v>
      </c>
      <c r="C326" s="26" t="n">
        <f aca="false">IF(Returns!$O326=1,"",Returns!C326)</f>
        <v>-0.0107527543424317</v>
      </c>
      <c r="D326" s="26" t="n">
        <f aca="false">IF(Returns!$O326=1,"",Returns!D326)</f>
        <v>0.0251898840463813</v>
      </c>
      <c r="E326" s="26" t="n">
        <f aca="false">IF(Returns!$O326=1,"",Returns!E326)</f>
        <v>-0.00625648769208209</v>
      </c>
      <c r="F326" s="26" t="n">
        <f aca="false">IF(Returns!$O326=1,"",Returns!F326)</f>
        <v>-0.0255725358893002</v>
      </c>
      <c r="G326" s="26" t="n">
        <f aca="false">IF(Returns!$O326=1,"",Returns!G326)</f>
        <v>-0.0216780008028905</v>
      </c>
      <c r="H326" s="26" t="n">
        <f aca="false">IF(Returns!$O326=1,"",Returns!H326)</f>
        <v>-0.00495750708215292</v>
      </c>
      <c r="I326" s="26" t="n">
        <f aca="false">IF(Returns!$O326=1,"",Returns!I326)</f>
        <v>-0.0113992490712943</v>
      </c>
      <c r="J326" s="26" t="n">
        <f aca="false">IF(Returns!$O326=1,"",Returns!J326)</f>
        <v>0.00688080298901861</v>
      </c>
      <c r="K326" s="26" t="str">
        <f aca="false">IF(Returns!$O326=1,Returns!B326,"")</f>
        <v/>
      </c>
      <c r="L326" s="26" t="str">
        <f aca="false">IF(Returns!$O326=1,Returns!C326,"")</f>
        <v/>
      </c>
      <c r="M326" s="26" t="str">
        <f aca="false">IF(Returns!$O326=1,Returns!D326,"")</f>
        <v/>
      </c>
      <c r="N326" s="26" t="str">
        <f aca="false">IF(Returns!$O326=1,Returns!E326,"")</f>
        <v/>
      </c>
      <c r="O326" s="26" t="str">
        <f aca="false">IF(Returns!$O326=1,Returns!F326,"")</f>
        <v/>
      </c>
      <c r="P326" s="26" t="str">
        <f aca="false">IF(Returns!$O326=1,Returns!G326,"")</f>
        <v/>
      </c>
      <c r="Q326" s="26" t="str">
        <f aca="false">IF(Returns!$O326=1,Returns!H326,"")</f>
        <v/>
      </c>
      <c r="R326" s="26" t="str">
        <f aca="false">IF(Returns!$O326=1,Returns!I326,"")</f>
        <v/>
      </c>
      <c r="S326" s="26" t="str">
        <f aca="false">IF(Returns!$O326=1,Returns!J326,"")</f>
        <v/>
      </c>
      <c r="T326" s="26" t="n">
        <f aca="false">IF(Returns!$O326=1,"",Returns!K326)</f>
        <v>-0.00821052629879043</v>
      </c>
    </row>
    <row r="327" customFormat="false" ht="15" hidden="false" customHeight="false" outlineLevel="0" collapsed="false">
      <c r="A327" s="25" t="n">
        <f aca="false">Returns!A327</f>
        <v>44186</v>
      </c>
      <c r="B327" s="26" t="n">
        <f aca="false">IF(Returns!$O327=1,"",Returns!B327)</f>
        <v>-0.00701348606038921</v>
      </c>
      <c r="C327" s="26" t="n">
        <f aca="false">IF(Returns!$O327=1,"",Returns!C327)</f>
        <v>-0.0133778938714311</v>
      </c>
      <c r="D327" s="26" t="n">
        <f aca="false">IF(Returns!$O327=1,"",Returns!D327)</f>
        <v>-0.0280810853385758</v>
      </c>
      <c r="E327" s="26" t="n">
        <f aca="false">IF(Returns!$O327=1,"",Returns!E327)</f>
        <v>-0.0145405638516048</v>
      </c>
      <c r="F327" s="26" t="n">
        <f aca="false">IF(Returns!$O327=1,"",Returns!F327)</f>
        <v>-0.0235017855132309</v>
      </c>
      <c r="G327" s="26" t="n">
        <f aca="false">IF(Returns!$O327=1,"",Returns!G327)</f>
        <v>-0.0233894943213174</v>
      </c>
      <c r="H327" s="26" t="n">
        <f aca="false">IF(Returns!$O327=1,"",Returns!H327)</f>
        <v>-0.0384341637010677</v>
      </c>
      <c r="I327" s="26" t="n">
        <f aca="false">IF(Returns!$O327=1,"",Returns!I327)</f>
        <v>-0.0117566637786014</v>
      </c>
      <c r="J327" s="26" t="n">
        <f aca="false">IF(Returns!$O327=1,"",Returns!J327)</f>
        <v>-0.0107061727549145</v>
      </c>
      <c r="K327" s="26" t="str">
        <f aca="false">IF(Returns!$O327=1,Returns!B327,"")</f>
        <v/>
      </c>
      <c r="L327" s="26" t="str">
        <f aca="false">IF(Returns!$O327=1,Returns!C327,"")</f>
        <v/>
      </c>
      <c r="M327" s="26" t="str">
        <f aca="false">IF(Returns!$O327=1,Returns!D327,"")</f>
        <v/>
      </c>
      <c r="N327" s="26" t="str">
        <f aca="false">IF(Returns!$O327=1,Returns!E327,"")</f>
        <v/>
      </c>
      <c r="O327" s="26" t="str">
        <f aca="false">IF(Returns!$O327=1,Returns!F327,"")</f>
        <v/>
      </c>
      <c r="P327" s="26" t="str">
        <f aca="false">IF(Returns!$O327=1,Returns!G327,"")</f>
        <v/>
      </c>
      <c r="Q327" s="26" t="str">
        <f aca="false">IF(Returns!$O327=1,Returns!H327,"")</f>
        <v/>
      </c>
      <c r="R327" s="26" t="str">
        <f aca="false">IF(Returns!$O327=1,Returns!I327,"")</f>
        <v/>
      </c>
      <c r="S327" s="26" t="str">
        <f aca="false">IF(Returns!$O327=1,Returns!J327,"")</f>
        <v/>
      </c>
      <c r="T327" s="26" t="n">
        <f aca="false">IF(Returns!$O327=1,"",Returns!K327)</f>
        <v>-0.0189779232434592</v>
      </c>
    </row>
    <row r="328" customFormat="false" ht="15" hidden="false" customHeight="false" outlineLevel="0" collapsed="false">
      <c r="A328" s="25" t="n">
        <f aca="false">Returns!A328</f>
        <v>44187</v>
      </c>
      <c r="B328" s="26" t="n">
        <f aca="false">IF(Returns!$O328=1,"",Returns!B328)</f>
        <v>-0.000882828147186876</v>
      </c>
      <c r="C328" s="26" t="n">
        <f aca="false">IF(Returns!$O328=1,"",Returns!C328)</f>
        <v>0.0216948820913521</v>
      </c>
      <c r="D328" s="26" t="n">
        <f aca="false">IF(Returns!$O328=1,"",Returns!D328)</f>
        <v>0.030497592295345</v>
      </c>
      <c r="E328" s="26" t="n">
        <f aca="false">IF(Returns!$O328=1,"",Returns!E328)</f>
        <v>-0.013081853151258</v>
      </c>
      <c r="F328" s="26" t="n">
        <f aca="false">IF(Returns!$O328=1,"",Returns!F328)</f>
        <v>-0.0020056177236657</v>
      </c>
      <c r="G328" s="26" t="n">
        <f aca="false">IF(Returns!$O328=1,"",Returns!G328)</f>
        <v>-0.0235293707365283</v>
      </c>
      <c r="H328" s="26" t="n">
        <f aca="false">IF(Returns!$O328=1,"",Returns!H328)</f>
        <v>0.00962253886010367</v>
      </c>
      <c r="I328" s="26" t="n">
        <f aca="false">IF(Returns!$O328=1,"",Returns!I328)</f>
        <v>-0.0187599960687155</v>
      </c>
      <c r="J328" s="26" t="n">
        <f aca="false">IF(Returns!$O328=1,"",Returns!J328)</f>
        <v>0.000921033836967178</v>
      </c>
      <c r="K328" s="26" t="str">
        <f aca="false">IF(Returns!$O328=1,Returns!B328,"")</f>
        <v/>
      </c>
      <c r="L328" s="26" t="str">
        <f aca="false">IF(Returns!$O328=1,Returns!C328,"")</f>
        <v/>
      </c>
      <c r="M328" s="26" t="str">
        <f aca="false">IF(Returns!$O328=1,Returns!D328,"")</f>
        <v/>
      </c>
      <c r="N328" s="26" t="str">
        <f aca="false">IF(Returns!$O328=1,Returns!E328,"")</f>
        <v/>
      </c>
      <c r="O328" s="26" t="str">
        <f aca="false">IF(Returns!$O328=1,Returns!F328,"")</f>
        <v/>
      </c>
      <c r="P328" s="26" t="str">
        <f aca="false">IF(Returns!$O328=1,Returns!G328,"")</f>
        <v/>
      </c>
      <c r="Q328" s="26" t="str">
        <f aca="false">IF(Returns!$O328=1,Returns!H328,"")</f>
        <v/>
      </c>
      <c r="R328" s="26" t="str">
        <f aca="false">IF(Returns!$O328=1,Returns!I328,"")</f>
        <v/>
      </c>
      <c r="S328" s="26" t="str">
        <f aca="false">IF(Returns!$O328=1,Returns!J328,"")</f>
        <v/>
      </c>
      <c r="T328" s="26" t="n">
        <f aca="false">IF(Returns!$O328=1,"",Returns!K328)</f>
        <v>0.000497375695157065</v>
      </c>
    </row>
    <row r="329" customFormat="false" ht="15" hidden="false" customHeight="false" outlineLevel="0" collapsed="false">
      <c r="A329" s="25" t="n">
        <f aca="false">Returns!A329</f>
        <v>44188</v>
      </c>
      <c r="B329" s="26" t="n">
        <f aca="false">IF(Returns!$O329=1,"",Returns!B329)</f>
        <v>-0.00648016181207189</v>
      </c>
      <c r="C329" s="26" t="n">
        <f aca="false">IF(Returns!$O329=1,"",Returns!C329)</f>
        <v>-0.00481084968884205</v>
      </c>
      <c r="D329" s="26" t="n">
        <f aca="false">IF(Returns!$O329=1,"",Returns!D329)</f>
        <v>-0.0210280763239875</v>
      </c>
      <c r="E329" s="26" t="n">
        <f aca="false">IF(Returns!$O329=1,"",Returns!E329)</f>
        <v>0.0265104975266877</v>
      </c>
      <c r="F329" s="26" t="n">
        <f aca="false">IF(Returns!$O329=1,"",Returns!F329)</f>
        <v>0.011254038592273</v>
      </c>
      <c r="G329" s="26" t="n">
        <f aca="false">IF(Returns!$O329=1,"",Returns!G329)</f>
        <v>0.0215146299483648</v>
      </c>
      <c r="H329" s="26" t="n">
        <f aca="false">IF(Returns!$O329=1,"",Returns!H329)</f>
        <v>0.0245601164017553</v>
      </c>
      <c r="I329" s="26" t="n">
        <f aca="false">IF(Returns!$O329=1,"",Returns!I329)</f>
        <v>0.00442996073564705</v>
      </c>
      <c r="J329" s="26" t="n">
        <f aca="false">IF(Returns!$O329=1,"",Returns!J329)</f>
        <v>0.00483090626107874</v>
      </c>
      <c r="K329" s="26" t="str">
        <f aca="false">IF(Returns!$O329=1,Returns!B329,"")</f>
        <v/>
      </c>
      <c r="L329" s="26" t="str">
        <f aca="false">IF(Returns!$O329=1,Returns!C329,"")</f>
        <v/>
      </c>
      <c r="M329" s="26" t="str">
        <f aca="false">IF(Returns!$O329=1,Returns!D329,"")</f>
        <v/>
      </c>
      <c r="N329" s="26" t="str">
        <f aca="false">IF(Returns!$O329=1,Returns!E329,"")</f>
        <v/>
      </c>
      <c r="O329" s="26" t="str">
        <f aca="false">IF(Returns!$O329=1,Returns!F329,"")</f>
        <v/>
      </c>
      <c r="P329" s="26" t="str">
        <f aca="false">IF(Returns!$O329=1,Returns!G329,"")</f>
        <v/>
      </c>
      <c r="Q329" s="26" t="str">
        <f aca="false">IF(Returns!$O329=1,Returns!H329,"")</f>
        <v/>
      </c>
      <c r="R329" s="26" t="str">
        <f aca="false">IF(Returns!$O329=1,Returns!I329,"")</f>
        <v/>
      </c>
      <c r="S329" s="26" t="str">
        <f aca="false">IF(Returns!$O329=1,Returns!J329,"")</f>
        <v/>
      </c>
      <c r="T329" s="26" t="n">
        <f aca="false">IF(Returns!$O329=1,"",Returns!K329)</f>
        <v>0.0067534512934339</v>
      </c>
    </row>
    <row r="330" customFormat="false" ht="15" hidden="false" customHeight="false" outlineLevel="0" collapsed="false">
      <c r="A330" s="25" t="n">
        <f aca="false">Returns!A330</f>
        <v>44193</v>
      </c>
      <c r="B330" s="26" t="n">
        <f aca="false">IF(Returns!$O330=1,"",Returns!B330)</f>
        <v>0.0168988884805648</v>
      </c>
      <c r="C330" s="26" t="n">
        <f aca="false">IF(Returns!$O330=1,"",Returns!C330)</f>
        <v>0.0251708959883612</v>
      </c>
      <c r="D330" s="26" t="n">
        <f aca="false">IF(Returns!$O330=1,"",Returns!D330)</f>
        <v>0.0119332542535104</v>
      </c>
      <c r="E330" s="26" t="n">
        <f aca="false">IF(Returns!$O330=1,"",Returns!E330)</f>
        <v>0.00150148653157611</v>
      </c>
      <c r="F330" s="26" t="n">
        <f aca="false">IF(Returns!$O330=1,"",Returns!F330)</f>
        <v>0.0357710604013757</v>
      </c>
      <c r="G330" s="26" t="n">
        <f aca="false">IF(Returns!$O330=1,"",Returns!G330)</f>
        <v>0.021903959561921</v>
      </c>
      <c r="H330" s="26" t="n">
        <f aca="false">IF(Returns!$O330=1,"",Returns!H330)</f>
        <v>0.00822894424941167</v>
      </c>
      <c r="I330" s="26" t="n">
        <f aca="false">IF(Returns!$O330=1,"",Returns!I330)</f>
        <v>0.00417819546412424</v>
      </c>
      <c r="J330" s="26" t="n">
        <f aca="false">IF(Returns!$O330=1,"",Returns!J330)</f>
        <v>-0.000572378656451766</v>
      </c>
      <c r="K330" s="26" t="str">
        <f aca="false">IF(Returns!$O330=1,Returns!B330,"")</f>
        <v/>
      </c>
      <c r="L330" s="26" t="str">
        <f aca="false">IF(Returns!$O330=1,Returns!C330,"")</f>
        <v/>
      </c>
      <c r="M330" s="26" t="str">
        <f aca="false">IF(Returns!$O330=1,Returns!D330,"")</f>
        <v/>
      </c>
      <c r="N330" s="26" t="str">
        <f aca="false">IF(Returns!$O330=1,Returns!E330,"")</f>
        <v/>
      </c>
      <c r="O330" s="26" t="str">
        <f aca="false">IF(Returns!$O330=1,Returns!F330,"")</f>
        <v/>
      </c>
      <c r="P330" s="26" t="str">
        <f aca="false">IF(Returns!$O330=1,Returns!G330,"")</f>
        <v/>
      </c>
      <c r="Q330" s="26" t="str">
        <f aca="false">IF(Returns!$O330=1,Returns!H330,"")</f>
        <v/>
      </c>
      <c r="R330" s="26" t="str">
        <f aca="false">IF(Returns!$O330=1,Returns!I330,"")</f>
        <v/>
      </c>
      <c r="S330" s="26" t="str">
        <f aca="false">IF(Returns!$O330=1,Returns!J330,"")</f>
        <v/>
      </c>
      <c r="T330" s="26" t="n">
        <f aca="false">IF(Returns!$O330=1,"",Returns!K330)</f>
        <v>0.0138904784749326</v>
      </c>
    </row>
    <row r="331" customFormat="false" ht="15" hidden="false" customHeight="false" outlineLevel="0" collapsed="false">
      <c r="A331" s="25" t="n">
        <f aca="false">Returns!A331</f>
        <v>44194</v>
      </c>
      <c r="B331" s="26" t="n">
        <f aca="false">IF(Returns!$O331=1,"",Returns!B331)</f>
        <v>-0.00670552497683741</v>
      </c>
      <c r="C331" s="26" t="n">
        <f aca="false">IF(Returns!$O331=1,"",Returns!C331)</f>
        <v>0.00520326829268303</v>
      </c>
      <c r="D331" s="26" t="n">
        <f aca="false">IF(Returns!$O331=1,"",Returns!D331)</f>
        <v>0.00511002338403999</v>
      </c>
      <c r="E331" s="26" t="n">
        <f aca="false">IF(Returns!$O331=1,"",Returns!E331)</f>
        <v>0.00539731658458686</v>
      </c>
      <c r="F331" s="26" t="n">
        <f aca="false">IF(Returns!$O331=1,"",Returns!F331)</f>
        <v>0.00575595347978597</v>
      </c>
      <c r="G331" s="26" t="n">
        <f aca="false">IF(Returns!$O331=1,"",Returns!G331)</f>
        <v>-0.0370980626545755</v>
      </c>
      <c r="H331" s="26" t="n">
        <f aca="false">IF(Returns!$O331=1,"",Returns!H331)</f>
        <v>0.00319375443577008</v>
      </c>
      <c r="I331" s="26" t="n">
        <f aca="false">IF(Returns!$O331=1,"",Returns!I331)</f>
        <v>0.0353675657819197</v>
      </c>
      <c r="J331" s="26" t="n">
        <f aca="false">IF(Returns!$O331=1,"",Returns!J331)</f>
        <v>-0.00274880317830262</v>
      </c>
      <c r="K331" s="26" t="str">
        <f aca="false">IF(Returns!$O331=1,Returns!B331,"")</f>
        <v/>
      </c>
      <c r="L331" s="26" t="str">
        <f aca="false">IF(Returns!$O331=1,Returns!C331,"")</f>
        <v/>
      </c>
      <c r="M331" s="26" t="str">
        <f aca="false">IF(Returns!$O331=1,Returns!D331,"")</f>
        <v/>
      </c>
      <c r="N331" s="26" t="str">
        <f aca="false">IF(Returns!$O331=1,Returns!E331,"")</f>
        <v/>
      </c>
      <c r="O331" s="26" t="str">
        <f aca="false">IF(Returns!$O331=1,Returns!F331,"")</f>
        <v/>
      </c>
      <c r="P331" s="26" t="str">
        <f aca="false">IF(Returns!$O331=1,Returns!G331,"")</f>
        <v/>
      </c>
      <c r="Q331" s="26" t="str">
        <f aca="false">IF(Returns!$O331=1,Returns!H331,"")</f>
        <v/>
      </c>
      <c r="R331" s="26" t="str">
        <f aca="false">IF(Returns!$O331=1,Returns!I331,"")</f>
        <v/>
      </c>
      <c r="S331" s="26" t="str">
        <f aca="false">IF(Returns!$O331=1,Returns!J331,"")</f>
        <v/>
      </c>
      <c r="T331" s="26" t="n">
        <f aca="false">IF(Returns!$O331=1,"",Returns!K331)</f>
        <v>0.00149727679434112</v>
      </c>
    </row>
    <row r="332" customFormat="false" ht="15" hidden="false" customHeight="false" outlineLevel="0" collapsed="false">
      <c r="A332" s="25" t="n">
        <f aca="false">Returns!A332</f>
        <v>44195</v>
      </c>
      <c r="B332" s="26" t="n">
        <f aca="false">IF(Returns!$O332=1,"",Returns!B332)</f>
        <v>0.000587041393998344</v>
      </c>
      <c r="C332" s="26" t="n">
        <f aca="false">IF(Returns!$O332=1,"",Returns!C332)</f>
        <v>0.00258814295392829</v>
      </c>
      <c r="D332" s="26" t="n">
        <f aca="false">IF(Returns!$O332=1,"",Returns!D332)</f>
        <v>0.0383261243644897</v>
      </c>
      <c r="E332" s="26" t="n">
        <f aca="false">IF(Returns!$O332=1,"",Returns!E332)</f>
        <v>0.0281837020036893</v>
      </c>
      <c r="F332" s="26" t="n">
        <f aca="false">IF(Returns!$O332=1,"",Returns!F332)</f>
        <v>0.00305228076164887</v>
      </c>
      <c r="G332" s="26" t="n">
        <f aca="false">IF(Returns!$O332=1,"",Returns!G332)</f>
        <v>0.00727739694874141</v>
      </c>
      <c r="H332" s="26" t="n">
        <f aca="false">IF(Returns!$O332=1,"",Returns!H332)</f>
        <v>0.00247612309869116</v>
      </c>
      <c r="I332" s="26" t="n">
        <f aca="false">IF(Returns!$O332=1,"",Returns!I332)</f>
        <v>-0.0154052748727541</v>
      </c>
      <c r="J332" s="26" t="n">
        <f aca="false">IF(Returns!$O332=1,"",Returns!J332)</f>
        <v>0.00436427012748375</v>
      </c>
      <c r="K332" s="26" t="str">
        <f aca="false">IF(Returns!$O332=1,Returns!B332,"")</f>
        <v/>
      </c>
      <c r="L332" s="26" t="str">
        <f aca="false">IF(Returns!$O332=1,Returns!C332,"")</f>
        <v/>
      </c>
      <c r="M332" s="26" t="str">
        <f aca="false">IF(Returns!$O332=1,Returns!D332,"")</f>
        <v/>
      </c>
      <c r="N332" s="26" t="str">
        <f aca="false">IF(Returns!$O332=1,Returns!E332,"")</f>
        <v/>
      </c>
      <c r="O332" s="26" t="str">
        <f aca="false">IF(Returns!$O332=1,Returns!F332,"")</f>
        <v/>
      </c>
      <c r="P332" s="26" t="str">
        <f aca="false">IF(Returns!$O332=1,Returns!G332,"")</f>
        <v/>
      </c>
      <c r="Q332" s="26" t="str">
        <f aca="false">IF(Returns!$O332=1,Returns!H332,"")</f>
        <v/>
      </c>
      <c r="R332" s="26" t="str">
        <f aca="false">IF(Returns!$O332=1,Returns!I332,"")</f>
        <v/>
      </c>
      <c r="S332" s="26" t="str">
        <f aca="false">IF(Returns!$O332=1,Returns!J332,"")</f>
        <v/>
      </c>
      <c r="T332" s="26" t="n">
        <f aca="false">IF(Returns!$O332=1,"",Returns!K332)</f>
        <v>0.00793886741999074</v>
      </c>
    </row>
    <row r="333" customFormat="false" ht="15" hidden="false" customHeight="false" outlineLevel="0" collapsed="false">
      <c r="A333" s="25" t="n">
        <f aca="false">Returns!A333</f>
        <v>44200</v>
      </c>
      <c r="B333" s="26" t="n">
        <f aca="false">IF(Returns!$O333=1,"",Returns!B333)</f>
        <v>-0.00264007040187753</v>
      </c>
      <c r="C333" s="26" t="n">
        <f aca="false">IF(Returns!$O333=1,"",Returns!C333)</f>
        <v>-0.0161342691190707</v>
      </c>
      <c r="D333" s="26" t="n">
        <f aca="false">IF(Returns!$O333=1,"",Returns!D333)</f>
        <v>-0.0188323924230657</v>
      </c>
      <c r="E333" s="26" t="n">
        <f aca="false">IF(Returns!$O333=1,"",Returns!E333)</f>
        <v>-0.0169687897158283</v>
      </c>
      <c r="F333" s="26" t="n">
        <f aca="false">IF(Returns!$O333=1,"",Returns!F333)</f>
        <v>-0.0300494241850843</v>
      </c>
      <c r="G333" s="26" t="n">
        <f aca="false">IF(Returns!$O333=1,"",Returns!G333)</f>
        <v>-0.0416490420038655</v>
      </c>
      <c r="H333" s="26" t="n">
        <f aca="false">IF(Returns!$O333=1,"",Returns!H333)</f>
        <v>0.0201129146083274</v>
      </c>
      <c r="I333" s="26" t="n">
        <f aca="false">IF(Returns!$O333=1,"",Returns!I333)</f>
        <v>-0.0310656929827224</v>
      </c>
      <c r="J333" s="26" t="n">
        <f aca="false">IF(Returns!$O333=1,"",Returns!J333)</f>
        <v>0.045854798599936</v>
      </c>
      <c r="K333" s="26" t="str">
        <f aca="false">IF(Returns!$O333=1,Returns!B333,"")</f>
        <v/>
      </c>
      <c r="L333" s="26" t="str">
        <f aca="false">IF(Returns!$O333=1,Returns!C333,"")</f>
        <v/>
      </c>
      <c r="M333" s="26" t="str">
        <f aca="false">IF(Returns!$O333=1,Returns!D333,"")</f>
        <v/>
      </c>
      <c r="N333" s="26" t="str">
        <f aca="false">IF(Returns!$O333=1,Returns!E333,"")</f>
        <v/>
      </c>
      <c r="O333" s="26" t="str">
        <f aca="false">IF(Returns!$O333=1,Returns!F333,"")</f>
        <v/>
      </c>
      <c r="P333" s="26" t="str">
        <f aca="false">IF(Returns!$O333=1,Returns!G333,"")</f>
        <v/>
      </c>
      <c r="Q333" s="26" t="str">
        <f aca="false">IF(Returns!$O333=1,Returns!H333,"")</f>
        <v/>
      </c>
      <c r="R333" s="26" t="str">
        <f aca="false">IF(Returns!$O333=1,Returns!I333,"")</f>
        <v/>
      </c>
      <c r="S333" s="26" t="str">
        <f aca="false">IF(Returns!$O333=1,Returns!J333,"")</f>
        <v/>
      </c>
      <c r="T333" s="26" t="n">
        <f aca="false">IF(Returns!$O333=1,"",Returns!K333)</f>
        <v>-0.0101524408470279</v>
      </c>
    </row>
    <row r="334" customFormat="false" ht="15" hidden="false" customHeight="false" outlineLevel="0" collapsed="false">
      <c r="A334" s="25" t="n">
        <f aca="false">Returns!A334</f>
        <v>44201</v>
      </c>
      <c r="B334" s="26" t="n">
        <f aca="false">IF(Returns!$O334=1,"",Returns!B334)</f>
        <v>-0.0152941323529412</v>
      </c>
      <c r="C334" s="26" t="n">
        <f aca="false">IF(Returns!$O334=1,"",Returns!C334)</f>
        <v>0.00196790757520193</v>
      </c>
      <c r="D334" s="26" t="n">
        <f aca="false">IF(Returns!$O334=1,"",Returns!D334)</f>
        <v>-0.00690971235737869</v>
      </c>
      <c r="E334" s="26" t="n">
        <f aca="false">IF(Returns!$O334=1,"",Returns!E334)</f>
        <v>-0.0059014754485317</v>
      </c>
      <c r="F334" s="26" t="n">
        <f aca="false">IF(Returns!$O334=1,"",Returns!F334)</f>
        <v>-0.0201571710345725</v>
      </c>
      <c r="G334" s="26" t="n">
        <f aca="false">IF(Returns!$O334=1,"",Returns!G334)</f>
        <v>0.00133042134502981</v>
      </c>
      <c r="H334" s="26" t="n">
        <f aca="false">IF(Returns!$O334=1,"",Returns!H334)</f>
        <v>0.0390868557592528</v>
      </c>
      <c r="I334" s="26" t="n">
        <f aca="false">IF(Returns!$O334=1,"",Returns!I334)</f>
        <v>-0.00327639765464538</v>
      </c>
      <c r="J334" s="26" t="n">
        <f aca="false">IF(Returns!$O334=1,"",Returns!J334)</f>
        <v>0.0168379730684232</v>
      </c>
      <c r="K334" s="26" t="str">
        <f aca="false">IF(Returns!$O334=1,Returns!B334,"")</f>
        <v/>
      </c>
      <c r="L334" s="26" t="str">
        <f aca="false">IF(Returns!$O334=1,Returns!C334,"")</f>
        <v/>
      </c>
      <c r="M334" s="26" t="str">
        <f aca="false">IF(Returns!$O334=1,Returns!D334,"")</f>
        <v/>
      </c>
      <c r="N334" s="26" t="str">
        <f aca="false">IF(Returns!$O334=1,Returns!E334,"")</f>
        <v/>
      </c>
      <c r="O334" s="26" t="str">
        <f aca="false">IF(Returns!$O334=1,Returns!F334,"")</f>
        <v/>
      </c>
      <c r="P334" s="26" t="str">
        <f aca="false">IF(Returns!$O334=1,Returns!G334,"")</f>
        <v/>
      </c>
      <c r="Q334" s="26" t="str">
        <f aca="false">IF(Returns!$O334=1,Returns!H334,"")</f>
        <v/>
      </c>
      <c r="R334" s="26" t="str">
        <f aca="false">IF(Returns!$O334=1,Returns!I334,"")</f>
        <v/>
      </c>
      <c r="S334" s="26" t="str">
        <f aca="false">IF(Returns!$O334=1,Returns!J334,"")</f>
        <v/>
      </c>
      <c r="T334" s="26" t="n">
        <f aca="false">IF(Returns!$O334=1,"",Returns!K334)</f>
        <v>0.000853807655537577</v>
      </c>
    </row>
    <row r="335" customFormat="false" ht="15" hidden="false" customHeight="false" outlineLevel="0" collapsed="false">
      <c r="A335" s="25" t="n">
        <f aca="false">Returns!A335</f>
        <v>44202</v>
      </c>
      <c r="B335" s="26" t="n">
        <f aca="false">IF(Returns!$O335=1,"",Returns!B335)</f>
        <v>-0.0591397708951578</v>
      </c>
      <c r="C335" s="26" t="n">
        <f aca="false">IF(Returns!$O335=1,"",Returns!C335)</f>
        <v>-0.0163666445766507</v>
      </c>
      <c r="D335" s="26" t="n">
        <f aca="false">IF(Returns!$O335=1,"",Returns!D335)</f>
        <v>0.0189408574046828</v>
      </c>
      <c r="E335" s="26" t="n">
        <f aca="false">IF(Returns!$O335=1,"",Returns!E335)</f>
        <v>-0.0575838108155452</v>
      </c>
      <c r="F335" s="26" t="n">
        <f aca="false">IF(Returns!$O335=1,"",Returns!F335)</f>
        <v>-0.0585640192539109</v>
      </c>
      <c r="G335" s="26" t="n">
        <f aca="false">IF(Returns!$O335=1,"",Returns!G335)</f>
        <v>-0.0425154561558901</v>
      </c>
      <c r="H335" s="26" t="n">
        <f aca="false">IF(Returns!$O335=1,"",Returns!H335)</f>
        <v>0.00199730352871841</v>
      </c>
      <c r="I335" s="26" t="n">
        <f aca="false">IF(Returns!$O335=1,"",Returns!I335)</f>
        <v>-0.0211317035809783</v>
      </c>
      <c r="J335" s="26" t="n">
        <f aca="false">IF(Returns!$O335=1,"",Returns!J335)</f>
        <v>0.0327957311827958</v>
      </c>
      <c r="K335" s="26" t="str">
        <f aca="false">IF(Returns!$O335=1,Returns!B335,"")</f>
        <v/>
      </c>
      <c r="L335" s="26" t="str">
        <f aca="false">IF(Returns!$O335=1,Returns!C335,"")</f>
        <v/>
      </c>
      <c r="M335" s="26" t="str">
        <f aca="false">IF(Returns!$O335=1,Returns!D335,"")</f>
        <v/>
      </c>
      <c r="N335" s="26" t="str">
        <f aca="false">IF(Returns!$O335=1,Returns!E335,"")</f>
        <v/>
      </c>
      <c r="O335" s="26" t="str">
        <f aca="false">IF(Returns!$O335=1,Returns!F335,"")</f>
        <v/>
      </c>
      <c r="P335" s="26" t="str">
        <f aca="false">IF(Returns!$O335=1,Returns!G335,"")</f>
        <v/>
      </c>
      <c r="Q335" s="26" t="str">
        <f aca="false">IF(Returns!$O335=1,Returns!H335,"")</f>
        <v/>
      </c>
      <c r="R335" s="26" t="str">
        <f aca="false">IF(Returns!$O335=1,Returns!I335,"")</f>
        <v/>
      </c>
      <c r="S335" s="26" t="str">
        <f aca="false">IF(Returns!$O335=1,Returns!J335,"")</f>
        <v/>
      </c>
      <c r="T335" s="26" t="n">
        <f aca="false">IF(Returns!$O335=1,"",Returns!K335)</f>
        <v>-0.0223963903513262</v>
      </c>
    </row>
    <row r="336" customFormat="false" ht="15" hidden="false" customHeight="false" outlineLevel="0" collapsed="false">
      <c r="A336" s="25" t="n">
        <f aca="false">Returns!A336</f>
        <v>44203</v>
      </c>
      <c r="B336" s="26" t="n">
        <f aca="false">IF(Returns!$O336=1,"",Returns!B336)</f>
        <v>-0.001269873015873</v>
      </c>
      <c r="C336" s="26" t="n">
        <f aca="false">IF(Returns!$O336=1,"",Returns!C336)</f>
        <v>0.0279533615300061</v>
      </c>
      <c r="D336" s="26" t="n">
        <f aca="false">IF(Returns!$O336=1,"",Returns!D336)</f>
        <v>0.0531107339487582</v>
      </c>
      <c r="E336" s="26" t="n">
        <f aca="false">IF(Returns!$O336=1,"",Returns!E336)</f>
        <v>0.0474016062992126</v>
      </c>
      <c r="F336" s="26" t="n">
        <f aca="false">IF(Returns!$O336=1,"",Returns!F336)</f>
        <v>-0.0123561573223757</v>
      </c>
      <c r="G336" s="26" t="n">
        <f aca="false">IF(Returns!$O336=1,"",Returns!G336)</f>
        <v>-0.000925115590882597</v>
      </c>
      <c r="H336" s="26" t="n">
        <f aca="false">IF(Returns!$O336=1,"",Returns!H336)</f>
        <v>0.0299003322259135</v>
      </c>
      <c r="I336" s="26" t="n">
        <f aca="false">IF(Returns!$O336=1,"",Returns!I336)</f>
        <v>-0.0153514693777465</v>
      </c>
      <c r="J336" s="26" t="n">
        <f aca="false">IF(Returns!$O336=1,"",Returns!J336)</f>
        <v>0.0652784675082205</v>
      </c>
      <c r="K336" s="26" t="str">
        <f aca="false">IF(Returns!$O336=1,Returns!B336,"")</f>
        <v/>
      </c>
      <c r="L336" s="26" t="str">
        <f aca="false">IF(Returns!$O336=1,Returns!C336,"")</f>
        <v/>
      </c>
      <c r="M336" s="26" t="str">
        <f aca="false">IF(Returns!$O336=1,Returns!D336,"")</f>
        <v/>
      </c>
      <c r="N336" s="26" t="str">
        <f aca="false">IF(Returns!$O336=1,Returns!E336,"")</f>
        <v/>
      </c>
      <c r="O336" s="26" t="str">
        <f aca="false">IF(Returns!$O336=1,Returns!F336,"")</f>
        <v/>
      </c>
      <c r="P336" s="26" t="str">
        <f aca="false">IF(Returns!$O336=1,Returns!G336,"")</f>
        <v/>
      </c>
      <c r="Q336" s="26" t="str">
        <f aca="false">IF(Returns!$O336=1,Returns!H336,"")</f>
        <v/>
      </c>
      <c r="R336" s="26" t="str">
        <f aca="false">IF(Returns!$O336=1,Returns!I336,"")</f>
        <v/>
      </c>
      <c r="S336" s="26" t="str">
        <f aca="false">IF(Returns!$O336=1,Returns!J336,"")</f>
        <v/>
      </c>
      <c r="T336" s="26" t="n">
        <f aca="false">IF(Returns!$O336=1,"",Returns!K336)</f>
        <v>0.0215268762450259</v>
      </c>
    </row>
    <row r="337" customFormat="false" ht="15" hidden="false" customHeight="false" outlineLevel="0" collapsed="false">
      <c r="A337" s="25" t="n">
        <f aca="false">Returns!A337</f>
        <v>44204</v>
      </c>
      <c r="B337" s="26" t="n">
        <f aca="false">IF(Returns!$O337=1,"",Returns!B337)</f>
        <v>0.0187539738955491</v>
      </c>
      <c r="C337" s="26" t="n">
        <f aca="false">IF(Returns!$O337=1,"",Returns!C337)</f>
        <v>0.0147297193091434</v>
      </c>
      <c r="D337" s="26" t="n">
        <f aca="false">IF(Returns!$O337=1,"",Returns!D337)</f>
        <v>0.040706015850144</v>
      </c>
      <c r="E337" s="26" t="n">
        <f aca="false">IF(Returns!$O337=1,"",Returns!E337)</f>
        <v>0.0675086132157987</v>
      </c>
      <c r="F337" s="26" t="n">
        <f aca="false">IF(Returns!$O337=1,"",Returns!F337)</f>
        <v>0.0284728213977568</v>
      </c>
      <c r="G337" s="26" t="n">
        <f aca="false">IF(Returns!$O337=1,"",Returns!G337)</f>
        <v>0.0361110648148149</v>
      </c>
      <c r="H337" s="26" t="n">
        <f aca="false">IF(Returns!$O337=1,"",Returns!H337)</f>
        <v>0.00387099999999996</v>
      </c>
      <c r="I337" s="26" t="n">
        <f aca="false">IF(Returns!$O337=1,"",Returns!I337)</f>
        <v>0.0409257632526647</v>
      </c>
      <c r="J337" s="26" t="n">
        <f aca="false">IF(Returns!$O337=1,"",Returns!J337)</f>
        <v>-0.00312744331508985</v>
      </c>
      <c r="K337" s="26" t="str">
        <f aca="false">IF(Returns!$O337=1,Returns!B337,"")</f>
        <v/>
      </c>
      <c r="L337" s="26" t="str">
        <f aca="false">IF(Returns!$O337=1,Returns!C337,"")</f>
        <v/>
      </c>
      <c r="M337" s="26" t="str">
        <f aca="false">IF(Returns!$O337=1,Returns!D337,"")</f>
        <v/>
      </c>
      <c r="N337" s="26" t="str">
        <f aca="false">IF(Returns!$O337=1,Returns!E337,"")</f>
        <v/>
      </c>
      <c r="O337" s="26" t="str">
        <f aca="false">IF(Returns!$O337=1,Returns!F337,"")</f>
        <v/>
      </c>
      <c r="P337" s="26" t="str">
        <f aca="false">IF(Returns!$O337=1,Returns!G337,"")</f>
        <v/>
      </c>
      <c r="Q337" s="26" t="str">
        <f aca="false">IF(Returns!$O337=1,Returns!H337,"")</f>
        <v/>
      </c>
      <c r="R337" s="26" t="str">
        <f aca="false">IF(Returns!$O337=1,Returns!I337,"")</f>
        <v/>
      </c>
      <c r="S337" s="26" t="str">
        <f aca="false">IF(Returns!$O337=1,Returns!J337,"")</f>
        <v/>
      </c>
      <c r="T337" s="26" t="n">
        <f aca="false">IF(Returns!$O337=1,"",Returns!K337)</f>
        <v>0.0275501698245313</v>
      </c>
    </row>
    <row r="338" customFormat="false" ht="15" hidden="false" customHeight="false" outlineLevel="0" collapsed="false">
      <c r="A338" s="25" t="n">
        <f aca="false">Returns!A338</f>
        <v>44207</v>
      </c>
      <c r="B338" s="26" t="n">
        <f aca="false">IF(Returns!$O338=1,"",Returns!B338)</f>
        <v>-0.01560062451172</v>
      </c>
      <c r="C338" s="26" t="n">
        <f aca="false">IF(Returns!$O338=1,"",Returns!C338)</f>
        <v>-0.0411548425954647</v>
      </c>
      <c r="D338" s="26" t="n">
        <f aca="false">IF(Returns!$O338=1,"",Returns!D338)</f>
        <v>0.0211146078613571</v>
      </c>
      <c r="E338" s="26" t="n">
        <f aca="false">IF(Returns!$O338=1,"",Returns!E338)</f>
        <v>-0.0194365774647888</v>
      </c>
      <c r="F338" s="26" t="n">
        <f aca="false">IF(Returns!$O338=1,"",Returns!F338)</f>
        <v>-0.0192953439597314</v>
      </c>
      <c r="G338" s="26" t="n">
        <f aca="false">IF(Returns!$O338=1,"",Returns!G338)</f>
        <v>-0.0428953995931813</v>
      </c>
      <c r="H338" s="26" t="n">
        <f aca="false">IF(Returns!$O338=1,"",Returns!H338)</f>
        <v>-0.00835475551559262</v>
      </c>
      <c r="I338" s="26" t="n">
        <f aca="false">IF(Returns!$O338=1,"",Returns!I338)</f>
        <v>-0.00748891601565282</v>
      </c>
      <c r="J338" s="26" t="n">
        <f aca="false">IF(Returns!$O338=1,"",Returns!J338)</f>
        <v>-0.000196049019607902</v>
      </c>
      <c r="K338" s="26" t="str">
        <f aca="false">IF(Returns!$O338=1,Returns!B338,"")</f>
        <v/>
      </c>
      <c r="L338" s="26" t="str">
        <f aca="false">IF(Returns!$O338=1,Returns!C338,"")</f>
        <v/>
      </c>
      <c r="M338" s="26" t="str">
        <f aca="false">IF(Returns!$O338=1,Returns!D338,"")</f>
        <v/>
      </c>
      <c r="N338" s="26" t="str">
        <f aca="false">IF(Returns!$O338=1,Returns!E338,"")</f>
        <v/>
      </c>
      <c r="O338" s="26" t="str">
        <f aca="false">IF(Returns!$O338=1,Returns!F338,"")</f>
        <v/>
      </c>
      <c r="P338" s="26" t="str">
        <f aca="false">IF(Returns!$O338=1,Returns!G338,"")</f>
        <v/>
      </c>
      <c r="Q338" s="26" t="str">
        <f aca="false">IF(Returns!$O338=1,Returns!H338,"")</f>
        <v/>
      </c>
      <c r="R338" s="26" t="str">
        <f aca="false">IF(Returns!$O338=1,Returns!I338,"")</f>
        <v/>
      </c>
      <c r="S338" s="26" t="str">
        <f aca="false">IF(Returns!$O338=1,Returns!J338,"")</f>
        <v/>
      </c>
      <c r="T338" s="26" t="n">
        <f aca="false">IF(Returns!$O338=1,"",Returns!K338)</f>
        <v>-0.0148119889793758</v>
      </c>
    </row>
    <row r="339" customFormat="false" ht="15" hidden="false" customHeight="false" outlineLevel="0" collapsed="false">
      <c r="A339" s="25" t="n">
        <f aca="false">Returns!A339</f>
        <v>44208</v>
      </c>
      <c r="B339" s="26" t="n">
        <f aca="false">IF(Returns!$O339=1,"",Returns!B339)</f>
        <v>0.0112520288827902</v>
      </c>
      <c r="C339" s="26" t="n">
        <f aca="false">IF(Returns!$O339=1,"",Returns!C339)</f>
        <v>0.0289469301456176</v>
      </c>
      <c r="D339" s="26" t="n">
        <f aca="false">IF(Returns!$O339=1,"",Returns!D339)</f>
        <v>0.00644071186440676</v>
      </c>
      <c r="E339" s="26" t="n">
        <f aca="false">IF(Returns!$O339=1,"",Returns!E339)</f>
        <v>0.0209709700816876</v>
      </c>
      <c r="F339" s="26" t="n">
        <f aca="false">IF(Returns!$O339=1,"",Returns!F339)</f>
        <v>0.0119760911880278</v>
      </c>
      <c r="G339" s="26" t="n">
        <f aca="false">IF(Returns!$O339=1,"",Returns!G339)</f>
        <v>0.0102707282913164</v>
      </c>
      <c r="H339" s="26" t="n">
        <f aca="false">IF(Returns!$O339=1,"",Returns!H339)</f>
        <v>-0.00745307817715235</v>
      </c>
      <c r="I339" s="26" t="n">
        <f aca="false">IF(Returns!$O339=1,"",Returns!I339)</f>
        <v>0.000235796033280611</v>
      </c>
      <c r="J339" s="26" t="n">
        <f aca="false">IF(Returns!$O339=1,"",Returns!J339)</f>
        <v>-0.0273583145511379</v>
      </c>
      <c r="K339" s="26" t="str">
        <f aca="false">IF(Returns!$O339=1,Returns!B339,"")</f>
        <v/>
      </c>
      <c r="L339" s="26" t="str">
        <f aca="false">IF(Returns!$O339=1,Returns!C339,"")</f>
        <v/>
      </c>
      <c r="M339" s="26" t="str">
        <f aca="false">IF(Returns!$O339=1,Returns!D339,"")</f>
        <v/>
      </c>
      <c r="N339" s="26" t="str">
        <f aca="false">IF(Returns!$O339=1,Returns!E339,"")</f>
        <v/>
      </c>
      <c r="O339" s="26" t="str">
        <f aca="false">IF(Returns!$O339=1,Returns!F339,"")</f>
        <v/>
      </c>
      <c r="P339" s="26" t="str">
        <f aca="false">IF(Returns!$O339=1,Returns!G339,"")</f>
        <v/>
      </c>
      <c r="Q339" s="26" t="str">
        <f aca="false">IF(Returns!$O339=1,Returns!H339,"")</f>
        <v/>
      </c>
      <c r="R339" s="26" t="str">
        <f aca="false">IF(Returns!$O339=1,Returns!I339,"")</f>
        <v/>
      </c>
      <c r="S339" s="26" t="str">
        <f aca="false">IF(Returns!$O339=1,Returns!J339,"")</f>
        <v/>
      </c>
      <c r="T339" s="26" t="n">
        <f aca="false">IF(Returns!$O339=1,"",Returns!K339)</f>
        <v>0.0061424293065374</v>
      </c>
    </row>
    <row r="340" customFormat="false" ht="15" hidden="false" customHeight="false" outlineLevel="0" collapsed="false">
      <c r="A340" s="25" t="n">
        <f aca="false">Returns!A340</f>
        <v>44209</v>
      </c>
      <c r="B340" s="26" t="n">
        <f aca="false">IF(Returns!$O340=1,"",Returns!B340)</f>
        <v>-0.0001567465889869</v>
      </c>
      <c r="C340" s="26" t="n">
        <f aca="false">IF(Returns!$O340=1,"",Returns!C340)</f>
        <v>0.00404206945768681</v>
      </c>
      <c r="D340" s="26" t="n">
        <f aca="false">IF(Returns!$O340=1,"",Returns!D340)</f>
        <v>-0.0272819795459083</v>
      </c>
      <c r="E340" s="26" t="n">
        <f aca="false">IF(Returns!$O340=1,"",Returns!E340)</f>
        <v>-0.000422045570566909</v>
      </c>
      <c r="F340" s="26" t="n">
        <f aca="false">IF(Returns!$O340=1,"",Returns!F340)</f>
        <v>-0.00253592561284866</v>
      </c>
      <c r="G340" s="26" t="n">
        <f aca="false">IF(Returns!$O340=1,"",Returns!G340)</f>
        <v>-0.00739366947290521</v>
      </c>
      <c r="H340" s="26" t="n">
        <f aca="false">IF(Returns!$O340=1,"",Returns!H340)</f>
        <v>-0.0483186107841532</v>
      </c>
      <c r="I340" s="26" t="n">
        <f aca="false">IF(Returns!$O340=1,"",Returns!I340)</f>
        <v>0.00542200527323633</v>
      </c>
      <c r="J340" s="26" t="n">
        <f aca="false">IF(Returns!$O340=1,"",Returns!J340)</f>
        <v>-0.0299425440076109</v>
      </c>
      <c r="K340" s="26" t="str">
        <f aca="false">IF(Returns!$O340=1,Returns!B340,"")</f>
        <v/>
      </c>
      <c r="L340" s="26" t="str">
        <f aca="false">IF(Returns!$O340=1,Returns!C340,"")</f>
        <v/>
      </c>
      <c r="M340" s="26" t="str">
        <f aca="false">IF(Returns!$O340=1,Returns!D340,"")</f>
        <v/>
      </c>
      <c r="N340" s="26" t="str">
        <f aca="false">IF(Returns!$O340=1,Returns!E340,"")</f>
        <v/>
      </c>
      <c r="O340" s="26" t="str">
        <f aca="false">IF(Returns!$O340=1,Returns!F340,"")</f>
        <v/>
      </c>
      <c r="P340" s="26" t="str">
        <f aca="false">IF(Returns!$O340=1,Returns!G340,"")</f>
        <v/>
      </c>
      <c r="Q340" s="26" t="str">
        <f aca="false">IF(Returns!$O340=1,Returns!H340,"")</f>
        <v/>
      </c>
      <c r="R340" s="26" t="str">
        <f aca="false">IF(Returns!$O340=1,Returns!I340,"")</f>
        <v/>
      </c>
      <c r="S340" s="26" t="str">
        <f aca="false">IF(Returns!$O340=1,Returns!J340,"")</f>
        <v/>
      </c>
      <c r="T340" s="26" t="n">
        <f aca="false">IF(Returns!$O340=1,"",Returns!K340)</f>
        <v>-0.0118430496502285</v>
      </c>
    </row>
    <row r="341" customFormat="false" ht="15" hidden="false" customHeight="false" outlineLevel="0" collapsed="false">
      <c r="A341" s="25" t="n">
        <f aca="false">Returns!A341</f>
        <v>44210</v>
      </c>
      <c r="B341" s="26" t="n">
        <f aca="false">IF(Returns!$O341=1,"",Returns!B341)</f>
        <v>0.0377742952629199</v>
      </c>
      <c r="C341" s="26" t="n">
        <f aca="false">IF(Returns!$O341=1,"",Returns!C341)</f>
        <v>-0.00708541028572907</v>
      </c>
      <c r="D341" s="26" t="n">
        <f aca="false">IF(Returns!$O341=1,"",Returns!D341)</f>
        <v>-0.015927943764818</v>
      </c>
      <c r="E341" s="26" t="n">
        <f aca="false">IF(Returns!$O341=1,"",Returns!E341)</f>
        <v>0.0405347906881863</v>
      </c>
      <c r="F341" s="26" t="n">
        <f aca="false">IF(Returns!$O341=1,"",Returns!F341)</f>
        <v>0.0161016949152542</v>
      </c>
      <c r="G341" s="26" t="n">
        <f aca="false">IF(Returns!$O341=1,"",Returns!G341)</f>
        <v>0.0214153165735567</v>
      </c>
      <c r="H341" s="26" t="n">
        <f aca="false">IF(Returns!$O341=1,"",Returns!H341)</f>
        <v>0.010291629502573</v>
      </c>
      <c r="I341" s="26" t="n">
        <f aca="false">IF(Returns!$O341=1,"",Returns!I341)</f>
        <v>0.00445486419064256</v>
      </c>
      <c r="J341" s="26" t="n">
        <f aca="false">IF(Returns!$O341=1,"",Returns!J341)</f>
        <v>0.0164207231716824</v>
      </c>
      <c r="K341" s="26" t="str">
        <f aca="false">IF(Returns!$O341=1,Returns!B341,"")</f>
        <v/>
      </c>
      <c r="L341" s="26" t="str">
        <f aca="false">IF(Returns!$O341=1,Returns!C341,"")</f>
        <v/>
      </c>
      <c r="M341" s="26" t="str">
        <f aca="false">IF(Returns!$O341=1,Returns!D341,"")</f>
        <v/>
      </c>
      <c r="N341" s="26" t="str">
        <f aca="false">IF(Returns!$O341=1,Returns!E341,"")</f>
        <v/>
      </c>
      <c r="O341" s="26" t="str">
        <f aca="false">IF(Returns!$O341=1,Returns!F341,"")</f>
        <v/>
      </c>
      <c r="P341" s="26" t="str">
        <f aca="false">IF(Returns!$O341=1,Returns!G341,"")</f>
        <v/>
      </c>
      <c r="Q341" s="26" t="str">
        <f aca="false">IF(Returns!$O341=1,Returns!H341,"")</f>
        <v/>
      </c>
      <c r="R341" s="26" t="str">
        <f aca="false">IF(Returns!$O341=1,Returns!I341,"")</f>
        <v/>
      </c>
      <c r="S341" s="26" t="str">
        <f aca="false">IF(Returns!$O341=1,Returns!J341,"")</f>
        <v/>
      </c>
      <c r="T341" s="26" t="n">
        <f aca="false">IF(Returns!$O341=1,"",Returns!K341)</f>
        <v>0.0137755511393631</v>
      </c>
    </row>
    <row r="342" customFormat="false" ht="15" hidden="false" customHeight="false" outlineLevel="0" collapsed="false">
      <c r="A342" s="25" t="n">
        <f aca="false">Returns!A342</f>
        <v>44211</v>
      </c>
      <c r="B342" s="26" t="n">
        <f aca="false">IF(Returns!$O342=1,"",Returns!B342)</f>
        <v>0.0181242262214807</v>
      </c>
      <c r="C342" s="26" t="n">
        <f aca="false">IF(Returns!$O342=1,"",Returns!C342)</f>
        <v>-0.0298409995108823</v>
      </c>
      <c r="D342" s="26" t="n">
        <f aca="false">IF(Returns!$O342=1,"",Returns!D342)</f>
        <v>0.0165376143560871</v>
      </c>
      <c r="E342" s="26" t="n">
        <f aca="false">IF(Returns!$O342=1,"",Returns!E342)</f>
        <v>-0.0435547274448804</v>
      </c>
      <c r="F342" s="26" t="n">
        <f aca="false">IF(Returns!$O342=1,"",Returns!F342)</f>
        <v>0.0133444120100084</v>
      </c>
      <c r="G342" s="26" t="n">
        <f aca="false">IF(Returns!$O342=1,"",Returns!G342)</f>
        <v>-0.0268915666868018</v>
      </c>
      <c r="H342" s="26" t="n">
        <f aca="false">IF(Returns!$O342=1,"",Returns!H342)</f>
        <v>-0.0451612887890904</v>
      </c>
      <c r="I342" s="26" t="n">
        <f aca="false">IF(Returns!$O342=1,"",Returns!I342)</f>
        <v>-0.0156396365157423</v>
      </c>
      <c r="J342" s="26" t="n">
        <f aca="false">IF(Returns!$O342=1,"",Returns!J342)</f>
        <v>-0.0434560313868293</v>
      </c>
      <c r="K342" s="26" t="str">
        <f aca="false">IF(Returns!$O342=1,Returns!B342,"")</f>
        <v/>
      </c>
      <c r="L342" s="26" t="str">
        <f aca="false">IF(Returns!$O342=1,Returns!C342,"")</f>
        <v/>
      </c>
      <c r="M342" s="26" t="str">
        <f aca="false">IF(Returns!$O342=1,Returns!D342,"")</f>
        <v/>
      </c>
      <c r="N342" s="26" t="str">
        <f aca="false">IF(Returns!$O342=1,Returns!E342,"")</f>
        <v/>
      </c>
      <c r="O342" s="26" t="str">
        <f aca="false">IF(Returns!$O342=1,Returns!F342,"")</f>
        <v/>
      </c>
      <c r="P342" s="26" t="str">
        <f aca="false">IF(Returns!$O342=1,Returns!G342,"")</f>
        <v/>
      </c>
      <c r="Q342" s="26" t="str">
        <f aca="false">IF(Returns!$O342=1,Returns!H342,"")</f>
        <v/>
      </c>
      <c r="R342" s="26" t="str">
        <f aca="false">IF(Returns!$O342=1,Returns!I342,"")</f>
        <v/>
      </c>
      <c r="S342" s="26" t="str">
        <f aca="false">IF(Returns!$O342=1,Returns!J342,"")</f>
        <v/>
      </c>
      <c r="T342" s="26" t="n">
        <f aca="false">IF(Returns!$O342=1,"",Returns!K342)</f>
        <v>-0.0173931108607389</v>
      </c>
    </row>
    <row r="343" customFormat="false" ht="15" hidden="false" customHeight="false" outlineLevel="0" collapsed="false">
      <c r="A343" s="25" t="n">
        <f aca="false">Returns!A343</f>
        <v>44214</v>
      </c>
      <c r="B343" s="26" t="n">
        <f aca="false">IF(Returns!$O343=1,"",Returns!B343)</f>
        <v>0.0192848972386948</v>
      </c>
      <c r="C343" s="26" t="n">
        <f aca="false">IF(Returns!$O343=1,"",Returns!C343)</f>
        <v>0.0163823963699903</v>
      </c>
      <c r="D343" s="26" t="n">
        <f aca="false">IF(Returns!$O343=1,"",Returns!D343)</f>
        <v>0.013845691029619</v>
      </c>
      <c r="E343" s="26" t="n">
        <f aca="false">IF(Returns!$O343=1,"",Returns!E343)</f>
        <v>-0.000282803002160881</v>
      </c>
      <c r="F343" s="26" t="n">
        <f aca="false">IF(Returns!$O343=1,"",Returns!F343)</f>
        <v>0.00288074085928969</v>
      </c>
      <c r="G343" s="26" t="n">
        <f aca="false">IF(Returns!$O343=1,"",Returns!G343)</f>
        <v>0.00327868852459012</v>
      </c>
      <c r="H343" s="26" t="n">
        <f aca="false">IF(Returns!$O343=1,"",Returns!H343)</f>
        <v>-0.00177812938200106</v>
      </c>
      <c r="I343" s="26" t="n">
        <f aca="false">IF(Returns!$O343=1,"",Returns!I343)</f>
        <v>-0.010433896421688</v>
      </c>
      <c r="J343" s="26" t="n">
        <f aca="false">IF(Returns!$O343=1,"",Returns!J343)</f>
        <v>0.00812394415422935</v>
      </c>
      <c r="K343" s="26" t="str">
        <f aca="false">IF(Returns!$O343=1,Returns!B343,"")</f>
        <v/>
      </c>
      <c r="L343" s="26" t="str">
        <f aca="false">IF(Returns!$O343=1,Returns!C343,"")</f>
        <v/>
      </c>
      <c r="M343" s="26" t="str">
        <f aca="false">IF(Returns!$O343=1,Returns!D343,"")</f>
        <v/>
      </c>
      <c r="N343" s="26" t="str">
        <f aca="false">IF(Returns!$O343=1,Returns!E343,"")</f>
        <v/>
      </c>
      <c r="O343" s="26" t="str">
        <f aca="false">IF(Returns!$O343=1,Returns!F343,"")</f>
        <v/>
      </c>
      <c r="P343" s="26" t="str">
        <f aca="false">IF(Returns!$O343=1,Returns!G343,"")</f>
        <v/>
      </c>
      <c r="Q343" s="26" t="str">
        <f aca="false">IF(Returns!$O343=1,Returns!H343,"")</f>
        <v/>
      </c>
      <c r="R343" s="26" t="str">
        <f aca="false">IF(Returns!$O343=1,Returns!I343,"")</f>
        <v/>
      </c>
      <c r="S343" s="26" t="str">
        <f aca="false">IF(Returns!$O343=1,Returns!J343,"")</f>
        <v/>
      </c>
      <c r="T343" s="26" t="n">
        <f aca="false">IF(Returns!$O343=1,"",Returns!K343)</f>
        <v>0.00570016993006258</v>
      </c>
    </row>
    <row r="344" customFormat="false" ht="15" hidden="false" customHeight="false" outlineLevel="0" collapsed="false">
      <c r="A344" s="25" t="n">
        <f aca="false">Returns!A344</f>
        <v>44215</v>
      </c>
      <c r="B344" s="26" t="n">
        <f aca="false">IF(Returns!$O344=1,"",Returns!B344)</f>
        <v>0.022413055194485</v>
      </c>
      <c r="C344" s="26" t="n">
        <f aca="false">IF(Returns!$O344=1,"",Returns!C344)</f>
        <v>-0.0034538981399308</v>
      </c>
      <c r="D344" s="26" t="n">
        <f aca="false">IF(Returns!$O344=1,"",Returns!D344)</f>
        <v>-0.00341413440033689</v>
      </c>
      <c r="E344" s="26" t="n">
        <f aca="false">IF(Returns!$O344=1,"",Returns!E344)</f>
        <v>-0.0267364400414079</v>
      </c>
      <c r="F344" s="26" t="n">
        <f aca="false">IF(Returns!$O344=1,"",Returns!F344)</f>
        <v>0.0114894948096227</v>
      </c>
      <c r="G344" s="26" t="n">
        <f aca="false">IF(Returns!$O344=1,"",Returns!G344)</f>
        <v>-0.0107375816993466</v>
      </c>
      <c r="H344" s="26" t="n">
        <f aca="false">IF(Returns!$O344=1,"",Returns!H344)</f>
        <v>0.0220876736729605</v>
      </c>
      <c r="I344" s="26" t="n">
        <f aca="false">IF(Returns!$O344=1,"",Returns!I344)</f>
        <v>-0.0150971158009867</v>
      </c>
      <c r="J344" s="26" t="n">
        <f aca="false">IF(Returns!$O344=1,"",Returns!J344)</f>
        <v>-0.0026508324175768</v>
      </c>
      <c r="K344" s="26" t="str">
        <f aca="false">IF(Returns!$O344=1,Returns!B344,"")</f>
        <v/>
      </c>
      <c r="L344" s="26" t="str">
        <f aca="false">IF(Returns!$O344=1,Returns!C344,"")</f>
        <v/>
      </c>
      <c r="M344" s="26" t="str">
        <f aca="false">IF(Returns!$O344=1,Returns!D344,"")</f>
        <v/>
      </c>
      <c r="N344" s="26" t="str">
        <f aca="false">IF(Returns!$O344=1,Returns!E344,"")</f>
        <v/>
      </c>
      <c r="O344" s="26" t="str">
        <f aca="false">IF(Returns!$O344=1,Returns!F344,"")</f>
        <v/>
      </c>
      <c r="P344" s="26" t="str">
        <f aca="false">IF(Returns!$O344=1,Returns!G344,"")</f>
        <v/>
      </c>
      <c r="Q344" s="26" t="str">
        <f aca="false">IF(Returns!$O344=1,Returns!H344,"")</f>
        <v/>
      </c>
      <c r="R344" s="26" t="str">
        <f aca="false">IF(Returns!$O344=1,Returns!I344,"")</f>
        <v/>
      </c>
      <c r="S344" s="26" t="str">
        <f aca="false">IF(Returns!$O344=1,Returns!J344,"")</f>
        <v/>
      </c>
      <c r="T344" s="26" t="n">
        <f aca="false">IF(Returns!$O344=1,"",Returns!K344)</f>
        <v>-0.000677753202501938</v>
      </c>
    </row>
    <row r="345" customFormat="false" ht="15" hidden="false" customHeight="false" outlineLevel="0" collapsed="false">
      <c r="A345" s="25" t="n">
        <f aca="false">Returns!A345</f>
        <v>44216</v>
      </c>
      <c r="B345" s="26" t="n">
        <f aca="false">IF(Returns!$O345=1,"",Returns!B345)</f>
        <v>-0.00355871886120995</v>
      </c>
      <c r="C345" s="26" t="n">
        <f aca="false">IF(Returns!$O345=1,"",Returns!C345)</f>
        <v>-0.00973759680248243</v>
      </c>
      <c r="D345" s="26" t="n">
        <f aca="false">IF(Returns!$O345=1,"",Returns!D345)</f>
        <v>0.000685097612706631</v>
      </c>
      <c r="E345" s="26" t="n">
        <f aca="false">IF(Returns!$O345=1,"",Returns!E345)</f>
        <v>0.0111918163724498</v>
      </c>
      <c r="F345" s="26" t="n">
        <f aca="false">IF(Returns!$O345=1,"",Returns!F345)</f>
        <v>0.0405679513184585</v>
      </c>
      <c r="G345" s="26" t="n">
        <f aca="false">IF(Returns!$O345=1,"",Returns!G345)</f>
        <v>-0.0108542703702562</v>
      </c>
      <c r="H345" s="26" t="n">
        <f aca="false">IF(Returns!$O345=1,"",Returns!H345)</f>
        <v>-0.0167306372697582</v>
      </c>
      <c r="I345" s="26" t="n">
        <f aca="false">IF(Returns!$O345=1,"",Returns!I345)</f>
        <v>-0.00486620773388491</v>
      </c>
      <c r="J345" s="26" t="n">
        <f aca="false">IF(Returns!$O345=1,"",Returns!J345)</f>
        <v>-0.018498809664019</v>
      </c>
      <c r="K345" s="26" t="str">
        <f aca="false">IF(Returns!$O345=1,Returns!B345,"")</f>
        <v/>
      </c>
      <c r="L345" s="26" t="str">
        <f aca="false">IF(Returns!$O345=1,Returns!C345,"")</f>
        <v/>
      </c>
      <c r="M345" s="26" t="str">
        <f aca="false">IF(Returns!$O345=1,Returns!D345,"")</f>
        <v/>
      </c>
      <c r="N345" s="26" t="str">
        <f aca="false">IF(Returns!$O345=1,Returns!E345,"")</f>
        <v/>
      </c>
      <c r="O345" s="26" t="str">
        <f aca="false">IF(Returns!$O345=1,Returns!F345,"")</f>
        <v/>
      </c>
      <c r="P345" s="26" t="str">
        <f aca="false">IF(Returns!$O345=1,Returns!G345,"")</f>
        <v/>
      </c>
      <c r="Q345" s="26" t="str">
        <f aca="false">IF(Returns!$O345=1,Returns!H345,"")</f>
        <v/>
      </c>
      <c r="R345" s="26" t="str">
        <f aca="false">IF(Returns!$O345=1,Returns!I345,"")</f>
        <v/>
      </c>
      <c r="S345" s="26" t="str">
        <f aca="false">IF(Returns!$O345=1,Returns!J345,"")</f>
        <v/>
      </c>
      <c r="T345" s="26" t="n">
        <f aca="false">IF(Returns!$O345=1,"",Returns!K345)</f>
        <v>-0.00131126393311064</v>
      </c>
    </row>
    <row r="346" customFormat="false" ht="15" hidden="false" customHeight="false" outlineLevel="0" collapsed="false">
      <c r="A346" s="25" t="n">
        <f aca="false">Returns!A346</f>
        <v>44217</v>
      </c>
      <c r="B346" s="26" t="n">
        <f aca="false">IF(Returns!$O346=1,"",Returns!B346)</f>
        <v>0</v>
      </c>
      <c r="C346" s="26" t="n">
        <f aca="false">IF(Returns!$O346=1,"",Returns!C346)</f>
        <v>-0.03166665</v>
      </c>
      <c r="D346" s="26" t="n">
        <f aca="false">IF(Returns!$O346=1,"",Returns!D346)</f>
        <v>-0.00410814803519854</v>
      </c>
      <c r="E346" s="26" t="n">
        <f aca="false">IF(Returns!$O346=1,"",Returns!E346)</f>
        <v>-0.0238608020698576</v>
      </c>
      <c r="F346" s="26" t="n">
        <f aca="false">IF(Returns!$O346=1,"",Returns!F346)</f>
        <v>-0.0140350487329434</v>
      </c>
      <c r="G346" s="26" t="n">
        <f aca="false">IF(Returns!$O346=1,"",Returns!G346)</f>
        <v>-0.0176526248880069</v>
      </c>
      <c r="H346" s="26" t="n">
        <f aca="false">IF(Returns!$O346=1,"",Returns!H346)</f>
        <v>-0.0233959597091797</v>
      </c>
      <c r="I346" s="26" t="n">
        <f aca="false">IF(Returns!$O346=1,"",Returns!I346)</f>
        <v>-0.00880187148634459</v>
      </c>
      <c r="J346" s="26" t="n">
        <f aca="false">IF(Returns!$O346=1,"",Returns!J346)</f>
        <v>0.0112651754766031</v>
      </c>
      <c r="K346" s="26" t="str">
        <f aca="false">IF(Returns!$O346=1,Returns!B346,"")</f>
        <v/>
      </c>
      <c r="L346" s="26" t="str">
        <f aca="false">IF(Returns!$O346=1,Returns!C346,"")</f>
        <v/>
      </c>
      <c r="M346" s="26" t="str">
        <f aca="false">IF(Returns!$O346=1,Returns!D346,"")</f>
        <v/>
      </c>
      <c r="N346" s="26" t="str">
        <f aca="false">IF(Returns!$O346=1,Returns!E346,"")</f>
        <v/>
      </c>
      <c r="O346" s="26" t="str">
        <f aca="false">IF(Returns!$O346=1,Returns!F346,"")</f>
        <v/>
      </c>
      <c r="P346" s="26" t="str">
        <f aca="false">IF(Returns!$O346=1,Returns!G346,"")</f>
        <v/>
      </c>
      <c r="Q346" s="26" t="str">
        <f aca="false">IF(Returns!$O346=1,Returns!H346,"")</f>
        <v/>
      </c>
      <c r="R346" s="26" t="str">
        <f aca="false">IF(Returns!$O346=1,Returns!I346,"")</f>
        <v/>
      </c>
      <c r="S346" s="26" t="str">
        <f aca="false">IF(Returns!$O346=1,Returns!J346,"")</f>
        <v/>
      </c>
      <c r="T346" s="26" t="n">
        <f aca="false">IF(Returns!$O346=1,"",Returns!K346)</f>
        <v>-0.0124728810494364</v>
      </c>
    </row>
    <row r="347" customFormat="false" ht="15" hidden="false" customHeight="false" outlineLevel="0" collapsed="false">
      <c r="A347" s="25" t="n">
        <f aca="false">Returns!A347</f>
        <v>44218</v>
      </c>
      <c r="B347" s="26" t="n">
        <f aca="false">IF(Returns!$O347=1,"",Returns!B347)</f>
        <v>-0.00742852857142862</v>
      </c>
      <c r="C347" s="26" t="n">
        <f aca="false">IF(Returns!$O347=1,"",Returns!C347)</f>
        <v>0.0077452150129913</v>
      </c>
      <c r="D347" s="26" t="n">
        <f aca="false">IF(Returns!$O347=1,"",Returns!D347)</f>
        <v>-0.0199381230663458</v>
      </c>
      <c r="E347" s="26" t="n">
        <f aca="false">IF(Returns!$O347=1,"",Returns!E347)</f>
        <v>-0.00589017783005874</v>
      </c>
      <c r="F347" s="26" t="n">
        <f aca="false">IF(Returns!$O347=1,"",Returns!F347)</f>
        <v>-0.0205615254819485</v>
      </c>
      <c r="G347" s="26" t="n">
        <f aca="false">IF(Returns!$O347=1,"",Returns!G347)</f>
        <v>-0.0101991743564837</v>
      </c>
      <c r="H347" s="26" t="n">
        <f aca="false">IF(Returns!$O347=1,"",Returns!H347)</f>
        <v>-0.0166968790089611</v>
      </c>
      <c r="I347" s="26" t="n">
        <f aca="false">IF(Returns!$O347=1,"",Returns!I347)</f>
        <v>-0.0120868815088687</v>
      </c>
      <c r="J347" s="26" t="n">
        <f aca="false">IF(Returns!$O347=1,"",Returns!J347)</f>
        <v>-0.00203516493107137</v>
      </c>
      <c r="K347" s="26" t="str">
        <f aca="false">IF(Returns!$O347=1,Returns!B347,"")</f>
        <v/>
      </c>
      <c r="L347" s="26" t="str">
        <f aca="false">IF(Returns!$O347=1,Returns!C347,"")</f>
        <v/>
      </c>
      <c r="M347" s="26" t="str">
        <f aca="false">IF(Returns!$O347=1,Returns!D347,"")</f>
        <v/>
      </c>
      <c r="N347" s="26" t="str">
        <f aca="false">IF(Returns!$O347=1,Returns!E347,"")</f>
        <v/>
      </c>
      <c r="O347" s="26" t="str">
        <f aca="false">IF(Returns!$O347=1,Returns!F347,"")</f>
        <v/>
      </c>
      <c r="P347" s="26" t="str">
        <f aca="false">IF(Returns!$O347=1,Returns!G347,"")</f>
        <v/>
      </c>
      <c r="Q347" s="26" t="str">
        <f aca="false">IF(Returns!$O347=1,Returns!H347,"")</f>
        <v/>
      </c>
      <c r="R347" s="26" t="str">
        <f aca="false">IF(Returns!$O347=1,Returns!I347,"")</f>
        <v/>
      </c>
      <c r="S347" s="26" t="str">
        <f aca="false">IF(Returns!$O347=1,Returns!J347,"")</f>
        <v/>
      </c>
      <c r="T347" s="26" t="n">
        <f aca="false">IF(Returns!$O347=1,"",Returns!K347)</f>
        <v>-0.00967680441579724</v>
      </c>
    </row>
    <row r="348" customFormat="false" ht="15" hidden="false" customHeight="false" outlineLevel="0" collapsed="false">
      <c r="A348" s="25" t="n">
        <f aca="false">Returns!A348</f>
        <v>44222</v>
      </c>
      <c r="B348" s="26" t="n">
        <f aca="false">IF(Returns!$O348=1,"",Returns!B348)</f>
        <v>-0.00676455065783455</v>
      </c>
      <c r="C348" s="26" t="n">
        <f aca="false">IF(Returns!$O348=1,"",Returns!C348)</f>
        <v>0.0128095649123676</v>
      </c>
      <c r="D348" s="26" t="n">
        <f aca="false">IF(Returns!$O348=1,"",Returns!D348)</f>
        <v>0.0273588565415643</v>
      </c>
      <c r="E348" s="26" t="n">
        <f aca="false">IF(Returns!$O348=1,"",Returns!E348)</f>
        <v>-0.0229596053041149</v>
      </c>
      <c r="F348" s="26" t="n">
        <f aca="false">IF(Returns!$O348=1,"",Returns!F348)</f>
        <v>-0.0169559951554299</v>
      </c>
      <c r="G348" s="26" t="n">
        <f aca="false">IF(Returns!$O348=1,"",Returns!G348)</f>
        <v>0.00637885212850109</v>
      </c>
      <c r="H348" s="26" t="n">
        <f aca="false">IF(Returns!$O348=1,"",Returns!H348)</f>
        <v>-0.00332225913621265</v>
      </c>
      <c r="I348" s="26" t="n">
        <f aca="false">IF(Returns!$O348=1,"",Returns!I348)</f>
        <v>0.000998762535336928</v>
      </c>
      <c r="J348" s="26" t="n">
        <f aca="false">IF(Returns!$O348=1,"",Returns!J348)</f>
        <v>-0.0152409362507446</v>
      </c>
      <c r="K348" s="26" t="str">
        <f aca="false">IF(Returns!$O348=1,Returns!B348,"")</f>
        <v/>
      </c>
      <c r="L348" s="26" t="str">
        <f aca="false">IF(Returns!$O348=1,Returns!C348,"")</f>
        <v/>
      </c>
      <c r="M348" s="26" t="str">
        <f aca="false">IF(Returns!$O348=1,Returns!D348,"")</f>
        <v/>
      </c>
      <c r="N348" s="26" t="str">
        <f aca="false">IF(Returns!$O348=1,Returns!E348,"")</f>
        <v/>
      </c>
      <c r="O348" s="26" t="str">
        <f aca="false">IF(Returns!$O348=1,Returns!F348,"")</f>
        <v/>
      </c>
      <c r="P348" s="26" t="str">
        <f aca="false">IF(Returns!$O348=1,Returns!G348,"")</f>
        <v/>
      </c>
      <c r="Q348" s="26" t="str">
        <f aca="false">IF(Returns!$O348=1,Returns!H348,"")</f>
        <v/>
      </c>
      <c r="R348" s="26" t="str">
        <f aca="false">IF(Returns!$O348=1,Returns!I348,"")</f>
        <v/>
      </c>
      <c r="S348" s="26" t="str">
        <f aca="false">IF(Returns!$O348=1,Returns!J348,"")</f>
        <v/>
      </c>
      <c r="T348" s="26" t="n">
        <f aca="false">IF(Returns!$O348=1,"",Returns!K348)</f>
        <v>-0.00196636782072963</v>
      </c>
    </row>
    <row r="349" customFormat="false" ht="15" hidden="false" customHeight="false" outlineLevel="0" collapsed="false">
      <c r="A349" s="25" t="n">
        <f aca="false">Returns!A349</f>
        <v>44223</v>
      </c>
      <c r="B349" s="26" t="n">
        <f aca="false">IF(Returns!$O349=1,"",Returns!B349)</f>
        <v>0.0292710758072432</v>
      </c>
      <c r="C349" s="26" t="n">
        <f aca="false">IF(Returns!$O349=1,"",Returns!C349)</f>
        <v>-0.00489035429647056</v>
      </c>
      <c r="D349" s="26" t="n">
        <f aca="false">IF(Returns!$O349=1,"",Returns!D349)</f>
        <v>-0.0201433929619873</v>
      </c>
      <c r="E349" s="26" t="n">
        <f aca="false">IF(Returns!$O349=1,"",Returns!E349)</f>
        <v>-0.0148574289699428</v>
      </c>
      <c r="F349" s="26" t="n">
        <f aca="false">IF(Returns!$O349=1,"",Returns!F349)</f>
        <v>0.00410681724845996</v>
      </c>
      <c r="G349" s="26" t="n">
        <f aca="false">IF(Returns!$O349=1,"",Returns!G349)</f>
        <v>-0.00390053632374465</v>
      </c>
      <c r="H349" s="26" t="n">
        <f aca="false">IF(Returns!$O349=1,"",Returns!H349)</f>
        <v>0.0148148148148148</v>
      </c>
      <c r="I349" s="26" t="n">
        <f aca="false">IF(Returns!$O349=1,"",Returns!I349)</f>
        <v>0.0057371016193728</v>
      </c>
      <c r="J349" s="26" t="n">
        <f aca="false">IF(Returns!$O349=1,"",Returns!J349)</f>
        <v>-0.0277929482288829</v>
      </c>
      <c r="K349" s="26" t="str">
        <f aca="false">IF(Returns!$O349=1,Returns!B349,"")</f>
        <v/>
      </c>
      <c r="L349" s="26" t="str">
        <f aca="false">IF(Returns!$O349=1,Returns!C349,"")</f>
        <v/>
      </c>
      <c r="M349" s="26" t="str">
        <f aca="false">IF(Returns!$O349=1,Returns!D349,"")</f>
        <v/>
      </c>
      <c r="N349" s="26" t="str">
        <f aca="false">IF(Returns!$O349=1,Returns!E349,"")</f>
        <v/>
      </c>
      <c r="O349" s="26" t="str">
        <f aca="false">IF(Returns!$O349=1,Returns!F349,"")</f>
        <v/>
      </c>
      <c r="P349" s="26" t="str">
        <f aca="false">IF(Returns!$O349=1,Returns!G349,"")</f>
        <v/>
      </c>
      <c r="Q349" s="26" t="str">
        <f aca="false">IF(Returns!$O349=1,Returns!H349,"")</f>
        <v/>
      </c>
      <c r="R349" s="26" t="str">
        <f aca="false">IF(Returns!$O349=1,Returns!I349,"")</f>
        <v/>
      </c>
      <c r="S349" s="26" t="str">
        <f aca="false">IF(Returns!$O349=1,Returns!J349,"")</f>
        <v/>
      </c>
      <c r="T349" s="26" t="n">
        <f aca="false">IF(Returns!$O349=1,"",Returns!K349)</f>
        <v>-0.00196165014345971</v>
      </c>
    </row>
    <row r="350" customFormat="false" ht="15" hidden="false" customHeight="false" outlineLevel="0" collapsed="false">
      <c r="A350" s="25" t="n">
        <f aca="false">Returns!A350</f>
        <v>44224</v>
      </c>
      <c r="B350" s="26" t="n">
        <f aca="false">IF(Returns!$O350=1,"",Returns!B350)</f>
        <v>0.0219625091082993</v>
      </c>
      <c r="C350" s="26" t="n">
        <f aca="false">IF(Returns!$O350=1,"",Returns!C350)</f>
        <v>0.0386375190645651</v>
      </c>
      <c r="D350" s="26" t="n">
        <f aca="false">IF(Returns!$O350=1,"",Returns!D350)</f>
        <v>-0.0142857137879542</v>
      </c>
      <c r="E350" s="26" t="n">
        <f aca="false">IF(Returns!$O350=1,"",Returns!E350)</f>
        <v>0.0347798537343866</v>
      </c>
      <c r="F350" s="26" t="n">
        <f aca="false">IF(Returns!$O350=1,"",Returns!F350)</f>
        <v>0.0163598766314979</v>
      </c>
      <c r="G350" s="26" t="n">
        <f aca="false">IF(Returns!$O350=1,"",Returns!G350)</f>
        <v>0.0670581987273617</v>
      </c>
      <c r="H350" s="26" t="n">
        <f aca="false">IF(Returns!$O350=1,"",Returns!H350)</f>
        <v>0.0131386861313869</v>
      </c>
      <c r="I350" s="26" t="n">
        <f aca="false">IF(Returns!$O350=1,"",Returns!I350)</f>
        <v>0.0173610911113791</v>
      </c>
      <c r="J350" s="26" t="n">
        <f aca="false">IF(Returns!$O350=1,"",Returns!J350)</f>
        <v>0.0213004603576388</v>
      </c>
      <c r="K350" s="26" t="str">
        <f aca="false">IF(Returns!$O350=1,Returns!B350,"")</f>
        <v/>
      </c>
      <c r="L350" s="26" t="str">
        <f aca="false">IF(Returns!$O350=1,Returns!C350,"")</f>
        <v/>
      </c>
      <c r="M350" s="26" t="str">
        <f aca="false">IF(Returns!$O350=1,Returns!D350,"")</f>
        <v/>
      </c>
      <c r="N350" s="26" t="str">
        <f aca="false">IF(Returns!$O350=1,Returns!E350,"")</f>
        <v/>
      </c>
      <c r="O350" s="26" t="str">
        <f aca="false">IF(Returns!$O350=1,Returns!F350,"")</f>
        <v/>
      </c>
      <c r="P350" s="26" t="str">
        <f aca="false">IF(Returns!$O350=1,Returns!G350,"")</f>
        <v/>
      </c>
      <c r="Q350" s="26" t="str">
        <f aca="false">IF(Returns!$O350=1,Returns!H350,"")</f>
        <v/>
      </c>
      <c r="R350" s="26" t="str">
        <f aca="false">IF(Returns!$O350=1,Returns!I350,"")</f>
        <v/>
      </c>
      <c r="S350" s="26" t="str">
        <f aca="false">IF(Returns!$O350=1,Returns!J350,"")</f>
        <v/>
      </c>
      <c r="T350" s="26" t="n">
        <f aca="false">IF(Returns!$O350=1,"",Returns!K350)</f>
        <v>0.0240347201198401</v>
      </c>
    </row>
    <row r="351" customFormat="false" ht="15" hidden="false" customHeight="false" outlineLevel="0" collapsed="false">
      <c r="A351" s="25" t="n">
        <f aca="false">Returns!A351</f>
        <v>44225</v>
      </c>
      <c r="B351" s="26" t="n">
        <f aca="false">IF(Returns!$O351=1,"",Returns!B351)</f>
        <v>-0.0278274708818004</v>
      </c>
      <c r="C351" s="26" t="n">
        <f aca="false">IF(Returns!$O351=1,"",Returns!C351)</f>
        <v>-0.0243107195301028</v>
      </c>
      <c r="D351" s="26" t="n">
        <f aca="false">IF(Returns!$O351=1,"",Returns!D351)</f>
        <v>-0.0137858248926892</v>
      </c>
      <c r="E351" s="26" t="n">
        <f aca="false">IF(Returns!$O351=1,"",Returns!E351)</f>
        <v>-0.0499702126701431</v>
      </c>
      <c r="F351" s="26" t="n">
        <f aca="false">IF(Returns!$O351=1,"",Returns!F351)</f>
        <v>-0.0305835010060362</v>
      </c>
      <c r="G351" s="26" t="n">
        <f aca="false">IF(Returns!$O351=1,"",Returns!G351)</f>
        <v>-0.027522845299213</v>
      </c>
      <c r="H351" s="26" t="n">
        <f aca="false">IF(Returns!$O351=1,"",Returns!H351)</f>
        <v>-0.0385446325648416</v>
      </c>
      <c r="I351" s="26" t="n">
        <f aca="false">IF(Returns!$O351=1,"",Returns!I351)</f>
        <v>-0.0129204875672271</v>
      </c>
      <c r="J351" s="26" t="n">
        <f aca="false">IF(Returns!$O351=1,"",Returns!J351)</f>
        <v>-0.0345773992223359</v>
      </c>
      <c r="K351" s="26" t="str">
        <f aca="false">IF(Returns!$O351=1,Returns!B351,"")</f>
        <v/>
      </c>
      <c r="L351" s="26" t="str">
        <f aca="false">IF(Returns!$O351=1,Returns!C351,"")</f>
        <v/>
      </c>
      <c r="M351" s="26" t="str">
        <f aca="false">IF(Returns!$O351=1,Returns!D351,"")</f>
        <v/>
      </c>
      <c r="N351" s="26" t="str">
        <f aca="false">IF(Returns!$O351=1,Returns!E351,"")</f>
        <v/>
      </c>
      <c r="O351" s="26" t="str">
        <f aca="false">IF(Returns!$O351=1,Returns!F351,"")</f>
        <v/>
      </c>
      <c r="P351" s="26" t="str">
        <f aca="false">IF(Returns!$O351=1,Returns!G351,"")</f>
        <v/>
      </c>
      <c r="Q351" s="26" t="str">
        <f aca="false">IF(Returns!$O351=1,Returns!H351,"")</f>
        <v/>
      </c>
      <c r="R351" s="26" t="str">
        <f aca="false">IF(Returns!$O351=1,Returns!I351,"")</f>
        <v/>
      </c>
      <c r="S351" s="26" t="str">
        <f aca="false">IF(Returns!$O351=1,Returns!J351,"")</f>
        <v/>
      </c>
      <c r="T351" s="26" t="n">
        <f aca="false">IF(Returns!$O351=1,"",Returns!K351)</f>
        <v>-0.0288936770704877</v>
      </c>
    </row>
    <row r="352" customFormat="false" ht="15" hidden="false" customHeight="false" outlineLevel="0" collapsed="false">
      <c r="A352" s="25" t="n">
        <f aca="false">Returns!A352</f>
        <v>44228</v>
      </c>
      <c r="B352" s="26" t="n">
        <f aca="false">IF(Returns!$O352=1,"",Returns!B352)</f>
        <v>0.0188465636956214</v>
      </c>
      <c r="C352" s="26" t="n">
        <f aca="false">IF(Returns!$O352=1,"",Returns!C352)</f>
        <v>0.0242475267055202</v>
      </c>
      <c r="D352" s="26" t="n">
        <f aca="false">IF(Returns!$O352=1,"",Returns!D352)</f>
        <v>0.0136201075268818</v>
      </c>
      <c r="E352" s="26" t="n">
        <f aca="false">IF(Returns!$O352=1,"",Returns!E352)</f>
        <v>0.00109580461653414</v>
      </c>
      <c r="F352" s="26" t="n">
        <f aca="false">IF(Returns!$O352=1,"",Returns!F352)</f>
        <v>-0.00664176006641759</v>
      </c>
      <c r="G352" s="26" t="n">
        <f aca="false">IF(Returns!$O352=1,"",Returns!G352)</f>
        <v>0.00518858466091587</v>
      </c>
      <c r="H352" s="26" t="n">
        <f aca="false">IF(Returns!$O352=1,"",Returns!H352)</f>
        <v>0.0314724604169179</v>
      </c>
      <c r="I352" s="26" t="n">
        <f aca="false">IF(Returns!$O352=1,"",Returns!I352)</f>
        <v>-0.0227216465123091</v>
      </c>
      <c r="J352" s="26" t="n">
        <f aca="false">IF(Returns!$O352=1,"",Returns!J352)</f>
        <v>0.0377487221517472</v>
      </c>
      <c r="K352" s="26" t="str">
        <f aca="false">IF(Returns!$O352=1,Returns!B352,"")</f>
        <v/>
      </c>
      <c r="L352" s="26" t="str">
        <f aca="false">IF(Returns!$O352=1,Returns!C352,"")</f>
        <v/>
      </c>
      <c r="M352" s="26" t="str">
        <f aca="false">IF(Returns!$O352=1,Returns!D352,"")</f>
        <v/>
      </c>
      <c r="N352" s="26" t="str">
        <f aca="false">IF(Returns!$O352=1,Returns!E352,"")</f>
        <v/>
      </c>
      <c r="O352" s="26" t="str">
        <f aca="false">IF(Returns!$O352=1,Returns!F352,"")</f>
        <v/>
      </c>
      <c r="P352" s="26" t="str">
        <f aca="false">IF(Returns!$O352=1,Returns!G352,"")</f>
        <v/>
      </c>
      <c r="Q352" s="26" t="str">
        <f aca="false">IF(Returns!$O352=1,Returns!H352,"")</f>
        <v/>
      </c>
      <c r="R352" s="26" t="str">
        <f aca="false">IF(Returns!$O352=1,Returns!I352,"")</f>
        <v/>
      </c>
      <c r="S352" s="26" t="str">
        <f aca="false">IF(Returns!$O352=1,Returns!J352,"")</f>
        <v/>
      </c>
      <c r="T352" s="26" t="n">
        <f aca="false">IF(Returns!$O352=1,"",Returns!K352)</f>
        <v>0.0114284847994902</v>
      </c>
    </row>
    <row r="353" customFormat="false" ht="15" hidden="false" customHeight="false" outlineLevel="0" collapsed="false">
      <c r="A353" s="25" t="n">
        <f aca="false">Returns!A353</f>
        <v>44229</v>
      </c>
      <c r="B353" s="26" t="n">
        <f aca="false">IF(Returns!$O353=1,"",Returns!B353)</f>
        <v>0.00834489545633121</v>
      </c>
      <c r="C353" s="26" t="n">
        <f aca="false">IF(Returns!$O353=1,"",Returns!C353)</f>
        <v>0.0235102048493128</v>
      </c>
      <c r="D353" s="26" t="n">
        <f aca="false">IF(Returns!$O353=1,"",Returns!D353)</f>
        <v>-0.00848656264191783</v>
      </c>
      <c r="E353" s="26" t="n">
        <f aca="false">IF(Returns!$O353=1,"",Returns!E353)</f>
        <v>0.0556685057753166</v>
      </c>
      <c r="F353" s="26" t="n">
        <f aca="false">IF(Returns!$O353=1,"",Returns!F353)</f>
        <v>0.0551608859172588</v>
      </c>
      <c r="G353" s="26" t="n">
        <f aca="false">IF(Returns!$O353=1,"",Returns!G353)</f>
        <v>-0.000469263278707888</v>
      </c>
      <c r="H353" s="26" t="n">
        <f aca="false">IF(Returns!$O353=1,"",Returns!H353)</f>
        <v>0.041046093677948</v>
      </c>
      <c r="I353" s="26" t="n">
        <f aca="false">IF(Returns!$O353=1,"",Returns!I353)</f>
        <v>-0.00530705522539443</v>
      </c>
      <c r="J353" s="26" t="n">
        <f aca="false">IF(Returns!$O353=1,"",Returns!J353)</f>
        <v>-0.0395528992950444</v>
      </c>
      <c r="K353" s="26" t="str">
        <f aca="false">IF(Returns!$O353=1,Returns!B353,"")</f>
        <v/>
      </c>
      <c r="L353" s="26" t="str">
        <f aca="false">IF(Returns!$O353=1,Returns!C353,"")</f>
        <v/>
      </c>
      <c r="M353" s="26" t="str">
        <f aca="false">IF(Returns!$O353=1,Returns!D353,"")</f>
        <v/>
      </c>
      <c r="N353" s="26" t="str">
        <f aca="false">IF(Returns!$O353=1,Returns!E353,"")</f>
        <v/>
      </c>
      <c r="O353" s="26" t="str">
        <f aca="false">IF(Returns!$O353=1,Returns!F353,"")</f>
        <v/>
      </c>
      <c r="P353" s="26" t="str">
        <f aca="false">IF(Returns!$O353=1,Returns!G353,"")</f>
        <v/>
      </c>
      <c r="Q353" s="26" t="str">
        <f aca="false">IF(Returns!$O353=1,Returns!H353,"")</f>
        <v/>
      </c>
      <c r="R353" s="26" t="str">
        <f aca="false">IF(Returns!$O353=1,Returns!I353,"")</f>
        <v/>
      </c>
      <c r="S353" s="26" t="str">
        <f aca="false">IF(Returns!$O353=1,Returns!J353,"")</f>
        <v/>
      </c>
      <c r="T353" s="26" t="n">
        <f aca="false">IF(Returns!$O353=1,"",Returns!K353)</f>
        <v>0.0144349783594559</v>
      </c>
    </row>
    <row r="354" customFormat="false" ht="15" hidden="false" customHeight="false" outlineLevel="0" collapsed="false">
      <c r="A354" s="25" t="n">
        <f aca="false">Returns!A354</f>
        <v>44230</v>
      </c>
      <c r="B354" s="26" t="n">
        <f aca="false">IF(Returns!$O354=1,"",Returns!B354)</f>
        <v>0</v>
      </c>
      <c r="C354" s="26" t="n">
        <f aca="false">IF(Returns!$O354=1,"",Returns!C354)</f>
        <v>0.00430690714011517</v>
      </c>
      <c r="D354" s="26" t="n">
        <f aca="false">IF(Returns!$O354=1,"",Returns!D354)</f>
        <v>0.0139086656951259</v>
      </c>
      <c r="E354" s="26" t="n">
        <f aca="false">IF(Returns!$O354=1,"",Returns!E354)</f>
        <v>0.0191082945013097</v>
      </c>
      <c r="F354" s="26" t="n">
        <f aca="false">IF(Returns!$O354=1,"",Returns!F354)</f>
        <v>0</v>
      </c>
      <c r="G354" s="26" t="n">
        <f aca="false">IF(Returns!$O354=1,"",Returns!G354)</f>
        <v>0.056338077762351</v>
      </c>
      <c r="H354" s="26" t="n">
        <f aca="false">IF(Returns!$O354=1,"",Returns!H354)</f>
        <v>0.00976974877878578</v>
      </c>
      <c r="I354" s="26" t="n">
        <f aca="false">IF(Returns!$O354=1,"",Returns!I354)</f>
        <v>0.0282012046856035</v>
      </c>
      <c r="J354" s="26" t="n">
        <f aca="false">IF(Returns!$O354=1,"",Returns!J354)</f>
        <v>0.0315993140953998</v>
      </c>
      <c r="K354" s="26" t="str">
        <f aca="false">IF(Returns!$O354=1,Returns!B354,"")</f>
        <v/>
      </c>
      <c r="L354" s="26" t="str">
        <f aca="false">IF(Returns!$O354=1,Returns!C354,"")</f>
        <v/>
      </c>
      <c r="M354" s="26" t="str">
        <f aca="false">IF(Returns!$O354=1,Returns!D354,"")</f>
        <v/>
      </c>
      <c r="N354" s="26" t="str">
        <f aca="false">IF(Returns!$O354=1,Returns!E354,"")</f>
        <v/>
      </c>
      <c r="O354" s="26" t="str">
        <f aca="false">IF(Returns!$O354=1,Returns!F354,"")</f>
        <v/>
      </c>
      <c r="P354" s="26" t="str">
        <f aca="false">IF(Returns!$O354=1,Returns!G354,"")</f>
        <v/>
      </c>
      <c r="Q354" s="26" t="str">
        <f aca="false">IF(Returns!$O354=1,Returns!H354,"")</f>
        <v/>
      </c>
      <c r="R354" s="26" t="str">
        <f aca="false">IF(Returns!$O354=1,Returns!I354,"")</f>
        <v/>
      </c>
      <c r="S354" s="26" t="str">
        <f aca="false">IF(Returns!$O354=1,Returns!J354,"")</f>
        <v/>
      </c>
      <c r="T354" s="26" t="n">
        <f aca="false">IF(Returns!$O354=1,"",Returns!K354)</f>
        <v>0.0181369125176323</v>
      </c>
    </row>
    <row r="355" customFormat="false" ht="15" hidden="false" customHeight="false" outlineLevel="0" collapsed="false">
      <c r="A355" s="25" t="n">
        <f aca="false">Returns!A355</f>
        <v>44231</v>
      </c>
      <c r="B355" s="26" t="n">
        <f aca="false">IF(Returns!$O355=1,"",Returns!B355)</f>
        <v>0.0277241655172413</v>
      </c>
      <c r="C355" s="26" t="n">
        <f aca="false">IF(Returns!$O355=1,"",Returns!C355)</f>
        <v>-0.00825914892818125</v>
      </c>
      <c r="D355" s="26" t="n">
        <f aca="false">IF(Returns!$O355=1,"",Returns!D355)</f>
        <v>-0.0102005276116778</v>
      </c>
      <c r="E355" s="26" t="n">
        <f aca="false">IF(Returns!$O355=1,"",Returns!E355)</f>
        <v>0.011627833795298</v>
      </c>
      <c r="F355" s="26" t="n">
        <f aca="false">IF(Returns!$O355=1,"",Returns!F355)</f>
        <v>-0.0174257821782178</v>
      </c>
      <c r="G355" s="26" t="n">
        <f aca="false">IF(Returns!$O355=1,"",Returns!G355)</f>
        <v>-0.0164444888888888</v>
      </c>
      <c r="H355" s="26" t="n">
        <f aca="false">IF(Returns!$O355=1,"",Returns!H355)</f>
        <v>-0.00414654443170193</v>
      </c>
      <c r="I355" s="26" t="n">
        <f aca="false">IF(Returns!$O355=1,"",Returns!I355)</f>
        <v>-0.0219915775554368</v>
      </c>
      <c r="J355" s="26" t="n">
        <f aca="false">IF(Returns!$O355=1,"",Returns!J355)</f>
        <v>-0.012606424859007</v>
      </c>
      <c r="K355" s="26" t="str">
        <f aca="false">IF(Returns!$O355=1,Returns!B355,"")</f>
        <v/>
      </c>
      <c r="L355" s="26" t="str">
        <f aca="false">IF(Returns!$O355=1,Returns!C355,"")</f>
        <v/>
      </c>
      <c r="M355" s="26" t="str">
        <f aca="false">IF(Returns!$O355=1,Returns!D355,"")</f>
        <v/>
      </c>
      <c r="N355" s="26" t="str">
        <f aca="false">IF(Returns!$O355=1,Returns!E355,"")</f>
        <v/>
      </c>
      <c r="O355" s="26" t="str">
        <f aca="false">IF(Returns!$O355=1,Returns!F355,"")</f>
        <v/>
      </c>
      <c r="P355" s="26" t="str">
        <f aca="false">IF(Returns!$O355=1,Returns!G355,"")</f>
        <v/>
      </c>
      <c r="Q355" s="26" t="str">
        <f aca="false">IF(Returns!$O355=1,Returns!H355,"")</f>
        <v/>
      </c>
      <c r="R355" s="26" t="str">
        <f aca="false">IF(Returns!$O355=1,Returns!I355,"")</f>
        <v/>
      </c>
      <c r="S355" s="26" t="str">
        <f aca="false">IF(Returns!$O355=1,Returns!J355,"")</f>
        <v/>
      </c>
      <c r="T355" s="26" t="n">
        <f aca="false">IF(Returns!$O355=1,"",Returns!K355)</f>
        <v>-0.005746943904508</v>
      </c>
    </row>
    <row r="356" customFormat="false" ht="15" hidden="false" customHeight="false" outlineLevel="0" collapsed="false">
      <c r="A356" s="25" t="n">
        <f aca="false">Returns!A356</f>
        <v>44232</v>
      </c>
      <c r="B356" s="26" t="n">
        <f aca="false">IF(Returns!$O356=1,"",Returns!B356)</f>
        <v>-0.00684474548799507</v>
      </c>
      <c r="C356" s="26" t="n">
        <f aca="false">IF(Returns!$O356=1,"",Returns!C356)</f>
        <v>0.0161754959585041</v>
      </c>
      <c r="D356" s="26" t="n">
        <f aca="false">IF(Returns!$O356=1,"",Returns!D356)</f>
        <v>0.0110164183019339</v>
      </c>
      <c r="E356" s="26" t="n">
        <f aca="false">IF(Returns!$O356=1,"",Returns!E356)</f>
        <v>-0.0104884342094378</v>
      </c>
      <c r="F356" s="26" t="n">
        <f aca="false">IF(Returns!$O356=1,"",Returns!F356)</f>
        <v>-0.000403063297181205</v>
      </c>
      <c r="G356" s="26" t="n">
        <f aca="false">IF(Returns!$O356=1,"",Returns!G356)</f>
        <v>-0.013104338594864</v>
      </c>
      <c r="H356" s="26" t="n">
        <f aca="false">IF(Returns!$O356=1,"",Returns!H356)</f>
        <v>0.000693962526023606</v>
      </c>
      <c r="I356" s="26" t="n">
        <f aca="false">IF(Returns!$O356=1,"",Returns!I356)</f>
        <v>0.013390560143129</v>
      </c>
      <c r="J356" s="26" t="n">
        <f aca="false">IF(Returns!$O356=1,"",Returns!J356)</f>
        <v>0.0380781830207393</v>
      </c>
      <c r="K356" s="26" t="str">
        <f aca="false">IF(Returns!$O356=1,Returns!B356,"")</f>
        <v/>
      </c>
      <c r="L356" s="26" t="str">
        <f aca="false">IF(Returns!$O356=1,Returns!C356,"")</f>
        <v/>
      </c>
      <c r="M356" s="26" t="str">
        <f aca="false">IF(Returns!$O356=1,Returns!D356,"")</f>
        <v/>
      </c>
      <c r="N356" s="26" t="str">
        <f aca="false">IF(Returns!$O356=1,Returns!E356,"")</f>
        <v/>
      </c>
      <c r="O356" s="26" t="str">
        <f aca="false">IF(Returns!$O356=1,Returns!F356,"")</f>
        <v/>
      </c>
      <c r="P356" s="26" t="str">
        <f aca="false">IF(Returns!$O356=1,Returns!G356,"")</f>
        <v/>
      </c>
      <c r="Q356" s="26" t="str">
        <f aca="false">IF(Returns!$O356=1,Returns!H356,"")</f>
        <v/>
      </c>
      <c r="R356" s="26" t="str">
        <f aca="false">IF(Returns!$O356=1,Returns!I356,"")</f>
        <v/>
      </c>
      <c r="S356" s="26" t="str">
        <f aca="false">IF(Returns!$O356=1,Returns!J356,"")</f>
        <v/>
      </c>
      <c r="T356" s="26" t="n">
        <f aca="false">IF(Returns!$O356=1,"",Returns!K356)</f>
        <v>0.00539044870676131</v>
      </c>
    </row>
    <row r="357" customFormat="false" ht="15" hidden="false" customHeight="false" outlineLevel="0" collapsed="false">
      <c r="A357" s="25" t="n">
        <f aca="false">Returns!A357</f>
        <v>44235</v>
      </c>
      <c r="B357" s="26" t="n">
        <f aca="false">IF(Returns!$O357=1,"",Returns!B357)</f>
        <v>0.00756754054054043</v>
      </c>
      <c r="C357" s="26" t="n">
        <f aca="false">IF(Returns!$O357=1,"",Returns!C357)</f>
        <v>-0.0148148463356973</v>
      </c>
      <c r="D357" s="26" t="n">
        <f aca="false">IF(Returns!$O357=1,"",Returns!D357)</f>
        <v>-0.0179261856616455</v>
      </c>
      <c r="E357" s="26" t="n">
        <f aca="false">IF(Returns!$O357=1,"",Returns!E357)</f>
        <v>0.00566282827082221</v>
      </c>
      <c r="F357" s="26" t="n">
        <f aca="false">IF(Returns!$O357=1,"",Returns!F357)</f>
        <v>-0.0112902827133179</v>
      </c>
      <c r="G357" s="26" t="n">
        <f aca="false">IF(Returns!$O357=1,"",Returns!G357)</f>
        <v>-0.010989010989011</v>
      </c>
      <c r="H357" s="26" t="n">
        <f aca="false">IF(Returns!$O357=1,"",Returns!H357)</f>
        <v>-0.0253120319001386</v>
      </c>
      <c r="I357" s="26" t="n">
        <f aca="false">IF(Returns!$O357=1,"",Returns!I357)</f>
        <v>-0.00797798923759074</v>
      </c>
      <c r="J357" s="26" t="n">
        <f aca="false">IF(Returns!$O357=1,"",Returns!J357)</f>
        <v>0.0142410181413093</v>
      </c>
      <c r="K357" s="26" t="str">
        <f aca="false">IF(Returns!$O357=1,Returns!B357,"")</f>
        <v/>
      </c>
      <c r="L357" s="26" t="str">
        <f aca="false">IF(Returns!$O357=1,Returns!C357,"")</f>
        <v/>
      </c>
      <c r="M357" s="26" t="str">
        <f aca="false">IF(Returns!$O357=1,Returns!D357,"")</f>
        <v/>
      </c>
      <c r="N357" s="26" t="str">
        <f aca="false">IF(Returns!$O357=1,Returns!E357,"")</f>
        <v/>
      </c>
      <c r="O357" s="26" t="str">
        <f aca="false">IF(Returns!$O357=1,Returns!F357,"")</f>
        <v/>
      </c>
      <c r="P357" s="26" t="str">
        <f aca="false">IF(Returns!$O357=1,Returns!G357,"")</f>
        <v/>
      </c>
      <c r="Q357" s="26" t="str">
        <f aca="false">IF(Returns!$O357=1,Returns!H357,"")</f>
        <v/>
      </c>
      <c r="R357" s="26" t="str">
        <f aca="false">IF(Returns!$O357=1,Returns!I357,"")</f>
        <v/>
      </c>
      <c r="S357" s="26" t="str">
        <f aca="false">IF(Returns!$O357=1,Returns!J357,"")</f>
        <v/>
      </c>
      <c r="T357" s="26" t="n">
        <f aca="false">IF(Returns!$O357=1,"",Returns!K357)</f>
        <v>-0.00675988443163657</v>
      </c>
    </row>
    <row r="358" customFormat="false" ht="15" hidden="false" customHeight="false" outlineLevel="0" collapsed="false">
      <c r="A358" s="25" t="n">
        <f aca="false">Returns!A358</f>
        <v>44236</v>
      </c>
      <c r="B358" s="26" t="n">
        <f aca="false">IF(Returns!$O358=1,"",Returns!B358)</f>
        <v>0.00657195564838942</v>
      </c>
      <c r="C358" s="26" t="n">
        <f aca="false">IF(Returns!$O358=1,"",Returns!C358)</f>
        <v>-0.0046392258723158</v>
      </c>
      <c r="D358" s="26" t="n">
        <f aca="false">IF(Returns!$O358=1,"",Returns!D358)</f>
        <v>0</v>
      </c>
      <c r="E358" s="26" t="n">
        <f aca="false">IF(Returns!$O358=1,"",Returns!E358)</f>
        <v>-0.0106844495903999</v>
      </c>
      <c r="F358" s="26" t="n">
        <f aca="false">IF(Returns!$O358=1,"",Returns!F358)</f>
        <v>-0.0101957585644372</v>
      </c>
      <c r="G358" s="26" t="n">
        <f aca="false">IF(Returns!$O358=1,"",Returns!G358)</f>
        <v>-0.0101852314814814</v>
      </c>
      <c r="H358" s="26" t="n">
        <f aca="false">IF(Returns!$O358=1,"",Returns!H358)</f>
        <v>-0.0202774806020106</v>
      </c>
      <c r="I358" s="26" t="n">
        <f aca="false">IF(Returns!$O358=1,"",Returns!I358)</f>
        <v>-0.0198543178947166</v>
      </c>
      <c r="J358" s="26" t="n">
        <f aca="false">IF(Returns!$O358=1,"",Returns!J358)</f>
        <v>0.00255289857349439</v>
      </c>
      <c r="K358" s="26" t="str">
        <f aca="false">IF(Returns!$O358=1,Returns!B358,"")</f>
        <v/>
      </c>
      <c r="L358" s="26" t="str">
        <f aca="false">IF(Returns!$O358=1,Returns!C358,"")</f>
        <v/>
      </c>
      <c r="M358" s="26" t="str">
        <f aca="false">IF(Returns!$O358=1,Returns!D358,"")</f>
        <v/>
      </c>
      <c r="N358" s="26" t="str">
        <f aca="false">IF(Returns!$O358=1,Returns!E358,"")</f>
        <v/>
      </c>
      <c r="O358" s="26" t="str">
        <f aca="false">IF(Returns!$O358=1,Returns!F358,"")</f>
        <v/>
      </c>
      <c r="P358" s="26" t="str">
        <f aca="false">IF(Returns!$O358=1,Returns!G358,"")</f>
        <v/>
      </c>
      <c r="Q358" s="26" t="str">
        <f aca="false">IF(Returns!$O358=1,Returns!H358,"")</f>
        <v/>
      </c>
      <c r="R358" s="26" t="str">
        <f aca="false">IF(Returns!$O358=1,Returns!I358,"")</f>
        <v/>
      </c>
      <c r="S358" s="26" t="str">
        <f aca="false">IF(Returns!$O358=1,Returns!J358,"")</f>
        <v/>
      </c>
      <c r="T358" s="26" t="n">
        <f aca="false">IF(Returns!$O358=1,"",Returns!K358)</f>
        <v>-0.00741240108705309</v>
      </c>
    </row>
    <row r="359" customFormat="false" ht="15" hidden="false" customHeight="false" outlineLevel="0" collapsed="false">
      <c r="A359" s="25" t="n">
        <f aca="false">Returns!A359</f>
        <v>44237</v>
      </c>
      <c r="B359" s="26" t="n">
        <f aca="false">IF(Returns!$O359=1,"",Returns!B359)</f>
        <v>-0.013990712298839</v>
      </c>
      <c r="C359" s="26" t="n">
        <f aca="false">IF(Returns!$O359=1,"",Returns!C359)</f>
        <v>-0.0348762777242043</v>
      </c>
      <c r="D359" s="26" t="n">
        <f aca="false">IF(Returns!$O359=1,"",Returns!D359)</f>
        <v>-0.000715855378816799</v>
      </c>
      <c r="E359" s="26" t="n">
        <f aca="false">IF(Returns!$O359=1,"",Returns!E359)</f>
        <v>-0.0170752926331856</v>
      </c>
      <c r="F359" s="26" t="n">
        <f aca="false">IF(Returns!$O359=1,"",Returns!F359)</f>
        <v>-0.0185414091470951</v>
      </c>
      <c r="G359" s="26" t="n">
        <f aca="false">IF(Returns!$O359=1,"",Returns!G359)</f>
        <v>-0.00608040252948572</v>
      </c>
      <c r="H359" s="26" t="n">
        <f aca="false">IF(Returns!$O359=1,"",Returns!H359)</f>
        <v>0.00944074039793974</v>
      </c>
      <c r="I359" s="26" t="n">
        <f aca="false">IF(Returns!$O359=1,"",Returns!I359)</f>
        <v>-0.018974322691529</v>
      </c>
      <c r="J359" s="26" t="n">
        <f aca="false">IF(Returns!$O359=1,"",Returns!J359)</f>
        <v>0.00477450397877988</v>
      </c>
      <c r="K359" s="26" t="str">
        <f aca="false">IF(Returns!$O359=1,Returns!B359,"")</f>
        <v/>
      </c>
      <c r="L359" s="26" t="str">
        <f aca="false">IF(Returns!$O359=1,Returns!C359,"")</f>
        <v/>
      </c>
      <c r="M359" s="26" t="str">
        <f aca="false">IF(Returns!$O359=1,Returns!D359,"")</f>
        <v/>
      </c>
      <c r="N359" s="26" t="str">
        <f aca="false">IF(Returns!$O359=1,Returns!E359,"")</f>
        <v/>
      </c>
      <c r="O359" s="26" t="str">
        <f aca="false">IF(Returns!$O359=1,Returns!F359,"")</f>
        <v/>
      </c>
      <c r="P359" s="26" t="str">
        <f aca="false">IF(Returns!$O359=1,Returns!G359,"")</f>
        <v/>
      </c>
      <c r="Q359" s="26" t="str">
        <f aca="false">IF(Returns!$O359=1,Returns!H359,"")</f>
        <v/>
      </c>
      <c r="R359" s="26" t="str">
        <f aca="false">IF(Returns!$O359=1,Returns!I359,"")</f>
        <v/>
      </c>
      <c r="S359" s="26" t="str">
        <f aca="false">IF(Returns!$O359=1,Returns!J359,"")</f>
        <v/>
      </c>
      <c r="T359" s="26" t="n">
        <f aca="false">IF(Returns!$O359=1,"",Returns!K359)</f>
        <v>-0.0106710031140484</v>
      </c>
    </row>
    <row r="360" customFormat="false" ht="15" hidden="false" customHeight="false" outlineLevel="0" collapsed="false">
      <c r="A360" s="25" t="n">
        <f aca="false">Returns!A360</f>
        <v>44238</v>
      </c>
      <c r="B360" s="26" t="n">
        <f aca="false">IF(Returns!$O360=1,"",Returns!B360)</f>
        <v>0.00716214864864861</v>
      </c>
      <c r="C360" s="26" t="n">
        <f aca="false">IF(Returns!$O360=1,"",Returns!C360)</f>
        <v>0.00449630323051808</v>
      </c>
      <c r="D360" s="26" t="n">
        <f aca="false">IF(Returns!$O360=1,"",Returns!D360)</f>
        <v>0.00393986389684797</v>
      </c>
      <c r="E360" s="26" t="n">
        <f aca="false">IF(Returns!$O360=1,"",Returns!E360)</f>
        <v>-0.00579063120387924</v>
      </c>
      <c r="F360" s="26" t="n">
        <f aca="false">IF(Returns!$O360=1,"",Returns!F360)</f>
        <v>0.0201510915197314</v>
      </c>
      <c r="G360" s="26" t="n">
        <f aca="false">IF(Returns!$O360=1,"",Returns!G360)</f>
        <v>0.00470588235294134</v>
      </c>
      <c r="H360" s="26" t="n">
        <f aca="false">IF(Returns!$O360=1,"",Returns!H360)</f>
        <v>0.0100719787795676</v>
      </c>
      <c r="I360" s="26" t="n">
        <f aca="false">IF(Returns!$O360=1,"",Returns!I360)</f>
        <v>0.00261369666411992</v>
      </c>
      <c r="J360" s="26" t="n">
        <f aca="false">IF(Returns!$O360=1,"",Returns!J360)</f>
        <v>-0.0168954493208695</v>
      </c>
      <c r="K360" s="26" t="str">
        <f aca="false">IF(Returns!$O360=1,Returns!B360,"")</f>
        <v/>
      </c>
      <c r="L360" s="26" t="str">
        <f aca="false">IF(Returns!$O360=1,Returns!C360,"")</f>
        <v/>
      </c>
      <c r="M360" s="26" t="str">
        <f aca="false">IF(Returns!$O360=1,Returns!D360,"")</f>
        <v/>
      </c>
      <c r="N360" s="26" t="str">
        <f aca="false">IF(Returns!$O360=1,Returns!E360,"")</f>
        <v/>
      </c>
      <c r="O360" s="26" t="str">
        <f aca="false">IF(Returns!$O360=1,Returns!F360,"")</f>
        <v/>
      </c>
      <c r="P360" s="26" t="str">
        <f aca="false">IF(Returns!$O360=1,Returns!G360,"")</f>
        <v/>
      </c>
      <c r="Q360" s="26" t="str">
        <f aca="false">IF(Returns!$O360=1,Returns!H360,"")</f>
        <v/>
      </c>
      <c r="R360" s="26" t="str">
        <f aca="false">IF(Returns!$O360=1,Returns!I360,"")</f>
        <v/>
      </c>
      <c r="S360" s="26" t="str">
        <f aca="false">IF(Returns!$O360=1,Returns!J360,"")</f>
        <v/>
      </c>
      <c r="T360" s="26" t="n">
        <f aca="false">IF(Returns!$O360=1,"",Returns!K360)</f>
        <v>0.00338387606306957</v>
      </c>
    </row>
    <row r="361" customFormat="false" ht="15" hidden="false" customHeight="false" outlineLevel="0" collapsed="false">
      <c r="A361" s="25" t="n">
        <f aca="false">Returns!A361</f>
        <v>44239</v>
      </c>
      <c r="B361" s="26" t="n">
        <f aca="false">IF(Returns!$O361=1,"",Returns!B361)</f>
        <v>0.0197236149164579</v>
      </c>
      <c r="C361" s="26" t="n">
        <f aca="false">IF(Returns!$O361=1,"",Returns!C361)</f>
        <v>-0.00762602772503274</v>
      </c>
      <c r="D361" s="26" t="n">
        <f aca="false">IF(Returns!$O361=1,"",Returns!D361)</f>
        <v>-0.000356796276960503</v>
      </c>
      <c r="E361" s="26" t="n">
        <f aca="false">IF(Returns!$O361=1,"",Returns!E361)</f>
        <v>-0.000896012558184167</v>
      </c>
      <c r="F361" s="26" t="n">
        <f aca="false">IF(Returns!$O361=1,"",Returns!F361)</f>
        <v>0.0127572844756085</v>
      </c>
      <c r="G361" s="26" t="n">
        <f aca="false">IF(Returns!$O361=1,"",Returns!G361)</f>
        <v>0.00187348946135812</v>
      </c>
      <c r="H361" s="26" t="n">
        <f aca="false">IF(Returns!$O361=1,"",Returns!H361)</f>
        <v>0.0128205484330484</v>
      </c>
      <c r="I361" s="26" t="n">
        <f aca="false">IF(Returns!$O361=1,"",Returns!I361)</f>
        <v>-0.0135558250991263</v>
      </c>
      <c r="J361" s="26" t="n">
        <f aca="false">IF(Returns!$O361=1,"",Returns!J361)</f>
        <v>0.00848551038636969</v>
      </c>
      <c r="K361" s="26" t="str">
        <f aca="false">IF(Returns!$O361=1,Returns!B361,"")</f>
        <v/>
      </c>
      <c r="L361" s="26" t="str">
        <f aca="false">IF(Returns!$O361=1,Returns!C361,"")</f>
        <v/>
      </c>
      <c r="M361" s="26" t="str">
        <f aca="false">IF(Returns!$O361=1,Returns!D361,"")</f>
        <v/>
      </c>
      <c r="N361" s="26" t="str">
        <f aca="false">IF(Returns!$O361=1,Returns!E361,"")</f>
        <v/>
      </c>
      <c r="O361" s="26" t="str">
        <f aca="false">IF(Returns!$O361=1,Returns!F361,"")</f>
        <v/>
      </c>
      <c r="P361" s="26" t="str">
        <f aca="false">IF(Returns!$O361=1,Returns!G361,"")</f>
        <v/>
      </c>
      <c r="Q361" s="26" t="str">
        <f aca="false">IF(Returns!$O361=1,Returns!H361,"")</f>
        <v/>
      </c>
      <c r="R361" s="26" t="str">
        <f aca="false">IF(Returns!$O361=1,Returns!I361,"")</f>
        <v/>
      </c>
      <c r="S361" s="26" t="str">
        <f aca="false">IF(Returns!$O361=1,Returns!J361,"")</f>
        <v/>
      </c>
      <c r="T361" s="26" t="n">
        <f aca="false">IF(Returns!$O361=1,"",Returns!K361)</f>
        <v>0.00369175400150432</v>
      </c>
    </row>
    <row r="362" customFormat="false" ht="15" hidden="false" customHeight="false" outlineLevel="0" collapsed="false">
      <c r="A362" s="25" t="n">
        <f aca="false">Returns!A362</f>
        <v>44245</v>
      </c>
      <c r="B362" s="26" t="n">
        <f aca="false">IF(Returns!$O362=1,"",Returns!B362)</f>
        <v>-0.00657894736842102</v>
      </c>
      <c r="C362" s="26" t="n">
        <f aca="false">IF(Returns!$O362=1,"",Returns!C362)</f>
        <v>-0.0307383733835345</v>
      </c>
      <c r="D362" s="26" t="n">
        <f aca="false">IF(Returns!$O362=1,"",Returns!D362)</f>
        <v>0.0356887937187722</v>
      </c>
      <c r="E362" s="26" t="n">
        <f aca="false">IF(Returns!$O362=1,"",Returns!E362)</f>
        <v>-0.034230208244239</v>
      </c>
      <c r="F362" s="26" t="n">
        <f aca="false">IF(Returns!$O362=1,"",Returns!F362)</f>
        <v>-0.0321008113733925</v>
      </c>
      <c r="G362" s="26" t="n">
        <f aca="false">IF(Returns!$O362=1,"",Returns!G362)</f>
        <v>-0.0215053305986597</v>
      </c>
      <c r="H362" s="26" t="n">
        <f aca="false">IF(Returns!$O362=1,"",Returns!H362)</f>
        <v>0.0291842113507661</v>
      </c>
      <c r="I362" s="26" t="n">
        <f aca="false">IF(Returns!$O362=1,"",Returns!I362)</f>
        <v>-0.00845658437325747</v>
      </c>
      <c r="J362" s="26" t="n">
        <f aca="false">IF(Returns!$O362=1,"",Returns!J362)</f>
        <v>0.037384205318822</v>
      </c>
      <c r="K362" s="26" t="str">
        <f aca="false">IF(Returns!$O362=1,Returns!B362,"")</f>
        <v/>
      </c>
      <c r="L362" s="26" t="str">
        <f aca="false">IF(Returns!$O362=1,Returns!C362,"")</f>
        <v/>
      </c>
      <c r="M362" s="26" t="str">
        <f aca="false">IF(Returns!$O362=1,Returns!D362,"")</f>
        <v/>
      </c>
      <c r="N362" s="26" t="str">
        <f aca="false">IF(Returns!$O362=1,Returns!E362,"")</f>
        <v/>
      </c>
      <c r="O362" s="26" t="str">
        <f aca="false">IF(Returns!$O362=1,Returns!F362,"")</f>
        <v/>
      </c>
      <c r="P362" s="26" t="str">
        <f aca="false">IF(Returns!$O362=1,Returns!G362,"")</f>
        <v/>
      </c>
      <c r="Q362" s="26" t="str">
        <f aca="false">IF(Returns!$O362=1,Returns!H362,"")</f>
        <v/>
      </c>
      <c r="R362" s="26" t="str">
        <f aca="false">IF(Returns!$O362=1,Returns!I362,"")</f>
        <v/>
      </c>
      <c r="S362" s="26" t="str">
        <f aca="false">IF(Returns!$O362=1,Returns!J362,"")</f>
        <v/>
      </c>
      <c r="T362" s="26" t="n">
        <f aca="false">IF(Returns!$O362=1,"",Returns!K362)</f>
        <v>-0.00348367166146041</v>
      </c>
    </row>
    <row r="363" customFormat="false" ht="15" hidden="false" customHeight="false" outlineLevel="0" collapsed="false">
      <c r="A363" s="25" t="n">
        <f aca="false">Returns!A363</f>
        <v>44246</v>
      </c>
      <c r="B363" s="26" t="n">
        <f aca="false">IF(Returns!$O363=1,"",Returns!B363)</f>
        <v>0.0198675496688743</v>
      </c>
      <c r="C363" s="26" t="n">
        <f aca="false">IF(Returns!$O363=1,"",Returns!C363)</f>
        <v>0.000517063081695968</v>
      </c>
      <c r="D363" s="26" t="n">
        <f aca="false">IF(Returns!$O363=1,"",Returns!D363)</f>
        <v>0.00723638869745003</v>
      </c>
      <c r="E363" s="26" t="n">
        <f aca="false">IF(Returns!$O363=1,"",Returns!E363)</f>
        <v>0.00758391878062348</v>
      </c>
      <c r="F363" s="26" t="n">
        <f aca="false">IF(Returns!$O363=1,"",Returns!F363)</f>
        <v>0.0138539042821157</v>
      </c>
      <c r="G363" s="26" t="n">
        <f aca="false">IF(Returns!$O363=1,"",Returns!G363)</f>
        <v>-0.0124223602484471</v>
      </c>
      <c r="H363" s="26" t="n">
        <f aca="false">IF(Returns!$O363=1,"",Returns!H363)</f>
        <v>-0.0662794670310899</v>
      </c>
      <c r="I363" s="26" t="n">
        <f aca="false">IF(Returns!$O363=1,"",Returns!I363)</f>
        <v>-0.013326286608164</v>
      </c>
      <c r="J363" s="26" t="n">
        <f aca="false">IF(Returns!$O363=1,"",Returns!J363)</f>
        <v>0.00379871655444108</v>
      </c>
      <c r="K363" s="26" t="str">
        <f aca="false">IF(Returns!$O363=1,Returns!B363,"")</f>
        <v/>
      </c>
      <c r="L363" s="26" t="str">
        <f aca="false">IF(Returns!$O363=1,Returns!C363,"")</f>
        <v/>
      </c>
      <c r="M363" s="26" t="str">
        <f aca="false">IF(Returns!$O363=1,Returns!D363,"")</f>
        <v/>
      </c>
      <c r="N363" s="26" t="str">
        <f aca="false">IF(Returns!$O363=1,Returns!E363,"")</f>
        <v/>
      </c>
      <c r="O363" s="26" t="str">
        <f aca="false">IF(Returns!$O363=1,Returns!F363,"")</f>
        <v/>
      </c>
      <c r="P363" s="26" t="str">
        <f aca="false">IF(Returns!$O363=1,Returns!G363,"")</f>
        <v/>
      </c>
      <c r="Q363" s="26" t="str">
        <f aca="false">IF(Returns!$O363=1,Returns!H363,"")</f>
        <v/>
      </c>
      <c r="R363" s="26" t="str">
        <f aca="false">IF(Returns!$O363=1,Returns!I363,"")</f>
        <v/>
      </c>
      <c r="S363" s="26" t="str">
        <f aca="false">IF(Returns!$O363=1,Returns!J363,"")</f>
        <v/>
      </c>
      <c r="T363" s="26" t="n">
        <f aca="false">IF(Returns!$O363=1,"",Returns!K363)</f>
        <v>-0.00435228586916672</v>
      </c>
    </row>
    <row r="364" customFormat="false" ht="15" hidden="false" customHeight="false" outlineLevel="0" collapsed="false">
      <c r="A364" s="25" t="n">
        <f aca="false">Returns!A364</f>
        <v>44249</v>
      </c>
      <c r="B364" s="26" t="n">
        <f aca="false">IF(Returns!$O364=1,"",Returns!B364)</f>
        <v>0.00363635064935064</v>
      </c>
      <c r="C364" s="26" t="n">
        <f aca="false">IF(Returns!$O364=1,"",Returns!C364)</f>
        <v>-0.039793281653747</v>
      </c>
      <c r="D364" s="26" t="n">
        <f aca="false">IF(Returns!$O364=1,"",Returns!D364)</f>
        <v>0.0571330824495382</v>
      </c>
      <c r="E364" s="26" t="n">
        <f aca="false">IF(Returns!$O364=1,"",Returns!E364)</f>
        <v>-0.061597513413134</v>
      </c>
      <c r="F364" s="26" t="n">
        <f aca="false">IF(Returns!$O364=1,"",Returns!F364)</f>
        <v>0.198757805383023</v>
      </c>
      <c r="G364" s="26" t="n">
        <f aca="false">IF(Returns!$O364=1,"",Returns!G364)</f>
        <v>-0.0256410740203195</v>
      </c>
      <c r="H364" s="26" t="n">
        <f aca="false">IF(Returns!$O364=1,"",Returns!H364)</f>
        <v>-0.207098426637395</v>
      </c>
      <c r="I364" s="26" t="n">
        <f aca="false">IF(Returns!$O364=1,"",Returns!I364)</f>
        <v>-0.00729337766933613</v>
      </c>
      <c r="J364" s="26" t="n">
        <f aca="false">IF(Returns!$O364=1,"",Returns!J364)</f>
        <v>-0.0247519594380268</v>
      </c>
      <c r="K364" s="26" t="str">
        <f aca="false">IF(Returns!$O364=1,Returns!B364,"")</f>
        <v/>
      </c>
      <c r="L364" s="26" t="str">
        <f aca="false">IF(Returns!$O364=1,Returns!C364,"")</f>
        <v/>
      </c>
      <c r="M364" s="26" t="str">
        <f aca="false">IF(Returns!$O364=1,Returns!D364,"")</f>
        <v/>
      </c>
      <c r="N364" s="26" t="str">
        <f aca="false">IF(Returns!$O364=1,Returns!E364,"")</f>
        <v/>
      </c>
      <c r="O364" s="26" t="str">
        <f aca="false">IF(Returns!$O364=1,Returns!F364,"")</f>
        <v/>
      </c>
      <c r="P364" s="26" t="str">
        <f aca="false">IF(Returns!$O364=1,Returns!G364,"")</f>
        <v/>
      </c>
      <c r="Q364" s="26" t="str">
        <f aca="false">IF(Returns!$O364=1,Returns!H364,"")</f>
        <v/>
      </c>
      <c r="R364" s="26" t="str">
        <f aca="false">IF(Returns!$O364=1,Returns!I364,"")</f>
        <v/>
      </c>
      <c r="S364" s="26" t="str">
        <f aca="false">IF(Returns!$O364=1,Returns!J364,"")</f>
        <v/>
      </c>
      <c r="T364" s="26" t="n">
        <f aca="false">IF(Returns!$O364=1,"",Returns!K364)</f>
        <v>-0.0118498215944496</v>
      </c>
    </row>
    <row r="365" customFormat="false" ht="15" hidden="false" customHeight="false" outlineLevel="0" collapsed="false">
      <c r="A365" s="25" t="n">
        <f aca="false">Returns!A365</f>
        <v>44250</v>
      </c>
      <c r="B365" s="26" t="n">
        <f aca="false">IF(Returns!$O365=1,"",Returns!B365)</f>
        <v>-0.0252328807612952</v>
      </c>
      <c r="C365" s="26" t="n">
        <f aca="false">IF(Returns!$O365=1,"",Returns!C365)</f>
        <v>-0.0071761571582345</v>
      </c>
      <c r="D365" s="26" t="n">
        <f aca="false">IF(Returns!$O365=1,"",Returns!D365)</f>
        <v>-0.00226537216828482</v>
      </c>
      <c r="E365" s="26" t="n">
        <f aca="false">IF(Returns!$O365=1,"",Returns!E365)</f>
        <v>0.00343753478474373</v>
      </c>
      <c r="F365" s="26" t="n">
        <f aca="false">IF(Returns!$O365=1,"",Returns!F365)</f>
        <v>-0.0594128131463623</v>
      </c>
      <c r="G365" s="26" t="n">
        <f aca="false">IF(Returns!$O365=1,"",Returns!G365)</f>
        <v>-0.00198604776494771</v>
      </c>
      <c r="H365" s="26" t="n">
        <f aca="false">IF(Returns!$O365=1,"",Returns!H365)</f>
        <v>0.110290678357176</v>
      </c>
      <c r="I365" s="26" t="n">
        <f aca="false">IF(Returns!$O365=1,"",Returns!I365)</f>
        <v>-0.0165985910955253</v>
      </c>
      <c r="J365" s="26" t="n">
        <f aca="false">IF(Returns!$O365=1,"",Returns!J365)</f>
        <v>0.0167802730315736</v>
      </c>
      <c r="K365" s="26" t="str">
        <f aca="false">IF(Returns!$O365=1,Returns!B365,"")</f>
        <v/>
      </c>
      <c r="L365" s="26" t="str">
        <f aca="false">IF(Returns!$O365=1,Returns!C365,"")</f>
        <v/>
      </c>
      <c r="M365" s="26" t="str">
        <f aca="false">IF(Returns!$O365=1,Returns!D365,"")</f>
        <v/>
      </c>
      <c r="N365" s="26" t="str">
        <f aca="false">IF(Returns!$O365=1,Returns!E365,"")</f>
        <v/>
      </c>
      <c r="O365" s="26" t="str">
        <f aca="false">IF(Returns!$O365=1,Returns!F365,"")</f>
        <v/>
      </c>
      <c r="P365" s="26" t="str">
        <f aca="false">IF(Returns!$O365=1,Returns!G365,"")</f>
        <v/>
      </c>
      <c r="Q365" s="26" t="str">
        <f aca="false">IF(Returns!$O365=1,Returns!H365,"")</f>
        <v/>
      </c>
      <c r="R365" s="26" t="str">
        <f aca="false">IF(Returns!$O365=1,Returns!I365,"")</f>
        <v/>
      </c>
      <c r="S365" s="26" t="str">
        <f aca="false">IF(Returns!$O365=1,Returns!J365,"")</f>
        <v/>
      </c>
      <c r="T365" s="26" t="n">
        <f aca="false">IF(Returns!$O365=1,"",Returns!K365)</f>
        <v>0.00198184711987148</v>
      </c>
    </row>
    <row r="366" customFormat="false" ht="15" hidden="false" customHeight="false" outlineLevel="0" collapsed="false">
      <c r="A366" s="25" t="n">
        <f aca="false">Returns!A366</f>
        <v>44251</v>
      </c>
      <c r="B366" s="26" t="n">
        <f aca="false">IF(Returns!$O366=1,"",Returns!B366)</f>
        <v>-0.0102217440535843</v>
      </c>
      <c r="C366" s="26" t="n">
        <f aca="false">IF(Returns!$O366=1,"",Returns!C366)</f>
        <v>0.00505966741850972</v>
      </c>
      <c r="D366" s="26" t="n">
        <f aca="false">IF(Returns!$O366=1,"",Returns!D366)</f>
        <v>0.0132987349983782</v>
      </c>
      <c r="E366" s="26" t="n">
        <f aca="false">IF(Returns!$O366=1,"",Returns!E366)</f>
        <v>-0.0123980099901797</v>
      </c>
      <c r="F366" s="26" t="n">
        <f aca="false">IF(Returns!$O366=1,"",Returns!F366)</f>
        <v>-0.0231362467866324</v>
      </c>
      <c r="G366" s="26" t="n">
        <f aca="false">IF(Returns!$O366=1,"",Returns!G366)</f>
        <v>-0.0114427363184081</v>
      </c>
      <c r="H366" s="26" t="n">
        <f aca="false">IF(Returns!$O366=1,"",Returns!H366)</f>
        <v>0.0141313804709633</v>
      </c>
      <c r="I366" s="26" t="n">
        <f aca="false">IF(Returns!$O366=1,"",Returns!I366)</f>
        <v>0.00664085517082969</v>
      </c>
      <c r="J366" s="26" t="n">
        <f aca="false">IF(Returns!$O366=1,"",Returns!J366)</f>
        <v>0.0101083345056732</v>
      </c>
      <c r="K366" s="26" t="str">
        <f aca="false">IF(Returns!$O366=1,Returns!B366,"")</f>
        <v/>
      </c>
      <c r="L366" s="26" t="str">
        <f aca="false">IF(Returns!$O366=1,Returns!C366,"")</f>
        <v/>
      </c>
      <c r="M366" s="26" t="str">
        <f aca="false">IF(Returns!$O366=1,Returns!D366,"")</f>
        <v/>
      </c>
      <c r="N366" s="26" t="str">
        <f aca="false">IF(Returns!$O366=1,Returns!E366,"")</f>
        <v/>
      </c>
      <c r="O366" s="26" t="str">
        <f aca="false">IF(Returns!$O366=1,Returns!F366,"")</f>
        <v/>
      </c>
      <c r="P366" s="26" t="str">
        <f aca="false">IF(Returns!$O366=1,Returns!G366,"")</f>
        <v/>
      </c>
      <c r="Q366" s="26" t="str">
        <f aca="false">IF(Returns!$O366=1,Returns!H366,"")</f>
        <v/>
      </c>
      <c r="R366" s="26" t="str">
        <f aca="false">IF(Returns!$O366=1,Returns!I366,"")</f>
        <v/>
      </c>
      <c r="S366" s="26" t="str">
        <f aca="false">IF(Returns!$O366=1,Returns!J366,"")</f>
        <v/>
      </c>
      <c r="T366" s="26" t="n">
        <f aca="false">IF(Returns!$O366=1,"",Returns!K366)</f>
        <v>-0.000884418287161163</v>
      </c>
    </row>
    <row r="367" customFormat="false" ht="15" hidden="false" customHeight="false" outlineLevel="0" collapsed="false">
      <c r="A367" s="25" t="n">
        <f aca="false">Returns!A367</f>
        <v>44252</v>
      </c>
      <c r="B367" s="26" t="n">
        <f aca="false">IF(Returns!$O367=1,"",Returns!B367)</f>
        <v>-0.0301770394360794</v>
      </c>
      <c r="C367" s="26" t="n">
        <f aca="false">IF(Returns!$O367=1,"",Returns!C367)</f>
        <v>-0.0131249183859267</v>
      </c>
      <c r="D367" s="26" t="n">
        <f aca="false">IF(Returns!$O367=1,"",Returns!D367)</f>
        <v>-0.0403329065300896</v>
      </c>
      <c r="E367" s="26" t="n">
        <f aca="false">IF(Returns!$O367=1,"",Returns!E367)</f>
        <v>-0.0112322429594939</v>
      </c>
      <c r="F367" s="26" t="n">
        <f aca="false">IF(Returns!$O367=1,"",Returns!F367)</f>
        <v>-0.0221804511278195</v>
      </c>
      <c r="G367" s="26" t="n">
        <f aca="false">IF(Returns!$O367=1,"",Returns!G367)</f>
        <v>0.0105686456684124</v>
      </c>
      <c r="H367" s="26" t="n">
        <f aca="false">IF(Returns!$O367=1,"",Returns!H367)</f>
        <v>-0.0495901229508197</v>
      </c>
      <c r="I367" s="26" t="n">
        <f aca="false">IF(Returns!$O367=1,"",Returns!I367)</f>
        <v>-0.0401319712184165</v>
      </c>
      <c r="J367" s="26" t="n">
        <f aca="false">IF(Returns!$O367=1,"",Returns!J367)</f>
        <v>-0.0226692637598286</v>
      </c>
      <c r="K367" s="26" t="str">
        <f aca="false">IF(Returns!$O367=1,Returns!B367,"")</f>
        <v/>
      </c>
      <c r="L367" s="26" t="str">
        <f aca="false">IF(Returns!$O367=1,Returns!C367,"")</f>
        <v/>
      </c>
      <c r="M367" s="26" t="str">
        <f aca="false">IF(Returns!$O367=1,Returns!D367,"")</f>
        <v/>
      </c>
      <c r="N367" s="26" t="str">
        <f aca="false">IF(Returns!$O367=1,Returns!E367,"")</f>
        <v/>
      </c>
      <c r="O367" s="26" t="str">
        <f aca="false">IF(Returns!$O367=1,Returns!F367,"")</f>
        <v/>
      </c>
      <c r="P367" s="26" t="str">
        <f aca="false">IF(Returns!$O367=1,Returns!G367,"")</f>
        <v/>
      </c>
      <c r="Q367" s="26" t="str">
        <f aca="false">IF(Returns!$O367=1,Returns!H367,"")</f>
        <v/>
      </c>
      <c r="R367" s="26" t="str">
        <f aca="false">IF(Returns!$O367=1,Returns!I367,"")</f>
        <v/>
      </c>
      <c r="S367" s="26" t="str">
        <f aca="false">IF(Returns!$O367=1,Returns!J367,"")</f>
        <v/>
      </c>
      <c r="T367" s="26" t="n">
        <f aca="false">IF(Returns!$O367=1,"",Returns!K367)</f>
        <v>-0.0243189189666735</v>
      </c>
    </row>
    <row r="368" customFormat="false" ht="15" hidden="false" customHeight="false" outlineLevel="0" collapsed="false">
      <c r="A368" s="25" t="n">
        <f aca="false">Returns!A368</f>
        <v>44253</v>
      </c>
      <c r="B368" s="26" t="n">
        <f aca="false">IF(Returns!$O368=1,"",Returns!B368)</f>
        <v>-0.013691025133205</v>
      </c>
      <c r="C368" s="26" t="n">
        <f aca="false">IF(Returns!$O368=1,"",Returns!C368)</f>
        <v>-0.0107486801556458</v>
      </c>
      <c r="D368" s="26" t="n">
        <f aca="false">IF(Returns!$O368=1,"",Returns!D368)</f>
        <v>-0.0036690793862576</v>
      </c>
      <c r="E368" s="26" t="n">
        <f aca="false">IF(Returns!$O368=1,"",Returns!E368)</f>
        <v>-0.0310725186924069</v>
      </c>
      <c r="F368" s="26" t="n">
        <f aca="false">IF(Returns!$O368=1,"",Returns!F368)</f>
        <v>-0.0422914263744714</v>
      </c>
      <c r="G368" s="26" t="n">
        <f aca="false">IF(Returns!$O368=1,"",Returns!G368)</f>
        <v>-0.0199203187250996</v>
      </c>
      <c r="H368" s="26" t="n">
        <f aca="false">IF(Returns!$O368=1,"",Returns!H368)</f>
        <v>-0.0409659749475647</v>
      </c>
      <c r="I368" s="26" t="n">
        <f aca="false">IF(Returns!$O368=1,"",Returns!I368)</f>
        <v>-0.0535509837333121</v>
      </c>
      <c r="J368" s="26" t="n">
        <f aca="false">IF(Returns!$O368=1,"",Returns!J368)</f>
        <v>-0.0124334135663297</v>
      </c>
      <c r="K368" s="26" t="str">
        <f aca="false">IF(Returns!$O368=1,Returns!B368,"")</f>
        <v/>
      </c>
      <c r="L368" s="26" t="str">
        <f aca="false">IF(Returns!$O368=1,Returns!C368,"")</f>
        <v/>
      </c>
      <c r="M368" s="26" t="str">
        <f aca="false">IF(Returns!$O368=1,Returns!D368,"")</f>
        <v/>
      </c>
      <c r="N368" s="26" t="str">
        <f aca="false">IF(Returns!$O368=1,Returns!E368,"")</f>
        <v/>
      </c>
      <c r="O368" s="26" t="str">
        <f aca="false">IF(Returns!$O368=1,Returns!F368,"")</f>
        <v/>
      </c>
      <c r="P368" s="26" t="str">
        <f aca="false">IF(Returns!$O368=1,Returns!G368,"")</f>
        <v/>
      </c>
      <c r="Q368" s="26" t="str">
        <f aca="false">IF(Returns!$O368=1,Returns!H368,"")</f>
        <v/>
      </c>
      <c r="R368" s="26" t="str">
        <f aca="false">IF(Returns!$O368=1,Returns!I368,"")</f>
        <v/>
      </c>
      <c r="S368" s="26" t="str">
        <f aca="false">IF(Returns!$O368=1,Returns!J368,"")</f>
        <v/>
      </c>
      <c r="T368" s="26" t="n">
        <f aca="false">IF(Returns!$O368=1,"",Returns!K368)</f>
        <v>-0.025371491190477</v>
      </c>
    </row>
    <row r="369" customFormat="false" ht="15" hidden="false" customHeight="false" outlineLevel="0" collapsed="false">
      <c r="A369" s="25" t="n">
        <f aca="false">Returns!A369</f>
        <v>44256</v>
      </c>
      <c r="B369" s="26" t="n">
        <f aca="false">IF(Returns!$O369=1,"",Returns!B369)</f>
        <v>-0.001682599551318</v>
      </c>
      <c r="C369" s="26" t="n">
        <f aca="false">IF(Returns!$O369=1,"",Returns!C369)</f>
        <v>0.000920828729281675</v>
      </c>
      <c r="D369" s="26" t="n">
        <f aca="false">IF(Returns!$O369=1,"",Returns!D369)</f>
        <v>0.0344827239878567</v>
      </c>
      <c r="E369" s="26" t="n">
        <f aca="false">IF(Returns!$O369=1,"",Returns!E369)</f>
        <v>0.02</v>
      </c>
      <c r="F369" s="26" t="n">
        <f aca="false">IF(Returns!$O369=1,"",Returns!F369)</f>
        <v>-0.009233239662786</v>
      </c>
      <c r="G369" s="26" t="n">
        <f aca="false">IF(Returns!$O369=1,"",Returns!G369)</f>
        <v>-0.0152439532520324</v>
      </c>
      <c r="H369" s="26" t="n">
        <f aca="false">IF(Returns!$O369=1,"",Returns!H369)</f>
        <v>-0.0107913669064748</v>
      </c>
      <c r="I369" s="26" t="n">
        <f aca="false">IF(Returns!$O369=1,"",Returns!I369)</f>
        <v>-0.00332832699219598</v>
      </c>
      <c r="J369" s="26" t="n">
        <f aca="false">IF(Returns!$O369=1,"",Returns!J369)</f>
        <v>0.0428481075808751</v>
      </c>
      <c r="K369" s="26" t="str">
        <f aca="false">IF(Returns!$O369=1,Returns!B369,"")</f>
        <v/>
      </c>
      <c r="L369" s="26" t="str">
        <f aca="false">IF(Returns!$O369=1,Returns!C369,"")</f>
        <v/>
      </c>
      <c r="M369" s="26" t="str">
        <f aca="false">IF(Returns!$O369=1,Returns!D369,"")</f>
        <v/>
      </c>
      <c r="N369" s="26" t="str">
        <f aca="false">IF(Returns!$O369=1,Returns!E369,"")</f>
        <v/>
      </c>
      <c r="O369" s="26" t="str">
        <f aca="false">IF(Returns!$O369=1,Returns!F369,"")</f>
        <v/>
      </c>
      <c r="P369" s="26" t="str">
        <f aca="false">IF(Returns!$O369=1,Returns!G369,"")</f>
        <v/>
      </c>
      <c r="Q369" s="26" t="str">
        <f aca="false">IF(Returns!$O369=1,Returns!H369,"")</f>
        <v/>
      </c>
      <c r="R369" s="26" t="str">
        <f aca="false">IF(Returns!$O369=1,Returns!I369,"")</f>
        <v/>
      </c>
      <c r="S369" s="26" t="str">
        <f aca="false">IF(Returns!$O369=1,Returns!J369,"")</f>
        <v/>
      </c>
      <c r="T369" s="26" t="n">
        <f aca="false">IF(Returns!$O369=1,"",Returns!K369)</f>
        <v>0.00644135265924515</v>
      </c>
    </row>
    <row r="370" customFormat="false" ht="15" hidden="false" customHeight="false" outlineLevel="0" collapsed="false">
      <c r="A370" s="25" t="n">
        <f aca="false">Returns!A370</f>
        <v>44257</v>
      </c>
      <c r="B370" s="26" t="n">
        <f aca="false">IF(Returns!$O370=1,"",Returns!B370)</f>
        <v>0.00884838520428577</v>
      </c>
      <c r="C370" s="26" t="n">
        <f aca="false">IF(Returns!$O370=1,"",Returns!C370)</f>
        <v>0.0305427593276402</v>
      </c>
      <c r="D370" s="26" t="n">
        <f aca="false">IF(Returns!$O370=1,"",Returns!D370)</f>
        <v>-0.0132686084142395</v>
      </c>
      <c r="E370" s="26" t="n">
        <f aca="false">IF(Returns!$O370=1,"",Returns!E370)</f>
        <v>-0.00946588911426638</v>
      </c>
      <c r="F370" s="26" t="n">
        <f aca="false">IF(Returns!$O370=1,"",Returns!F370)</f>
        <v>-0.0174230145867099</v>
      </c>
      <c r="G370" s="26" t="n">
        <f aca="false">IF(Returns!$O370=1,"",Returns!G370)</f>
        <v>0.0211559350441659</v>
      </c>
      <c r="H370" s="26" t="n">
        <f aca="false">IF(Returns!$O370=1,"",Returns!H370)</f>
        <v>-0.000454545454545485</v>
      </c>
      <c r="I370" s="26" t="n">
        <f aca="false">IF(Returns!$O370=1,"",Returns!I370)</f>
        <v>0.00242874929359194</v>
      </c>
      <c r="J370" s="26" t="n">
        <f aca="false">IF(Returns!$O370=1,"",Returns!J370)</f>
        <v>0.0307395556457342</v>
      </c>
      <c r="K370" s="26" t="str">
        <f aca="false">IF(Returns!$O370=1,Returns!B370,"")</f>
        <v/>
      </c>
      <c r="L370" s="26" t="str">
        <f aca="false">IF(Returns!$O370=1,Returns!C370,"")</f>
        <v/>
      </c>
      <c r="M370" s="26" t="str">
        <f aca="false">IF(Returns!$O370=1,Returns!D370,"")</f>
        <v/>
      </c>
      <c r="N370" s="26" t="str">
        <f aca="false">IF(Returns!$O370=1,Returns!E370,"")</f>
        <v/>
      </c>
      <c r="O370" s="26" t="str">
        <f aca="false">IF(Returns!$O370=1,Returns!F370,"")</f>
        <v/>
      </c>
      <c r="P370" s="26" t="str">
        <f aca="false">IF(Returns!$O370=1,Returns!G370,"")</f>
        <v/>
      </c>
      <c r="Q370" s="26" t="str">
        <f aca="false">IF(Returns!$O370=1,Returns!H370,"")</f>
        <v/>
      </c>
      <c r="R370" s="26" t="str">
        <f aca="false">IF(Returns!$O370=1,Returns!I370,"")</f>
        <v/>
      </c>
      <c r="S370" s="26" t="str">
        <f aca="false">IF(Returns!$O370=1,Returns!J370,"")</f>
        <v/>
      </c>
      <c r="T370" s="26" t="n">
        <f aca="false">IF(Returns!$O370=1,"",Returns!K370)</f>
        <v>0.00590036966062852</v>
      </c>
    </row>
    <row r="371" customFormat="false" ht="15" hidden="false" customHeight="false" outlineLevel="0" collapsed="false">
      <c r="A371" s="25" t="n">
        <f aca="false">Returns!A371</f>
        <v>44258</v>
      </c>
      <c r="B371" s="26" t="n">
        <f aca="false">IF(Returns!$O371=1,"",Returns!B371)</f>
        <v>-0.0129472361702008</v>
      </c>
      <c r="C371" s="26" t="n">
        <f aca="false">IF(Returns!$O371=1,"",Returns!C371)</f>
        <v>0.0103552758435994</v>
      </c>
      <c r="D371" s="26" t="n">
        <f aca="false">IF(Returns!$O371=1,"",Returns!D371)</f>
        <v>-0.0121350934732699</v>
      </c>
      <c r="E371" s="26" t="n">
        <f aca="false">IF(Returns!$O371=1,"",Returns!E371)</f>
        <v>0.00375430046943004</v>
      </c>
      <c r="F371" s="26" t="n">
        <f aca="false">IF(Returns!$O371=1,"",Returns!F371)</f>
        <v>-0.014020618556701</v>
      </c>
      <c r="G371" s="26" t="n">
        <f aca="false">IF(Returns!$O371=1,"",Returns!G371)</f>
        <v>0.00303178357595835</v>
      </c>
      <c r="H371" s="26" t="n">
        <f aca="false">IF(Returns!$O371=1,"",Returns!H371)</f>
        <v>-0.0363801273306048</v>
      </c>
      <c r="I371" s="26" t="n">
        <f aca="false">IF(Returns!$O371=1,"",Returns!I371)</f>
        <v>-0.0133253065754755</v>
      </c>
      <c r="J371" s="26" t="n">
        <f aca="false">IF(Returns!$O371=1,"",Returns!J371)</f>
        <v>-0.0123031498484872</v>
      </c>
      <c r="K371" s="26" t="str">
        <f aca="false">IF(Returns!$O371=1,Returns!B371,"")</f>
        <v/>
      </c>
      <c r="L371" s="26" t="str">
        <f aca="false">IF(Returns!$O371=1,Returns!C371,"")</f>
        <v/>
      </c>
      <c r="M371" s="26" t="str">
        <f aca="false">IF(Returns!$O371=1,Returns!D371,"")</f>
        <v/>
      </c>
      <c r="N371" s="26" t="str">
        <f aca="false">IF(Returns!$O371=1,Returns!E371,"")</f>
        <v/>
      </c>
      <c r="O371" s="26" t="str">
        <f aca="false">IF(Returns!$O371=1,Returns!F371,"")</f>
        <v/>
      </c>
      <c r="P371" s="26" t="str">
        <f aca="false">IF(Returns!$O371=1,Returns!G371,"")</f>
        <v/>
      </c>
      <c r="Q371" s="26" t="str">
        <f aca="false">IF(Returns!$O371=1,Returns!H371,"")</f>
        <v/>
      </c>
      <c r="R371" s="26" t="str">
        <f aca="false">IF(Returns!$O371=1,Returns!I371,"")</f>
        <v/>
      </c>
      <c r="S371" s="26" t="str">
        <f aca="false">IF(Returns!$O371=1,Returns!J371,"")</f>
        <v/>
      </c>
      <c r="T371" s="26" t="n">
        <f aca="false">IF(Returns!$O371=1,"",Returns!K371)</f>
        <v>-0.00933001911841682</v>
      </c>
    </row>
    <row r="372" customFormat="false" ht="15" hidden="false" customHeight="false" outlineLevel="0" collapsed="false">
      <c r="A372" s="25" t="n">
        <f aca="false">Returns!A372</f>
        <v>44259</v>
      </c>
      <c r="B372" s="26" t="n">
        <f aca="false">IF(Returns!$O372=1,"",Returns!B372)</f>
        <v>0.0296191529021395</v>
      </c>
      <c r="C372" s="26" t="n">
        <f aca="false">IF(Returns!$O372=1,"",Returns!C372)</f>
        <v>-0.0194380812765167</v>
      </c>
      <c r="D372" s="26" t="n">
        <f aca="false">IF(Returns!$O372=1,"",Returns!D372)</f>
        <v>-0.00763618832549173</v>
      </c>
      <c r="E372" s="26" t="n">
        <f aca="false">IF(Returns!$O372=1,"",Returns!E372)</f>
        <v>0.0357021081264877</v>
      </c>
      <c r="F372" s="26" t="n">
        <f aca="false">IF(Returns!$O372=1,"",Returns!F372)</f>
        <v>0.0271852363028022</v>
      </c>
      <c r="G372" s="26" t="n">
        <f aca="false">IF(Returns!$O372=1,"",Returns!G372)</f>
        <v>0.0287153652392946</v>
      </c>
      <c r="H372" s="26" t="n">
        <f aca="false">IF(Returns!$O372=1,"",Returns!H372)</f>
        <v>0.0486077372058644</v>
      </c>
      <c r="I372" s="26" t="n">
        <f aca="false">IF(Returns!$O372=1,"",Returns!I372)</f>
        <v>-0.00736646566047794</v>
      </c>
      <c r="J372" s="26" t="n">
        <f aca="false">IF(Returns!$O372=1,"",Returns!J372)</f>
        <v>-0.0148480022889488</v>
      </c>
      <c r="K372" s="26" t="str">
        <f aca="false">IF(Returns!$O372=1,Returns!B372,"")</f>
        <v/>
      </c>
      <c r="L372" s="26" t="str">
        <f aca="false">IF(Returns!$O372=1,Returns!C372,"")</f>
        <v/>
      </c>
      <c r="M372" s="26" t="str">
        <f aca="false">IF(Returns!$O372=1,Returns!D372,"")</f>
        <v/>
      </c>
      <c r="N372" s="26" t="str">
        <f aca="false">IF(Returns!$O372=1,Returns!E372,"")</f>
        <v/>
      </c>
      <c r="O372" s="26" t="str">
        <f aca="false">IF(Returns!$O372=1,Returns!F372,"")</f>
        <v/>
      </c>
      <c r="P372" s="26" t="str">
        <f aca="false">IF(Returns!$O372=1,Returns!G372,"")</f>
        <v/>
      </c>
      <c r="Q372" s="26" t="str">
        <f aca="false">IF(Returns!$O372=1,Returns!H372,"")</f>
        <v/>
      </c>
      <c r="R372" s="26" t="str">
        <f aca="false">IF(Returns!$O372=1,Returns!I372,"")</f>
        <v/>
      </c>
      <c r="S372" s="26" t="str">
        <f aca="false">IF(Returns!$O372=1,Returns!J372,"")</f>
        <v/>
      </c>
      <c r="T372" s="26" t="n">
        <f aca="false">IF(Returns!$O372=1,"",Returns!K372)</f>
        <v>0.0133934291361281</v>
      </c>
    </row>
    <row r="373" customFormat="false" ht="15" hidden="false" customHeight="false" outlineLevel="0" collapsed="false">
      <c r="A373" s="25" t="n">
        <f aca="false">Returns!A373</f>
        <v>44260</v>
      </c>
      <c r="B373" s="26" t="n">
        <f aca="false">IF(Returns!$O373=1,"",Returns!B373)</f>
        <v>0.0752054520547945</v>
      </c>
      <c r="C373" s="26" t="n">
        <f aca="false">IF(Returns!$O373=1,"",Returns!C373)</f>
        <v>0.0180213017848729</v>
      </c>
      <c r="D373" s="26" t="n">
        <f aca="false">IF(Returns!$O373=1,"",Returns!D373)</f>
        <v>0.0324523931901102</v>
      </c>
      <c r="E373" s="26" t="n">
        <f aca="false">IF(Returns!$O373=1,"",Returns!E373)</f>
        <v>-0.00147728172939199</v>
      </c>
      <c r="F373" s="26" t="n">
        <f aca="false">IF(Returns!$O373=1,"",Returns!F373)</f>
        <v>-0.0260585922662293</v>
      </c>
      <c r="G373" s="26" t="n">
        <f aca="false">IF(Returns!$O373=1,"",Returns!G373)</f>
        <v>0.0470126836434868</v>
      </c>
      <c r="H373" s="26" t="n">
        <f aca="false">IF(Returns!$O373=1,"",Returns!H373)</f>
        <v>0.00765076542082643</v>
      </c>
      <c r="I373" s="26" t="n">
        <f aca="false">IF(Returns!$O373=1,"",Returns!I373)</f>
        <v>0.0377241346700381</v>
      </c>
      <c r="J373" s="26" t="n">
        <f aca="false">IF(Returns!$O373=1,"",Returns!J373)</f>
        <v>0.0136556543227224</v>
      </c>
      <c r="K373" s="26" t="str">
        <f aca="false">IF(Returns!$O373=1,Returns!B373,"")</f>
        <v/>
      </c>
      <c r="L373" s="26" t="str">
        <f aca="false">IF(Returns!$O373=1,Returns!C373,"")</f>
        <v/>
      </c>
      <c r="M373" s="26" t="str">
        <f aca="false">IF(Returns!$O373=1,Returns!D373,"")</f>
        <v/>
      </c>
      <c r="N373" s="26" t="str">
        <f aca="false">IF(Returns!$O373=1,Returns!E373,"")</f>
        <v/>
      </c>
      <c r="O373" s="26" t="str">
        <f aca="false">IF(Returns!$O373=1,Returns!F373,"")</f>
        <v/>
      </c>
      <c r="P373" s="26" t="str">
        <f aca="false">IF(Returns!$O373=1,Returns!G373,"")</f>
        <v/>
      </c>
      <c r="Q373" s="26" t="str">
        <f aca="false">IF(Returns!$O373=1,Returns!H373,"")</f>
        <v/>
      </c>
      <c r="R373" s="26" t="str">
        <f aca="false">IF(Returns!$O373=1,Returns!I373,"")</f>
        <v/>
      </c>
      <c r="S373" s="26" t="str">
        <f aca="false">IF(Returns!$O373=1,Returns!J373,"")</f>
        <v/>
      </c>
      <c r="T373" s="26" t="n">
        <f aca="false">IF(Returns!$O373=1,"",Returns!K373)</f>
        <v>0.0226873901212478</v>
      </c>
    </row>
    <row r="374" customFormat="false" ht="15" hidden="false" customHeight="false" outlineLevel="0" collapsed="false">
      <c r="A374" s="25" t="n">
        <f aca="false">Returns!A374</f>
        <v>44263</v>
      </c>
      <c r="B374" s="26" t="n">
        <f aca="false">IF(Returns!$O374=1,"",Returns!B374)</f>
        <v>-0.0780990846757316</v>
      </c>
      <c r="C374" s="26" t="n">
        <f aca="false">IF(Returns!$O374=1,"",Returns!C374)</f>
        <v>-0.0672685077004778</v>
      </c>
      <c r="D374" s="26" t="n">
        <f aca="false">IF(Returns!$O374=1,"",Returns!D374)</f>
        <v>-0.0437459804359694</v>
      </c>
      <c r="E374" s="26" t="n">
        <f aca="false">IF(Returns!$O374=1,"",Returns!E374)</f>
        <v>-0.0938682033908203</v>
      </c>
      <c r="F374" s="26" t="n">
        <f aca="false">IF(Returns!$O374=1,"",Returns!F374)</f>
        <v>-0.068979933110368</v>
      </c>
      <c r="G374" s="26" t="n">
        <f aca="false">IF(Returns!$O374=1,"",Returns!G374)</f>
        <v>-0.0411599177343274</v>
      </c>
      <c r="H374" s="26" t="n">
        <f aca="false">IF(Returns!$O374=1,"",Returns!H374)</f>
        <v>-0.0576149646098688</v>
      </c>
      <c r="I374" s="26" t="n">
        <f aca="false">IF(Returns!$O374=1,"",Returns!I374)</f>
        <v>-0.0500595764516855</v>
      </c>
      <c r="J374" s="26" t="n">
        <f aca="false">IF(Returns!$O374=1,"",Returns!J374)</f>
        <v>-0.00538869379691331</v>
      </c>
      <c r="K374" s="26" t="str">
        <f aca="false">IF(Returns!$O374=1,Returns!B374,"")</f>
        <v/>
      </c>
      <c r="L374" s="26" t="str">
        <f aca="false">IF(Returns!$O374=1,Returns!C374,"")</f>
        <v/>
      </c>
      <c r="M374" s="26" t="str">
        <f aca="false">IF(Returns!$O374=1,Returns!D374,"")</f>
        <v/>
      </c>
      <c r="N374" s="26" t="str">
        <f aca="false">IF(Returns!$O374=1,Returns!E374,"")</f>
        <v/>
      </c>
      <c r="O374" s="26" t="str">
        <f aca="false">IF(Returns!$O374=1,Returns!F374,"")</f>
        <v/>
      </c>
      <c r="P374" s="26" t="str">
        <f aca="false">IF(Returns!$O374=1,Returns!G374,"")</f>
        <v/>
      </c>
      <c r="Q374" s="26" t="str">
        <f aca="false">IF(Returns!$O374=1,Returns!H374,"")</f>
        <v/>
      </c>
      <c r="R374" s="26" t="str">
        <f aca="false">IF(Returns!$O374=1,Returns!I374,"")</f>
        <v/>
      </c>
      <c r="S374" s="26" t="str">
        <f aca="false">IF(Returns!$O374=1,Returns!J374,"")</f>
        <v/>
      </c>
      <c r="T374" s="26" t="n">
        <f aca="false">IF(Returns!$O374=1,"",Returns!K374)</f>
        <v>-0.056242762434018</v>
      </c>
    </row>
    <row r="375" customFormat="false" ht="15" hidden="false" customHeight="false" outlineLevel="0" collapsed="false">
      <c r="A375" s="25" t="n">
        <f aca="false">Returns!A375</f>
        <v>44264</v>
      </c>
      <c r="B375" s="26" t="n">
        <f aca="false">IF(Returns!$O375=1,"",Returns!B375)</f>
        <v>-0.0233554861338379</v>
      </c>
      <c r="C375" s="26" t="n">
        <f aca="false">IF(Returns!$O375=1,"",Returns!C375)</f>
        <v>0.0153728215838744</v>
      </c>
      <c r="D375" s="26" t="n">
        <f aca="false">IF(Returns!$O375=1,"",Returns!D375)</f>
        <v>0.0321924432395797</v>
      </c>
      <c r="E375" s="26" t="n">
        <f aca="false">IF(Returns!$O375=1,"",Returns!E375)</f>
        <v>0.00834548273485991</v>
      </c>
      <c r="F375" s="26" t="n">
        <f aca="false">IF(Returns!$O375=1,"",Returns!F375)</f>
        <v>-0.0570273911091154</v>
      </c>
      <c r="G375" s="26" t="n">
        <f aca="false">IF(Returns!$O375=1,"",Returns!G375)</f>
        <v>0.000487804878048781</v>
      </c>
      <c r="H375" s="26" t="n">
        <f aca="false">IF(Returns!$O375=1,"",Returns!H375)</f>
        <v>0.0232227488151657</v>
      </c>
      <c r="I375" s="26" t="n">
        <f aca="false">IF(Returns!$O375=1,"",Returns!I375)</f>
        <v>-0.0128607358467406</v>
      </c>
      <c r="J375" s="26" t="n">
        <f aca="false">IF(Returns!$O375=1,"",Returns!J375)</f>
        <v>-0.0100331094618864</v>
      </c>
      <c r="K375" s="26" t="str">
        <f aca="false">IF(Returns!$O375=1,Returns!B375,"")</f>
        <v/>
      </c>
      <c r="L375" s="26" t="str">
        <f aca="false">IF(Returns!$O375=1,Returns!C375,"")</f>
        <v/>
      </c>
      <c r="M375" s="26" t="str">
        <f aca="false">IF(Returns!$O375=1,Returns!D375,"")</f>
        <v/>
      </c>
      <c r="N375" s="26" t="str">
        <f aca="false">IF(Returns!$O375=1,Returns!E375,"")</f>
        <v/>
      </c>
      <c r="O375" s="26" t="str">
        <f aca="false">IF(Returns!$O375=1,Returns!F375,"")</f>
        <v/>
      </c>
      <c r="P375" s="26" t="str">
        <f aca="false">IF(Returns!$O375=1,Returns!G375,"")</f>
        <v/>
      </c>
      <c r="Q375" s="26" t="str">
        <f aca="false">IF(Returns!$O375=1,Returns!H375,"")</f>
        <v/>
      </c>
      <c r="R375" s="26" t="str">
        <f aca="false">IF(Returns!$O375=1,Returns!I375,"")</f>
        <v/>
      </c>
      <c r="S375" s="26" t="str">
        <f aca="false">IF(Returns!$O375=1,Returns!J375,"")</f>
        <v/>
      </c>
      <c r="T375" s="26" t="n">
        <f aca="false">IF(Returns!$O375=1,"",Returns!K375)</f>
        <v>-0.00262838014445019</v>
      </c>
    </row>
    <row r="376" customFormat="false" ht="15" hidden="false" customHeight="false" outlineLevel="0" collapsed="false">
      <c r="A376" s="25" t="n">
        <f aca="false">Returns!A376</f>
        <v>44265</v>
      </c>
      <c r="B376" s="26" t="n">
        <f aca="false">IF(Returns!$O376=1,"",Returns!B376)</f>
        <v>0.0239140094499506</v>
      </c>
      <c r="C376" s="26" t="n">
        <f aca="false">IF(Returns!$O376=1,"",Returns!C376)</f>
        <v>0.0338318156135937</v>
      </c>
      <c r="D376" s="26" t="n">
        <f aca="false">IF(Returns!$O376=1,"",Returns!D376)</f>
        <v>-0.0351280379227852</v>
      </c>
      <c r="E376" s="26" t="n">
        <f aca="false">IF(Returns!$O376=1,"",Returns!E376)</f>
        <v>0.0172723815303208</v>
      </c>
      <c r="F376" s="26" t="n">
        <f aca="false">IF(Returns!$O376=1,"",Returns!F376)</f>
        <v>0.0461904285714287</v>
      </c>
      <c r="G376" s="26" t="n">
        <f aca="false">IF(Returns!$O376=1,"",Returns!G376)</f>
        <v>0.0165772793759142</v>
      </c>
      <c r="H376" s="26" t="n">
        <f aca="false">IF(Returns!$O376=1,"",Returns!H376)</f>
        <v>0.0347383047707273</v>
      </c>
      <c r="I376" s="26" t="n">
        <f aca="false">IF(Returns!$O376=1,"",Returns!I376)</f>
        <v>0.0123927563539472</v>
      </c>
      <c r="J376" s="26" t="n">
        <f aca="false">IF(Returns!$O376=1,"",Returns!J376)</f>
        <v>-0.0154048447431813</v>
      </c>
      <c r="K376" s="26" t="str">
        <f aca="false">IF(Returns!$O376=1,Returns!B376,"")</f>
        <v/>
      </c>
      <c r="L376" s="26" t="str">
        <f aca="false">IF(Returns!$O376=1,Returns!C376,"")</f>
        <v/>
      </c>
      <c r="M376" s="26" t="str">
        <f aca="false">IF(Returns!$O376=1,Returns!D376,"")</f>
        <v/>
      </c>
      <c r="N376" s="26" t="str">
        <f aca="false">IF(Returns!$O376=1,Returns!E376,"")</f>
        <v/>
      </c>
      <c r="O376" s="26" t="str">
        <f aca="false">IF(Returns!$O376=1,Returns!F376,"")</f>
        <v/>
      </c>
      <c r="P376" s="26" t="str">
        <f aca="false">IF(Returns!$O376=1,Returns!G376,"")</f>
        <v/>
      </c>
      <c r="Q376" s="26" t="str">
        <f aca="false">IF(Returns!$O376=1,Returns!H376,"")</f>
        <v/>
      </c>
      <c r="R376" s="26" t="str">
        <f aca="false">IF(Returns!$O376=1,Returns!I376,"")</f>
        <v/>
      </c>
      <c r="S376" s="26" t="str">
        <f aca="false">IF(Returns!$O376=1,Returns!J376,"")</f>
        <v/>
      </c>
      <c r="T376" s="26" t="n">
        <f aca="false">IF(Returns!$O376=1,"",Returns!K376)</f>
        <v>0.0149315658888796</v>
      </c>
    </row>
    <row r="377" customFormat="false" ht="15" hidden="false" customHeight="false" outlineLevel="0" collapsed="false">
      <c r="A377" s="25" t="n">
        <f aca="false">Returns!A377</f>
        <v>44266</v>
      </c>
      <c r="B377" s="26" t="n">
        <f aca="false">IF(Returns!$O377=1,"",Returns!B377)</f>
        <v>0.0222498614946123</v>
      </c>
      <c r="C377" s="26" t="n">
        <f aca="false">IF(Returns!$O377=1,"",Returns!C377)</f>
        <v>0.0251311164393822</v>
      </c>
      <c r="D377" s="26" t="n">
        <f aca="false">IF(Returns!$O377=1,"",Returns!D377)</f>
        <v>-0.0142905755117582</v>
      </c>
      <c r="E377" s="26" t="n">
        <f aca="false">IF(Returns!$O377=1,"",Returns!E377)</f>
        <v>0.0532366103070994</v>
      </c>
      <c r="F377" s="26" t="n">
        <f aca="false">IF(Returns!$O377=1,"",Returns!F377)</f>
        <v>0.0227583078178566</v>
      </c>
      <c r="G377" s="26" t="n">
        <f aca="false">IF(Returns!$O377=1,"",Returns!G377)</f>
        <v>0.0709832134292565</v>
      </c>
      <c r="H377" s="26" t="n">
        <f aca="false">IF(Returns!$O377=1,"",Returns!H377)</f>
        <v>0.0425246642793196</v>
      </c>
      <c r="I377" s="26" t="n">
        <f aca="false">IF(Returns!$O377=1,"",Returns!I377)</f>
        <v>0.00219710321482247</v>
      </c>
      <c r="J377" s="26" t="n">
        <f aca="false">IF(Returns!$O377=1,"",Returns!J377)</f>
        <v>0.0262480179876887</v>
      </c>
      <c r="K377" s="26" t="str">
        <f aca="false">IF(Returns!$O377=1,Returns!B377,"")</f>
        <v/>
      </c>
      <c r="L377" s="26" t="str">
        <f aca="false">IF(Returns!$O377=1,Returns!C377,"")</f>
        <v/>
      </c>
      <c r="M377" s="26" t="str">
        <f aca="false">IF(Returns!$O377=1,Returns!D377,"")</f>
        <v/>
      </c>
      <c r="N377" s="26" t="str">
        <f aca="false">IF(Returns!$O377=1,Returns!E377,"")</f>
        <v/>
      </c>
      <c r="O377" s="26" t="str">
        <f aca="false">IF(Returns!$O377=1,Returns!F377,"")</f>
        <v/>
      </c>
      <c r="P377" s="26" t="str">
        <f aca="false">IF(Returns!$O377=1,Returns!G377,"")</f>
        <v/>
      </c>
      <c r="Q377" s="26" t="str">
        <f aca="false">IF(Returns!$O377=1,Returns!H377,"")</f>
        <v/>
      </c>
      <c r="R377" s="26" t="str">
        <f aca="false">IF(Returns!$O377=1,Returns!I377,"")</f>
        <v/>
      </c>
      <c r="S377" s="26" t="str">
        <f aca="false">IF(Returns!$O377=1,Returns!J377,"")</f>
        <v/>
      </c>
      <c r="T377" s="26" t="n">
        <f aca="false">IF(Returns!$O377=1,"",Returns!K377)</f>
        <v>0.0278931466064755</v>
      </c>
    </row>
    <row r="378" customFormat="false" ht="15" hidden="false" customHeight="false" outlineLevel="0" collapsed="false">
      <c r="A378" s="25" t="n">
        <f aca="false">Returns!A378</f>
        <v>44267</v>
      </c>
      <c r="B378" s="26" t="n">
        <f aca="false">IF(Returns!$O378=1,"",Returns!B378)</f>
        <v>-0.0132486546809699</v>
      </c>
      <c r="C378" s="26" t="n">
        <f aca="false">IF(Returns!$O378=1,"",Returns!C378)</f>
        <v>-0.0239858730158729</v>
      </c>
      <c r="D378" s="26" t="n">
        <f aca="false">IF(Returns!$O378=1,"",Returns!D378)</f>
        <v>0.0148429760042448</v>
      </c>
      <c r="E378" s="26" t="n">
        <f aca="false">IF(Returns!$O378=1,"",Returns!E378)</f>
        <v>-0.000839613784040516</v>
      </c>
      <c r="F378" s="26" t="n">
        <f aca="false">IF(Returns!$O378=1,"",Returns!F378)</f>
        <v>-0.0356029833379165</v>
      </c>
      <c r="G378" s="26" t="n">
        <f aca="false">IF(Returns!$O378=1,"",Returns!G378)</f>
        <v>0.0394088222122706</v>
      </c>
      <c r="H378" s="26" t="n">
        <f aca="false">IF(Returns!$O378=1,"",Returns!H378)</f>
        <v>-0.00515246864952901</v>
      </c>
      <c r="I378" s="26" t="n">
        <f aca="false">IF(Returns!$O378=1,"",Returns!I378)</f>
        <v>-0.00125275414112125</v>
      </c>
      <c r="J378" s="26" t="n">
        <f aca="false">IF(Returns!$O378=1,"",Returns!J378)</f>
        <v>-0.0230691581665744</v>
      </c>
      <c r="K378" s="26" t="str">
        <f aca="false">IF(Returns!$O378=1,Returns!B378,"")</f>
        <v/>
      </c>
      <c r="L378" s="26" t="str">
        <f aca="false">IF(Returns!$O378=1,Returns!C378,"")</f>
        <v/>
      </c>
      <c r="M378" s="26" t="str">
        <f aca="false">IF(Returns!$O378=1,Returns!D378,"")</f>
        <v/>
      </c>
      <c r="N378" s="26" t="str">
        <f aca="false">IF(Returns!$O378=1,Returns!E378,"")</f>
        <v/>
      </c>
      <c r="O378" s="26" t="str">
        <f aca="false">IF(Returns!$O378=1,Returns!F378,"")</f>
        <v/>
      </c>
      <c r="P378" s="26" t="str">
        <f aca="false">IF(Returns!$O378=1,Returns!G378,"")</f>
        <v/>
      </c>
      <c r="Q378" s="26" t="str">
        <f aca="false">IF(Returns!$O378=1,Returns!H378,"")</f>
        <v/>
      </c>
      <c r="R378" s="26" t="str">
        <f aca="false">IF(Returns!$O378=1,Returns!I378,"")</f>
        <v/>
      </c>
      <c r="S378" s="26" t="str">
        <f aca="false">IF(Returns!$O378=1,Returns!J378,"")</f>
        <v/>
      </c>
      <c r="T378" s="26" t="n">
        <f aca="false">IF(Returns!$O378=1,"",Returns!K378)</f>
        <v>-0.00543330083994545</v>
      </c>
    </row>
    <row r="379" customFormat="false" ht="15" hidden="false" customHeight="false" outlineLevel="0" collapsed="false">
      <c r="A379" s="25" t="n">
        <f aca="false">Returns!A379</f>
        <v>44270</v>
      </c>
      <c r="B379" s="26" t="n">
        <f aca="false">IF(Returns!$O379=1,"",Returns!B379)</f>
        <v>0.00794632163162956</v>
      </c>
      <c r="C379" s="26" t="n">
        <f aca="false">IF(Returns!$O379=1,"",Returns!C379)</f>
        <v>-0.0278280623811338</v>
      </c>
      <c r="D379" s="26" t="n">
        <f aca="false">IF(Returns!$O379=1,"",Returns!D379)</f>
        <v>-0.0350339795918367</v>
      </c>
      <c r="E379" s="26" t="n">
        <f aca="false">IF(Returns!$O379=1,"",Returns!E379)</f>
        <v>-0.002689075630252</v>
      </c>
      <c r="F379" s="26" t="n">
        <f aca="false">IF(Returns!$O379=1,"",Returns!F379)</f>
        <v>0.0239963544070141</v>
      </c>
      <c r="G379" s="26" t="n">
        <f aca="false">IF(Returns!$O379=1,"",Returns!G379)</f>
        <v>0.0176648865861648</v>
      </c>
      <c r="H379" s="26" t="n">
        <f aca="false">IF(Returns!$O379=1,"",Returns!H379)</f>
        <v>0.0207164436771685</v>
      </c>
      <c r="I379" s="26" t="n">
        <f aca="false">IF(Returns!$O379=1,"",Returns!I379)</f>
        <v>0.0253998586522803</v>
      </c>
      <c r="J379" s="26" t="n">
        <f aca="false">IF(Returns!$O379=1,"",Returns!J379)</f>
        <v>-0.00595484587361717</v>
      </c>
      <c r="K379" s="26" t="str">
        <f aca="false">IF(Returns!$O379=1,Returns!B379,"")</f>
        <v/>
      </c>
      <c r="L379" s="26" t="str">
        <f aca="false">IF(Returns!$O379=1,Returns!C379,"")</f>
        <v/>
      </c>
      <c r="M379" s="26" t="str">
        <f aca="false">IF(Returns!$O379=1,Returns!D379,"")</f>
        <v/>
      </c>
      <c r="N379" s="26" t="str">
        <f aca="false">IF(Returns!$O379=1,Returns!E379,"")</f>
        <v/>
      </c>
      <c r="O379" s="26" t="str">
        <f aca="false">IF(Returns!$O379=1,Returns!F379,"")</f>
        <v/>
      </c>
      <c r="P379" s="26" t="str">
        <f aca="false">IF(Returns!$O379=1,Returns!G379,"")</f>
        <v/>
      </c>
      <c r="Q379" s="26" t="str">
        <f aca="false">IF(Returns!$O379=1,Returns!H379,"")</f>
        <v/>
      </c>
      <c r="R379" s="26" t="str">
        <f aca="false">IF(Returns!$O379=1,Returns!I379,"")</f>
        <v/>
      </c>
      <c r="S379" s="26" t="str">
        <f aca="false">IF(Returns!$O379=1,Returns!J379,"")</f>
        <v/>
      </c>
      <c r="T379" s="26" t="n">
        <f aca="false">IF(Returns!$O379=1,"",Returns!K379)</f>
        <v>0.00269087794193529</v>
      </c>
    </row>
    <row r="380" customFormat="false" ht="15" hidden="false" customHeight="false" outlineLevel="0" collapsed="false">
      <c r="A380" s="25" t="n">
        <f aca="false">Returns!A380</f>
        <v>44271</v>
      </c>
      <c r="B380" s="26" t="n">
        <f aca="false">IF(Returns!$O380=1,"",Returns!B380)</f>
        <v>-0.00312632866657592</v>
      </c>
      <c r="C380" s="26" t="n">
        <f aca="false">IF(Returns!$O380=1,"",Returns!C380)</f>
        <v>-0.0250928271444482</v>
      </c>
      <c r="D380" s="26" t="n">
        <f aca="false">IF(Returns!$O380=1,"",Returns!D380)</f>
        <v>0.0437081408633013</v>
      </c>
      <c r="E380" s="26" t="n">
        <f aca="false">IF(Returns!$O380=1,"",Returns!E380)</f>
        <v>-0.0225817323896192</v>
      </c>
      <c r="F380" s="26" t="n">
        <f aca="false">IF(Returns!$O380=1,"",Returns!F380)</f>
        <v>0.00766110826223043</v>
      </c>
      <c r="G380" s="26" t="n">
        <f aca="false">IF(Returns!$O380=1,"",Returns!G380)</f>
        <v>-0.0402201930474091</v>
      </c>
      <c r="H380" s="26" t="n">
        <f aca="false">IF(Returns!$O380=1,"",Returns!H380)</f>
        <v>-0.0156447780126849</v>
      </c>
      <c r="I380" s="26" t="n">
        <f aca="false">IF(Returns!$O380=1,"",Returns!I380)</f>
        <v>-0.00275229131681576</v>
      </c>
      <c r="J380" s="26" t="n">
        <f aca="false">IF(Returns!$O380=1,"",Returns!J380)</f>
        <v>-0.00320179714934921</v>
      </c>
      <c r="K380" s="26" t="str">
        <f aca="false">IF(Returns!$O380=1,Returns!B380,"")</f>
        <v/>
      </c>
      <c r="L380" s="26" t="str">
        <f aca="false">IF(Returns!$O380=1,Returns!C380,"")</f>
        <v/>
      </c>
      <c r="M380" s="26" t="str">
        <f aca="false">IF(Returns!$O380=1,Returns!D380,"")</f>
        <v/>
      </c>
      <c r="N380" s="26" t="str">
        <f aca="false">IF(Returns!$O380=1,Returns!E380,"")</f>
        <v/>
      </c>
      <c r="O380" s="26" t="str">
        <f aca="false">IF(Returns!$O380=1,Returns!F380,"")</f>
        <v/>
      </c>
      <c r="P380" s="26" t="str">
        <f aca="false">IF(Returns!$O380=1,Returns!G380,"")</f>
        <v/>
      </c>
      <c r="Q380" s="26" t="str">
        <f aca="false">IF(Returns!$O380=1,Returns!H380,"")</f>
        <v/>
      </c>
      <c r="R380" s="26" t="str">
        <f aca="false">IF(Returns!$O380=1,Returns!I380,"")</f>
        <v/>
      </c>
      <c r="S380" s="26" t="str">
        <f aca="false">IF(Returns!$O380=1,Returns!J380,"")</f>
        <v/>
      </c>
      <c r="T380" s="26" t="n">
        <f aca="false">IF(Returns!$O380=1,"",Returns!K380)</f>
        <v>-0.00680563317793006</v>
      </c>
    </row>
    <row r="381" customFormat="false" ht="15" hidden="false" customHeight="false" outlineLevel="0" collapsed="false">
      <c r="A381" s="25" t="n">
        <f aca="false">Returns!A381</f>
        <v>44272</v>
      </c>
      <c r="B381" s="26" t="n">
        <f aca="false">IF(Returns!$O381=1,"",Returns!B381)</f>
        <v>0.0152713807074656</v>
      </c>
      <c r="C381" s="26" t="n">
        <f aca="false">IF(Returns!$O381=1,"",Returns!C381)</f>
        <v>0.00953284997014858</v>
      </c>
      <c r="D381" s="26" t="n">
        <f aca="false">IF(Returns!$O381=1,"",Returns!D381)</f>
        <v>-0.00168868619761275</v>
      </c>
      <c r="E381" s="26" t="n">
        <f aca="false">IF(Returns!$O381=1,"",Returns!E381)</f>
        <v>0.0306896379310344</v>
      </c>
      <c r="F381" s="26" t="n">
        <f aca="false">IF(Returns!$O381=1,"",Returns!F381)</f>
        <v>0.0129695432482315</v>
      </c>
      <c r="G381" s="26" t="n">
        <f aca="false">IF(Returns!$O381=1,"",Returns!G381)</f>
        <v>0.0123511689457432</v>
      </c>
      <c r="H381" s="26" t="n">
        <f aca="false">IF(Returns!$O381=1,"",Returns!H381)</f>
        <v>0.0343642167369322</v>
      </c>
      <c r="I381" s="26" t="n">
        <f aca="false">IF(Returns!$O381=1,"",Returns!I381)</f>
        <v>0.0877031115811824</v>
      </c>
      <c r="J381" s="26" t="n">
        <f aca="false">IF(Returns!$O381=1,"",Returns!J381)</f>
        <v>0.0144026522763931</v>
      </c>
      <c r="K381" s="26" t="str">
        <f aca="false">IF(Returns!$O381=1,Returns!B381,"")</f>
        <v/>
      </c>
      <c r="L381" s="26" t="str">
        <f aca="false">IF(Returns!$O381=1,Returns!C381,"")</f>
        <v/>
      </c>
      <c r="M381" s="26" t="str">
        <f aca="false">IF(Returns!$O381=1,Returns!D381,"")</f>
        <v/>
      </c>
      <c r="N381" s="26" t="str">
        <f aca="false">IF(Returns!$O381=1,Returns!E381,"")</f>
        <v/>
      </c>
      <c r="O381" s="26" t="str">
        <f aca="false">IF(Returns!$O381=1,Returns!F381,"")</f>
        <v/>
      </c>
      <c r="P381" s="26" t="str">
        <f aca="false">IF(Returns!$O381=1,Returns!G381,"")</f>
        <v/>
      </c>
      <c r="Q381" s="26" t="str">
        <f aca="false">IF(Returns!$O381=1,Returns!H381,"")</f>
        <v/>
      </c>
      <c r="R381" s="26" t="str">
        <f aca="false">IF(Returns!$O381=1,Returns!I381,"")</f>
        <v/>
      </c>
      <c r="S381" s="26" t="str">
        <f aca="false">IF(Returns!$O381=1,Returns!J381,"")</f>
        <v/>
      </c>
      <c r="T381" s="26" t="n">
        <f aca="false">IF(Returns!$O381=1,"",Returns!K381)</f>
        <v>0.0239550972443909</v>
      </c>
    </row>
    <row r="382" customFormat="false" ht="15" hidden="false" customHeight="false" outlineLevel="0" collapsed="false">
      <c r="A382" s="25" t="n">
        <f aca="false">Returns!A382</f>
        <v>44273</v>
      </c>
      <c r="B382" s="26" t="n">
        <f aca="false">IF(Returns!$O382=1,"",Returns!B382)</f>
        <v>-0.0200107174323223</v>
      </c>
      <c r="C382" s="26" t="n">
        <f aca="false">IF(Returns!$O382=1,"",Returns!C382)</f>
        <v>0.0147308781869688</v>
      </c>
      <c r="D382" s="26" t="n">
        <f aca="false">IF(Returns!$O382=1,"",Returns!D382)</f>
        <v>-0.0328145816243093</v>
      </c>
      <c r="E382" s="26" t="n">
        <f aca="false">IF(Returns!$O382=1,"",Returns!E382)</f>
        <v>-0.0339578292732992</v>
      </c>
      <c r="F382" s="26" t="n">
        <f aca="false">IF(Returns!$O382=1,"",Returns!F382)</f>
        <v>-0.0419425607064017</v>
      </c>
      <c r="G382" s="26" t="n">
        <f aca="false">IF(Returns!$O382=1,"",Returns!G382)</f>
        <v>-0.0283225259990185</v>
      </c>
      <c r="H382" s="26" t="n">
        <f aca="false">IF(Returns!$O382=1,"",Returns!H382)</f>
        <v>-0.0348837209302325</v>
      </c>
      <c r="I382" s="26" t="n">
        <f aca="false">IF(Returns!$O382=1,"",Returns!I382)</f>
        <v>0.0256555564930019</v>
      </c>
      <c r="J382" s="26" t="n">
        <f aca="false">IF(Returns!$O382=1,"",Returns!J382)</f>
        <v>-0.0177732172058587</v>
      </c>
      <c r="K382" s="26" t="str">
        <f aca="false">IF(Returns!$O382=1,Returns!B382,"")</f>
        <v/>
      </c>
      <c r="L382" s="26" t="str">
        <f aca="false">IF(Returns!$O382=1,Returns!C382,"")</f>
        <v/>
      </c>
      <c r="M382" s="26" t="str">
        <f aca="false">IF(Returns!$O382=1,Returns!D382,"")</f>
        <v/>
      </c>
      <c r="N382" s="26" t="str">
        <f aca="false">IF(Returns!$O382=1,Returns!E382,"")</f>
        <v/>
      </c>
      <c r="O382" s="26" t="str">
        <f aca="false">IF(Returns!$O382=1,Returns!F382,"")</f>
        <v/>
      </c>
      <c r="P382" s="26" t="str">
        <f aca="false">IF(Returns!$O382=1,Returns!G382,"")</f>
        <v/>
      </c>
      <c r="Q382" s="26" t="str">
        <f aca="false">IF(Returns!$O382=1,Returns!H382,"")</f>
        <v/>
      </c>
      <c r="R382" s="26" t="str">
        <f aca="false">IF(Returns!$O382=1,Returns!I382,"")</f>
        <v/>
      </c>
      <c r="S382" s="26" t="str">
        <f aca="false">IF(Returns!$O382=1,Returns!J382,"")</f>
        <v/>
      </c>
      <c r="T382" s="26" t="n">
        <f aca="false">IF(Returns!$O382=1,"",Returns!K382)</f>
        <v>-0.0188131909434968</v>
      </c>
    </row>
    <row r="383" customFormat="false" ht="15" hidden="false" customHeight="false" outlineLevel="0" collapsed="false">
      <c r="A383" s="25" t="n">
        <f aca="false">Returns!A383</f>
        <v>44274</v>
      </c>
      <c r="B383" s="26" t="n">
        <f aca="false">IF(Returns!$O383=1,"",Returns!B383)</f>
        <v>-0.00191858295301384</v>
      </c>
      <c r="C383" s="26" t="n">
        <f aca="false">IF(Returns!$O383=1,"",Returns!C383)</f>
        <v>0.0355480178671135</v>
      </c>
      <c r="D383" s="26" t="n">
        <f aca="false">IF(Returns!$O383=1,"",Returns!D383)</f>
        <v>-0.0108429171038825</v>
      </c>
      <c r="E383" s="26" t="n">
        <f aca="false">IF(Returns!$O383=1,"",Returns!E383)</f>
        <v>0.0268398095238096</v>
      </c>
      <c r="F383" s="26" t="n">
        <f aca="false">IF(Returns!$O383=1,"",Returns!F383)</f>
        <v>0.0202764045955575</v>
      </c>
      <c r="G383" s="26" t="n">
        <f aca="false">IF(Returns!$O383=1,"",Returns!G383)</f>
        <v>0.0497758318285126</v>
      </c>
      <c r="H383" s="26" t="n">
        <f aca="false">IF(Returns!$O383=1,"",Returns!H383)</f>
        <v>0.0327022375215147</v>
      </c>
      <c r="I383" s="26" t="n">
        <f aca="false">IF(Returns!$O383=1,"",Returns!I383)</f>
        <v>0.0797140963677889</v>
      </c>
      <c r="J383" s="26" t="n">
        <f aca="false">IF(Returns!$O383=1,"",Returns!J383)</f>
        <v>-0.0143511329304853</v>
      </c>
      <c r="K383" s="26" t="str">
        <f aca="false">IF(Returns!$O383=1,Returns!B383,"")</f>
        <v/>
      </c>
      <c r="L383" s="26" t="str">
        <f aca="false">IF(Returns!$O383=1,Returns!C383,"")</f>
        <v/>
      </c>
      <c r="M383" s="26" t="str">
        <f aca="false">IF(Returns!$O383=1,Returns!D383,"")</f>
        <v/>
      </c>
      <c r="N383" s="26" t="str">
        <f aca="false">IF(Returns!$O383=1,Returns!E383,"")</f>
        <v/>
      </c>
      <c r="O383" s="26" t="str">
        <f aca="false">IF(Returns!$O383=1,Returns!F383,"")</f>
        <v/>
      </c>
      <c r="P383" s="26" t="str">
        <f aca="false">IF(Returns!$O383=1,Returns!G383,"")</f>
        <v/>
      </c>
      <c r="Q383" s="26" t="str">
        <f aca="false">IF(Returns!$O383=1,Returns!H383,"")</f>
        <v/>
      </c>
      <c r="R383" s="26" t="str">
        <f aca="false">IF(Returns!$O383=1,Returns!I383,"")</f>
        <v/>
      </c>
      <c r="S383" s="26" t="str">
        <f aca="false">IF(Returns!$O383=1,Returns!J383,"")</f>
        <v/>
      </c>
      <c r="T383" s="26" t="n">
        <f aca="false">IF(Returns!$O383=1,"",Returns!K383)</f>
        <v>0.0241937516352128</v>
      </c>
    </row>
    <row r="384" customFormat="false" ht="15" hidden="false" customHeight="false" outlineLevel="0" collapsed="false">
      <c r="A384" s="25" t="n">
        <f aca="false">Returns!A384</f>
        <v>44277</v>
      </c>
      <c r="B384" s="26" t="n">
        <f aca="false">IF(Returns!$O384=1,"",Returns!B384)</f>
        <v>-0.00686530257132223</v>
      </c>
      <c r="C384" s="26" t="n">
        <f aca="false">IF(Returns!$O384=1,"",Returns!C384)</f>
        <v>-0.0111429736828698</v>
      </c>
      <c r="D384" s="26" t="n">
        <f aca="false">IF(Returns!$O384=1,"",Returns!D384)</f>
        <v>0.00636485126008313</v>
      </c>
      <c r="E384" s="26" t="n">
        <f aca="false">IF(Returns!$O384=1,"",Returns!E384)</f>
        <v>-0.0246205569075979</v>
      </c>
      <c r="F384" s="26" t="n">
        <f aca="false">IF(Returns!$O384=1,"",Returns!F384)</f>
        <v>0.00316169842645442</v>
      </c>
      <c r="G384" s="26" t="n">
        <f aca="false">IF(Returns!$O384=1,"",Returns!G384)</f>
        <v>-0.00341734301580532</v>
      </c>
      <c r="H384" s="26" t="n">
        <f aca="false">IF(Returns!$O384=1,"",Returns!H384)</f>
        <v>-0.02</v>
      </c>
      <c r="I384" s="26" t="n">
        <f aca="false">IF(Returns!$O384=1,"",Returns!I384)</f>
        <v>0.00101834110074894</v>
      </c>
      <c r="J384" s="26" t="n">
        <f aca="false">IF(Returns!$O384=1,"",Returns!J384)</f>
        <v>-0.0165646762667724</v>
      </c>
      <c r="K384" s="26" t="str">
        <f aca="false">IF(Returns!$O384=1,Returns!B384,"")</f>
        <v/>
      </c>
      <c r="L384" s="26" t="str">
        <f aca="false">IF(Returns!$O384=1,Returns!C384,"")</f>
        <v/>
      </c>
      <c r="M384" s="26" t="str">
        <f aca="false">IF(Returns!$O384=1,Returns!D384,"")</f>
        <v/>
      </c>
      <c r="N384" s="26" t="str">
        <f aca="false">IF(Returns!$O384=1,Returns!E384,"")</f>
        <v/>
      </c>
      <c r="O384" s="26" t="str">
        <f aca="false">IF(Returns!$O384=1,Returns!F384,"")</f>
        <v/>
      </c>
      <c r="P384" s="26" t="str">
        <f aca="false">IF(Returns!$O384=1,Returns!G384,"")</f>
        <v/>
      </c>
      <c r="Q384" s="26" t="str">
        <f aca="false">IF(Returns!$O384=1,Returns!H384,"")</f>
        <v/>
      </c>
      <c r="R384" s="26" t="str">
        <f aca="false">IF(Returns!$O384=1,Returns!I384,"")</f>
        <v/>
      </c>
      <c r="S384" s="26" t="str">
        <f aca="false">IF(Returns!$O384=1,Returns!J384,"")</f>
        <v/>
      </c>
      <c r="T384" s="26" t="n">
        <f aca="false">IF(Returns!$O384=1,"",Returns!K384)</f>
        <v>-0.00800732907300901</v>
      </c>
    </row>
    <row r="385" customFormat="false" ht="15" hidden="false" customHeight="false" outlineLevel="0" collapsed="false">
      <c r="A385" s="25" t="n">
        <f aca="false">Returns!A385</f>
        <v>44278</v>
      </c>
      <c r="B385" s="26" t="n">
        <f aca="false">IF(Returns!$O385=1,"",Returns!B385)</f>
        <v>0.0152080460332356</v>
      </c>
      <c r="C385" s="26" t="n">
        <f aca="false">IF(Returns!$O385=1,"",Returns!C385)</f>
        <v>-0.0154490185387133</v>
      </c>
      <c r="D385" s="26" t="n">
        <f aca="false">IF(Returns!$O385=1,"",Returns!D385)</f>
        <v>0.00210825727717001</v>
      </c>
      <c r="E385" s="26" t="n">
        <f aca="false">IF(Returns!$O385=1,"",Returns!E385)</f>
        <v>-0.0223029218533887</v>
      </c>
      <c r="F385" s="26" t="n">
        <f aca="false">IF(Returns!$O385=1,"",Returns!F385)</f>
        <v>-0.00990540341762292</v>
      </c>
      <c r="G385" s="26" t="n">
        <f aca="false">IF(Returns!$O385=1,"",Returns!G385)</f>
        <v>0.00900132876125159</v>
      </c>
      <c r="H385" s="26" t="n">
        <f aca="false">IF(Returns!$O385=1,"",Returns!H385)</f>
        <v>-0.030612287414966</v>
      </c>
      <c r="I385" s="26" t="n">
        <f aca="false">IF(Returns!$O385=1,"",Returns!I385)</f>
        <v>0.00381486729427105</v>
      </c>
      <c r="J385" s="26" t="n">
        <f aca="false">IF(Returns!$O385=1,"",Returns!J385)</f>
        <v>-0.0230662055902393</v>
      </c>
      <c r="K385" s="26" t="str">
        <f aca="false">IF(Returns!$O385=1,Returns!B385,"")</f>
        <v/>
      </c>
      <c r="L385" s="26" t="str">
        <f aca="false">IF(Returns!$O385=1,Returns!C385,"")</f>
        <v/>
      </c>
      <c r="M385" s="26" t="str">
        <f aca="false">IF(Returns!$O385=1,Returns!D385,"")</f>
        <v/>
      </c>
      <c r="N385" s="26" t="str">
        <f aca="false">IF(Returns!$O385=1,Returns!E385,"")</f>
        <v/>
      </c>
      <c r="O385" s="26" t="str">
        <f aca="false">IF(Returns!$O385=1,Returns!F385,"")</f>
        <v/>
      </c>
      <c r="P385" s="26" t="str">
        <f aca="false">IF(Returns!$O385=1,Returns!G385,"")</f>
        <v/>
      </c>
      <c r="Q385" s="26" t="str">
        <f aca="false">IF(Returns!$O385=1,Returns!H385,"")</f>
        <v/>
      </c>
      <c r="R385" s="26" t="str">
        <f aca="false">IF(Returns!$O385=1,Returns!I385,"")</f>
        <v/>
      </c>
      <c r="S385" s="26" t="str">
        <f aca="false">IF(Returns!$O385=1,Returns!J385,"")</f>
        <v/>
      </c>
      <c r="T385" s="26" t="n">
        <f aca="false">IF(Returns!$O385=1,"",Returns!K385)</f>
        <v>-0.007911481938778</v>
      </c>
    </row>
    <row r="386" customFormat="false" ht="15" hidden="false" customHeight="false" outlineLevel="0" collapsed="false">
      <c r="A386" s="25" t="n">
        <f aca="false">Returns!A386</f>
        <v>44279</v>
      </c>
      <c r="B386" s="26" t="n">
        <f aca="false">IF(Returns!$O386=1,"",Returns!B386)</f>
        <v>-0.0592400653683782</v>
      </c>
      <c r="C386" s="26" t="n">
        <f aca="false">IF(Returns!$O386=1,"",Returns!C386)</f>
        <v>-0.00701486127144735</v>
      </c>
      <c r="D386" s="26" t="n">
        <f aca="false">IF(Returns!$O386=1,"",Returns!D386)</f>
        <v>0.00631139551192139</v>
      </c>
      <c r="E386" s="26" t="n">
        <f aca="false">IF(Returns!$O386=1,"",Returns!E386)</f>
        <v>-0.0251104867393543</v>
      </c>
      <c r="F386" s="26" t="n">
        <f aca="false">IF(Returns!$O386=1,"",Returns!F386)</f>
        <v>-0.0250113233287858</v>
      </c>
      <c r="G386" s="26" t="n">
        <f aca="false">IF(Returns!$O386=1,"",Returns!G386)</f>
        <v>-0.00892102765841008</v>
      </c>
      <c r="H386" s="26" t="n">
        <f aca="false">IF(Returns!$O386=1,"",Returns!H386)</f>
        <v>0.000877236880580501</v>
      </c>
      <c r="I386" s="26" t="n">
        <f aca="false">IF(Returns!$O386=1,"",Returns!I386)</f>
        <v>-0.0377502266736877</v>
      </c>
      <c r="J386" s="26" t="n">
        <f aca="false">IF(Returns!$O386=1,"",Returns!J386)</f>
        <v>0.0229519442774424</v>
      </c>
      <c r="K386" s="26" t="str">
        <f aca="false">IF(Returns!$O386=1,Returns!B386,"")</f>
        <v/>
      </c>
      <c r="L386" s="26" t="str">
        <f aca="false">IF(Returns!$O386=1,Returns!C386,"")</f>
        <v/>
      </c>
      <c r="M386" s="26" t="str">
        <f aca="false">IF(Returns!$O386=1,Returns!D386,"")</f>
        <v/>
      </c>
      <c r="N386" s="26" t="str">
        <f aca="false">IF(Returns!$O386=1,Returns!E386,"")</f>
        <v/>
      </c>
      <c r="O386" s="26" t="str">
        <f aca="false">IF(Returns!$O386=1,Returns!F386,"")</f>
        <v/>
      </c>
      <c r="P386" s="26" t="str">
        <f aca="false">IF(Returns!$O386=1,Returns!G386,"")</f>
        <v/>
      </c>
      <c r="Q386" s="26" t="str">
        <f aca="false">IF(Returns!$O386=1,Returns!H386,"")</f>
        <v/>
      </c>
      <c r="R386" s="26" t="str">
        <f aca="false">IF(Returns!$O386=1,Returns!I386,"")</f>
        <v/>
      </c>
      <c r="S386" s="26" t="str">
        <f aca="false">IF(Returns!$O386=1,Returns!J386,"")</f>
        <v/>
      </c>
      <c r="T386" s="26" t="n">
        <f aca="false">IF(Returns!$O386=1,"",Returns!K386)</f>
        <v>-0.0147674904855688</v>
      </c>
    </row>
    <row r="387" customFormat="false" ht="15" hidden="false" customHeight="false" outlineLevel="0" collapsed="false">
      <c r="A387" s="25" t="n">
        <f aca="false">Returns!A387</f>
        <v>44280</v>
      </c>
      <c r="B387" s="26" t="n">
        <f aca="false">IF(Returns!$O387=1,"",Returns!B387)</f>
        <v>0.0108569771031564</v>
      </c>
      <c r="C387" s="26" t="n">
        <f aca="false">IF(Returns!$O387=1,"",Returns!C387)</f>
        <v>-0.000185945343000538</v>
      </c>
      <c r="D387" s="26" t="n">
        <f aca="false">IF(Returns!$O387=1,"",Returns!D387)</f>
        <v>-0.00522655034053832</v>
      </c>
      <c r="E387" s="26" t="n">
        <f aca="false">IF(Returns!$O387=1,"",Returns!E387)</f>
        <v>0.0302920001760929</v>
      </c>
      <c r="F387" s="26" t="n">
        <f aca="false">IF(Returns!$O387=1,"",Returns!F387)</f>
        <v>0.0149253257963935</v>
      </c>
      <c r="G387" s="26" t="n">
        <f aca="false">IF(Returns!$O387=1,"",Returns!G387)</f>
        <v>0.0141448778396915</v>
      </c>
      <c r="H387" s="26" t="n">
        <f aca="false">IF(Returns!$O387=1,"",Returns!H387)</f>
        <v>0.0166521034180542</v>
      </c>
      <c r="I387" s="26" t="n">
        <f aca="false">IF(Returns!$O387=1,"",Returns!I387)</f>
        <v>-0.0300158200196136</v>
      </c>
      <c r="J387" s="26" t="n">
        <f aca="false">IF(Returns!$O387=1,"",Returns!J387)</f>
        <v>-0.00762211470483909</v>
      </c>
      <c r="K387" s="26" t="str">
        <f aca="false">IF(Returns!$O387=1,Returns!B387,"")</f>
        <v/>
      </c>
      <c r="L387" s="26" t="str">
        <f aca="false">IF(Returns!$O387=1,Returns!C387,"")</f>
        <v/>
      </c>
      <c r="M387" s="26" t="str">
        <f aca="false">IF(Returns!$O387=1,Returns!D387,"")</f>
        <v/>
      </c>
      <c r="N387" s="26" t="str">
        <f aca="false">IF(Returns!$O387=1,Returns!E387,"")</f>
        <v/>
      </c>
      <c r="O387" s="26" t="str">
        <f aca="false">IF(Returns!$O387=1,Returns!F387,"")</f>
        <v/>
      </c>
      <c r="P387" s="26" t="str">
        <f aca="false">IF(Returns!$O387=1,Returns!G387,"")</f>
        <v/>
      </c>
      <c r="Q387" s="26" t="str">
        <f aca="false">IF(Returns!$O387=1,Returns!H387,"")</f>
        <v/>
      </c>
      <c r="R387" s="26" t="str">
        <f aca="false">IF(Returns!$O387=1,Returns!I387,"")</f>
        <v/>
      </c>
      <c r="S387" s="26" t="str">
        <f aca="false">IF(Returns!$O387=1,Returns!J387,"")</f>
        <v/>
      </c>
      <c r="T387" s="26" t="n">
        <f aca="false">IF(Returns!$O387=1,"",Returns!K387)</f>
        <v>0.00486898376948856</v>
      </c>
    </row>
    <row r="388" customFormat="false" ht="15" hidden="false" customHeight="false" outlineLevel="0" collapsed="false">
      <c r="A388" s="25" t="n">
        <f aca="false">Returns!A388</f>
        <v>44281</v>
      </c>
      <c r="B388" s="26" t="n">
        <f aca="false">IF(Returns!$O388=1,"",Returns!B388)</f>
        <v>0.00959470114292715</v>
      </c>
      <c r="C388" s="26" t="n">
        <f aca="false">IF(Returns!$O388=1,"",Returns!C388)</f>
        <v>0.00427664575219944</v>
      </c>
      <c r="D388" s="26" t="n">
        <f aca="false">IF(Returns!$O388=1,"",Returns!D388)</f>
        <v>-0.00140101581089369</v>
      </c>
      <c r="E388" s="26" t="n">
        <f aca="false">IF(Returns!$O388=1,"",Returns!E388)</f>
        <v>0.0110915670966825</v>
      </c>
      <c r="F388" s="26" t="n">
        <f aca="false">IF(Returns!$O388=1,"",Returns!F388)</f>
        <v>-0.00735294117647056</v>
      </c>
      <c r="G388" s="26" t="n">
        <f aca="false">IF(Returns!$O388=1,"",Returns!G388)</f>
        <v>0.000845308537616107</v>
      </c>
      <c r="H388" s="26" t="n">
        <f aca="false">IF(Returns!$O388=1,"",Returns!H388)</f>
        <v>0.0112068098617755</v>
      </c>
      <c r="I388" s="26" t="n">
        <f aca="false">IF(Returns!$O388=1,"",Returns!I388)</f>
        <v>-0.0108577963368637</v>
      </c>
      <c r="J388" s="26" t="n">
        <f aca="false">IF(Returns!$O388=1,"",Returns!J388)</f>
        <v>0.033427054664062</v>
      </c>
      <c r="K388" s="26" t="str">
        <f aca="false">IF(Returns!$O388=1,Returns!B388,"")</f>
        <v/>
      </c>
      <c r="L388" s="26" t="str">
        <f aca="false">IF(Returns!$O388=1,Returns!C388,"")</f>
        <v/>
      </c>
      <c r="M388" s="26" t="str">
        <f aca="false">IF(Returns!$O388=1,Returns!D388,"")</f>
        <v/>
      </c>
      <c r="N388" s="26" t="str">
        <f aca="false">IF(Returns!$O388=1,Returns!E388,"")</f>
        <v/>
      </c>
      <c r="O388" s="26" t="str">
        <f aca="false">IF(Returns!$O388=1,Returns!F388,"")</f>
        <v/>
      </c>
      <c r="P388" s="26" t="str">
        <f aca="false">IF(Returns!$O388=1,Returns!G388,"")</f>
        <v/>
      </c>
      <c r="Q388" s="26" t="str">
        <f aca="false">IF(Returns!$O388=1,Returns!H388,"")</f>
        <v/>
      </c>
      <c r="R388" s="26" t="str">
        <f aca="false">IF(Returns!$O388=1,Returns!I388,"")</f>
        <v/>
      </c>
      <c r="S388" s="26" t="str">
        <f aca="false">IF(Returns!$O388=1,Returns!J388,"")</f>
        <v/>
      </c>
      <c r="T388" s="26" t="n">
        <f aca="false">IF(Returns!$O388=1,"",Returns!K388)</f>
        <v>0.00564781485900386</v>
      </c>
    </row>
    <row r="389" customFormat="false" ht="15" hidden="false" customHeight="false" outlineLevel="0" collapsed="false">
      <c r="A389" s="25" t="n">
        <f aca="false">Returns!A389</f>
        <v>44284</v>
      </c>
      <c r="B389" s="26" t="n">
        <f aca="false">IF(Returns!$O389=1,"",Returns!B389)</f>
        <v>-0.0197162978723404</v>
      </c>
      <c r="C389" s="26" t="n">
        <f aca="false">IF(Returns!$O389=1,"",Returns!C389)</f>
        <v>-0.00759109480400633</v>
      </c>
      <c r="D389" s="26" t="n">
        <f aca="false">IF(Returns!$O389=1,"",Returns!D389)</f>
        <v>0.00420901438091903</v>
      </c>
      <c r="E389" s="26" t="n">
        <f aca="false">IF(Returns!$O389=1,"",Returns!E389)</f>
        <v>0.00208948284868526</v>
      </c>
      <c r="F389" s="26" t="n">
        <f aca="false">IF(Returns!$O389=1,"",Returns!F389)</f>
        <v>0.00231481481481466</v>
      </c>
      <c r="G389" s="26" t="n">
        <f aca="false">IF(Returns!$O389=1,"",Returns!G389)</f>
        <v>-0.0067567567567568</v>
      </c>
      <c r="H389" s="26" t="n">
        <f aca="false">IF(Returns!$O389=1,"",Returns!H389)</f>
        <v>0.0157715692997258</v>
      </c>
      <c r="I389" s="26" t="n">
        <f aca="false">IF(Returns!$O389=1,"",Returns!I389)</f>
        <v>-0.030460931279791</v>
      </c>
      <c r="J389" s="26" t="n">
        <f aca="false">IF(Returns!$O389=1,"",Returns!J389)</f>
        <v>0.0256464359431219</v>
      </c>
      <c r="K389" s="26" t="str">
        <f aca="false">IF(Returns!$O389=1,Returns!B389,"")</f>
        <v/>
      </c>
      <c r="L389" s="26" t="str">
        <f aca="false">IF(Returns!$O389=1,Returns!C389,"")</f>
        <v/>
      </c>
      <c r="M389" s="26" t="str">
        <f aca="false">IF(Returns!$O389=1,Returns!D389,"")</f>
        <v/>
      </c>
      <c r="N389" s="26" t="str">
        <f aca="false">IF(Returns!$O389=1,Returns!E389,"")</f>
        <v/>
      </c>
      <c r="O389" s="26" t="str">
        <f aca="false">IF(Returns!$O389=1,Returns!F389,"")</f>
        <v/>
      </c>
      <c r="P389" s="26" t="str">
        <f aca="false">IF(Returns!$O389=1,Returns!G389,"")</f>
        <v/>
      </c>
      <c r="Q389" s="26" t="str">
        <f aca="false">IF(Returns!$O389=1,Returns!H389,"")</f>
        <v/>
      </c>
      <c r="R389" s="26" t="str">
        <f aca="false">IF(Returns!$O389=1,Returns!I389,"")</f>
        <v/>
      </c>
      <c r="S389" s="26" t="str">
        <f aca="false">IF(Returns!$O389=1,Returns!J389,"")</f>
        <v/>
      </c>
      <c r="T389" s="26" t="n">
        <f aca="false">IF(Returns!$O389=1,"",Returns!K389)</f>
        <v>-0.0016104181584031</v>
      </c>
    </row>
    <row r="390" customFormat="false" ht="15" hidden="false" customHeight="false" outlineLevel="0" collapsed="false">
      <c r="A390" s="25" t="n">
        <f aca="false">Returns!A390</f>
        <v>44285</v>
      </c>
      <c r="B390" s="26" t="n">
        <f aca="false">IF(Returns!$O390=1,"",Returns!B390)</f>
        <v>0.0244537979387385</v>
      </c>
      <c r="C390" s="26" t="n">
        <f aca="false">IF(Returns!$O390=1,"",Returns!C390)</f>
        <v>-0.00186576489056411</v>
      </c>
      <c r="D390" s="26" t="n">
        <f aca="false">IF(Returns!$O390=1,"",Returns!D390)</f>
        <v>-0.010827768453642</v>
      </c>
      <c r="E390" s="26" t="n">
        <f aca="false">IF(Returns!$O390=1,"",Returns!E390)</f>
        <v>0.0390964385594517</v>
      </c>
      <c r="F390" s="26" t="n">
        <f aca="false">IF(Returns!$O390=1,"",Returns!F390)</f>
        <v>0.0392609699769053</v>
      </c>
      <c r="G390" s="26" t="n">
        <f aca="false">IF(Returns!$O390=1,"",Returns!G390)</f>
        <v>0.056122448979592</v>
      </c>
      <c r="H390" s="26" t="n">
        <f aca="false">IF(Returns!$O390=1,"",Returns!H390)</f>
        <v>0</v>
      </c>
      <c r="I390" s="26" t="n">
        <f aca="false">IF(Returns!$O390=1,"",Returns!I390)</f>
        <v>0.0553542931818649</v>
      </c>
      <c r="J390" s="26" t="n">
        <f aca="false">IF(Returns!$O390=1,"",Returns!J390)</f>
        <v>-0.00928764005038874</v>
      </c>
      <c r="K390" s="26" t="str">
        <f aca="false">IF(Returns!$O390=1,Returns!B390,"")</f>
        <v/>
      </c>
      <c r="L390" s="26" t="str">
        <f aca="false">IF(Returns!$O390=1,Returns!C390,"")</f>
        <v/>
      </c>
      <c r="M390" s="26" t="str">
        <f aca="false">IF(Returns!$O390=1,Returns!D390,"")</f>
        <v/>
      </c>
      <c r="N390" s="26" t="str">
        <f aca="false">IF(Returns!$O390=1,Returns!E390,"")</f>
        <v/>
      </c>
      <c r="O390" s="26" t="str">
        <f aca="false">IF(Returns!$O390=1,Returns!F390,"")</f>
        <v/>
      </c>
      <c r="P390" s="26" t="str">
        <f aca="false">IF(Returns!$O390=1,Returns!G390,"")</f>
        <v/>
      </c>
      <c r="Q390" s="26" t="str">
        <f aca="false">IF(Returns!$O390=1,Returns!H390,"")</f>
        <v/>
      </c>
      <c r="R390" s="26" t="str">
        <f aca="false">IF(Returns!$O390=1,Returns!I390,"")</f>
        <v/>
      </c>
      <c r="S390" s="26" t="str">
        <f aca="false">IF(Returns!$O390=1,Returns!J390,"")</f>
        <v/>
      </c>
      <c r="T390" s="26" t="n">
        <f aca="false">IF(Returns!$O390=1,"",Returns!K390)</f>
        <v>0.0213674194713286</v>
      </c>
    </row>
    <row r="391" customFormat="false" ht="15" hidden="false" customHeight="false" outlineLevel="0" collapsed="false">
      <c r="A391" s="25" t="n">
        <f aca="false">Returns!A391</f>
        <v>44286</v>
      </c>
      <c r="B391" s="26" t="n">
        <f aca="false">IF(Returns!$O391=1,"",Returns!B391)</f>
        <v>-0.0063560025555367</v>
      </c>
      <c r="C391" s="26" t="n">
        <f aca="false">IF(Returns!$O391=1,"",Returns!C391)</f>
        <v>0.0209346744624057</v>
      </c>
      <c r="D391" s="26" t="n">
        <f aca="false">IF(Returns!$O391=1,"",Returns!D391)</f>
        <v>-0.0243644420903955</v>
      </c>
      <c r="E391" s="26" t="n">
        <f aca="false">IF(Returns!$O391=1,"",Returns!E391)</f>
        <v>-0.00117055185903936</v>
      </c>
      <c r="F391" s="26" t="n">
        <f aca="false">IF(Returns!$O391=1,"",Returns!F391)</f>
        <v>-0.00622217777777778</v>
      </c>
      <c r="G391" s="26" t="n">
        <f aca="false">IF(Returns!$O391=1,"",Returns!G391)</f>
        <v>-0.0140901771336555</v>
      </c>
      <c r="H391" s="26" t="n">
        <f aca="false">IF(Returns!$O391=1,"",Returns!H391)</f>
        <v>0.0113302559798574</v>
      </c>
      <c r="I391" s="26" t="n">
        <f aca="false">IF(Returns!$O391=1,"",Returns!I391)</f>
        <v>-0.028157053469852</v>
      </c>
      <c r="J391" s="26" t="n">
        <f aca="false">IF(Returns!$O391=1,"",Returns!J391)</f>
        <v>0.00927166992891726</v>
      </c>
      <c r="K391" s="26" t="str">
        <f aca="false">IF(Returns!$O391=1,Returns!B391,"")</f>
        <v/>
      </c>
      <c r="L391" s="26" t="str">
        <f aca="false">IF(Returns!$O391=1,Returns!C391,"")</f>
        <v/>
      </c>
      <c r="M391" s="26" t="str">
        <f aca="false">IF(Returns!$O391=1,Returns!D391,"")</f>
        <v/>
      </c>
      <c r="N391" s="26" t="str">
        <f aca="false">IF(Returns!$O391=1,Returns!E391,"")</f>
        <v/>
      </c>
      <c r="O391" s="26" t="str">
        <f aca="false">IF(Returns!$O391=1,Returns!F391,"")</f>
        <v/>
      </c>
      <c r="P391" s="26" t="str">
        <f aca="false">IF(Returns!$O391=1,Returns!G391,"")</f>
        <v/>
      </c>
      <c r="Q391" s="26" t="str">
        <f aca="false">IF(Returns!$O391=1,Returns!H391,"")</f>
        <v/>
      </c>
      <c r="R391" s="26" t="str">
        <f aca="false">IF(Returns!$O391=1,Returns!I391,"")</f>
        <v/>
      </c>
      <c r="S391" s="26" t="str">
        <f aca="false">IF(Returns!$O391=1,Returns!J391,"")</f>
        <v/>
      </c>
      <c r="T391" s="26" t="n">
        <f aca="false">IF(Returns!$O391=1,"",Returns!K391)</f>
        <v>-0.00431375605723071</v>
      </c>
    </row>
    <row r="392" customFormat="false" ht="15" hidden="false" customHeight="false" outlineLevel="0" collapsed="false">
      <c r="A392" s="25" t="n">
        <f aca="false">Returns!A392</f>
        <v>44287</v>
      </c>
      <c r="B392" s="26" t="n">
        <f aca="false">IF(Returns!$O392=1,"",Returns!B392)</f>
        <v>-0.00625435696529797</v>
      </c>
      <c r="C392" s="26" t="n">
        <f aca="false">IF(Returns!$O392=1,"",Returns!C392)</f>
        <v>-0.0184913581382029</v>
      </c>
      <c r="D392" s="26" t="n">
        <f aca="false">IF(Returns!$O392=1,"",Returns!D392)</f>
        <v>0.0152008691712222</v>
      </c>
      <c r="E392" s="26" t="n">
        <f aca="false">IF(Returns!$O392=1,"",Returns!E392)</f>
        <v>0.00519003850661304</v>
      </c>
      <c r="F392" s="26" t="n">
        <f aca="false">IF(Returns!$O392=1,"",Returns!F392)</f>
        <v>0.00178886396293088</v>
      </c>
      <c r="G392" s="26" t="n">
        <f aca="false">IF(Returns!$O392=1,"",Returns!G392)</f>
        <v>-0.0122498570845243</v>
      </c>
      <c r="H392" s="26" t="n">
        <f aca="false">IF(Returns!$O392=1,"",Returns!H392)</f>
        <v>-0.00871373443983414</v>
      </c>
      <c r="I392" s="26" t="n">
        <f aca="false">IF(Returns!$O392=1,"",Returns!I392)</f>
        <v>-0.0228270133349143</v>
      </c>
      <c r="J392" s="26" t="n">
        <f aca="false">IF(Returns!$O392=1,"",Returns!J392)</f>
        <v>-0.0059202000008145</v>
      </c>
      <c r="K392" s="26" t="str">
        <f aca="false">IF(Returns!$O392=1,Returns!B392,"")</f>
        <v/>
      </c>
      <c r="L392" s="26" t="str">
        <f aca="false">IF(Returns!$O392=1,Returns!C392,"")</f>
        <v/>
      </c>
      <c r="M392" s="26" t="str">
        <f aca="false">IF(Returns!$O392=1,Returns!D392,"")</f>
        <v/>
      </c>
      <c r="N392" s="26" t="str">
        <f aca="false">IF(Returns!$O392=1,Returns!E392,"")</f>
        <v/>
      </c>
      <c r="O392" s="26" t="str">
        <f aca="false">IF(Returns!$O392=1,Returns!F392,"")</f>
        <v/>
      </c>
      <c r="P392" s="26" t="str">
        <f aca="false">IF(Returns!$O392=1,Returns!G392,"")</f>
        <v/>
      </c>
      <c r="Q392" s="26" t="str">
        <f aca="false">IF(Returns!$O392=1,Returns!H392,"")</f>
        <v/>
      </c>
      <c r="R392" s="26" t="str">
        <f aca="false">IF(Returns!$O392=1,Returns!I392,"")</f>
        <v/>
      </c>
      <c r="S392" s="26" t="str">
        <f aca="false">IF(Returns!$O392=1,Returns!J392,"")</f>
        <v/>
      </c>
      <c r="T392" s="26" t="n">
        <f aca="false">IF(Returns!$O392=1,"",Returns!K392)</f>
        <v>-0.00580852759142467</v>
      </c>
    </row>
    <row r="393" customFormat="false" ht="15" hidden="false" customHeight="false" outlineLevel="0" collapsed="false">
      <c r="A393" s="25" t="n">
        <f aca="false">Returns!A393</f>
        <v>44291</v>
      </c>
      <c r="B393" s="26" t="n">
        <f aca="false">IF(Returns!$O393=1,"",Returns!B393)</f>
        <v>0.0160205254744372</v>
      </c>
      <c r="C393" s="26" t="n">
        <f aca="false">IF(Returns!$O393=1,"",Returns!C393)</f>
        <v>0.0132437597513286</v>
      </c>
      <c r="D393" s="26" t="n">
        <f aca="false">IF(Returns!$O393=1,"",Returns!D393)</f>
        <v>0.00106955440533163</v>
      </c>
      <c r="E393" s="26" t="n">
        <f aca="false">IF(Returns!$O393=1,"",Returns!E393)</f>
        <v>0.0248167550829987</v>
      </c>
      <c r="F393" s="26" t="n">
        <f aca="false">IF(Returns!$O393=1,"",Returns!F393)</f>
        <v>0.0196428571428573</v>
      </c>
      <c r="G393" s="26" t="n">
        <f aca="false">IF(Returns!$O393=1,"",Returns!G393)</f>
        <v>0.0148820994261225</v>
      </c>
      <c r="H393" s="26" t="n">
        <f aca="false">IF(Returns!$O393=1,"",Returns!H393)</f>
        <v>0.00627886171112868</v>
      </c>
      <c r="I393" s="26" t="n">
        <f aca="false">IF(Returns!$O393=1,"",Returns!I393)</f>
        <v>0.00299499859224306</v>
      </c>
      <c r="J393" s="26" t="n">
        <f aca="false">IF(Returns!$O393=1,"",Returns!J393)</f>
        <v>0.061607968596447</v>
      </c>
      <c r="K393" s="26" t="str">
        <f aca="false">IF(Returns!$O393=1,Returns!B393,"")</f>
        <v/>
      </c>
      <c r="L393" s="26" t="str">
        <f aca="false">IF(Returns!$O393=1,Returns!C393,"")</f>
        <v/>
      </c>
      <c r="M393" s="26" t="str">
        <f aca="false">IF(Returns!$O393=1,Returns!D393,"")</f>
        <v/>
      </c>
      <c r="N393" s="26" t="str">
        <f aca="false">IF(Returns!$O393=1,Returns!E393,"")</f>
        <v/>
      </c>
      <c r="O393" s="26" t="str">
        <f aca="false">IF(Returns!$O393=1,Returns!F393,"")</f>
        <v/>
      </c>
      <c r="P393" s="26" t="str">
        <f aca="false">IF(Returns!$O393=1,Returns!G393,"")</f>
        <v/>
      </c>
      <c r="Q393" s="26" t="str">
        <f aca="false">IF(Returns!$O393=1,Returns!H393,"")</f>
        <v/>
      </c>
      <c r="R393" s="26" t="str">
        <f aca="false">IF(Returns!$O393=1,Returns!I393,"")</f>
        <v/>
      </c>
      <c r="S393" s="26" t="str">
        <f aca="false">IF(Returns!$O393=1,Returns!J393,"")</f>
        <v/>
      </c>
      <c r="T393" s="26" t="n">
        <f aca="false">IF(Returns!$O393=1,"",Returns!K393)</f>
        <v>0.0178397089092105</v>
      </c>
    </row>
    <row r="394" customFormat="false" ht="15" hidden="false" customHeight="false" outlineLevel="0" collapsed="false">
      <c r="A394" s="25" t="n">
        <f aca="false">Returns!A394</f>
        <v>44292</v>
      </c>
      <c r="B394" s="26" t="n">
        <f aca="false">IF(Returns!$O394=1,"",Returns!B394)</f>
        <v>0.0275939606869486</v>
      </c>
      <c r="C394" s="26" t="n">
        <f aca="false">IF(Returns!$O394=1,"",Returns!C394)</f>
        <v>0.0138070689652601</v>
      </c>
      <c r="D394" s="26" t="n">
        <f aca="false">IF(Returns!$O394=1,"",Returns!D394)</f>
        <v>0.0185185185185186</v>
      </c>
      <c r="E394" s="26" t="n">
        <f aca="false">IF(Returns!$O394=1,"",Returns!E394)</f>
        <v>0.0134893875099851</v>
      </c>
      <c r="F394" s="26" t="n">
        <f aca="false">IF(Returns!$O394=1,"",Returns!F394)</f>
        <v>-0.00612955341506127</v>
      </c>
      <c r="G394" s="26" t="n">
        <f aca="false">IF(Returns!$O394=1,"",Returns!G394)</f>
        <v>-0.0114052550470573</v>
      </c>
      <c r="H394" s="26" t="n">
        <f aca="false">IF(Returns!$O394=1,"",Returns!H394)</f>
        <v>-0.000831988318136911</v>
      </c>
      <c r="I394" s="26" t="n">
        <f aca="false">IF(Returns!$O394=1,"",Returns!I394)</f>
        <v>0.0426991912392243</v>
      </c>
      <c r="J394" s="26" t="n">
        <f aca="false">IF(Returns!$O394=1,"",Returns!J394)</f>
        <v>-0.0129605959276583</v>
      </c>
      <c r="K394" s="26" t="str">
        <f aca="false">IF(Returns!$O394=1,Returns!B394,"")</f>
        <v/>
      </c>
      <c r="L394" s="26" t="str">
        <f aca="false">IF(Returns!$O394=1,Returns!C394,"")</f>
        <v/>
      </c>
      <c r="M394" s="26" t="str">
        <f aca="false">IF(Returns!$O394=1,Returns!D394,"")</f>
        <v/>
      </c>
      <c r="N394" s="26" t="str">
        <f aca="false">IF(Returns!$O394=1,Returns!E394,"")</f>
        <v/>
      </c>
      <c r="O394" s="26" t="str">
        <f aca="false">IF(Returns!$O394=1,Returns!F394,"")</f>
        <v/>
      </c>
      <c r="P394" s="26" t="str">
        <f aca="false">IF(Returns!$O394=1,Returns!G394,"")</f>
        <v/>
      </c>
      <c r="Q394" s="26" t="str">
        <f aca="false">IF(Returns!$O394=1,Returns!H394,"")</f>
        <v/>
      </c>
      <c r="R394" s="26" t="str">
        <f aca="false">IF(Returns!$O394=1,Returns!I394,"")</f>
        <v/>
      </c>
      <c r="S394" s="26" t="str">
        <f aca="false">IF(Returns!$O394=1,Returns!J394,"")</f>
        <v/>
      </c>
      <c r="T394" s="26" t="n">
        <f aca="false">IF(Returns!$O394=1,"",Returns!K394)</f>
        <v>0.00942008157911366</v>
      </c>
    </row>
    <row r="395" customFormat="false" ht="15" hidden="false" customHeight="false" outlineLevel="0" collapsed="false">
      <c r="A395" s="25" t="n">
        <f aca="false">Returns!A395</f>
        <v>44293</v>
      </c>
      <c r="B395" s="26" t="n">
        <f aca="false">IF(Returns!$O395=1,"",Returns!B395)</f>
        <v>-0.0176736681099786</v>
      </c>
      <c r="C395" s="26" t="n">
        <f aca="false">IF(Returns!$O395=1,"",Returns!C395)</f>
        <v>-0.0021790992885582</v>
      </c>
      <c r="D395" s="26" t="n">
        <f aca="false">IF(Returns!$O395=1,"",Returns!D395)</f>
        <v>0.00804195804195795</v>
      </c>
      <c r="E395" s="26" t="n">
        <f aca="false">IF(Returns!$O395=1,"",Returns!E395)</f>
        <v>0.00064145284410766</v>
      </c>
      <c r="F395" s="26" t="n">
        <f aca="false">IF(Returns!$O395=1,"",Returns!F395)</f>
        <v>-0.0224669593626891</v>
      </c>
      <c r="G395" s="26" t="n">
        <f aca="false">IF(Returns!$O395=1,"",Returns!G395)</f>
        <v>-0.011536876802637</v>
      </c>
      <c r="H395" s="26" t="n">
        <f aca="false">IF(Returns!$O395=1,"",Returns!H395)</f>
        <v>-0.000832639467110763</v>
      </c>
      <c r="I395" s="26" t="n">
        <f aca="false">IF(Returns!$O395=1,"",Returns!I395)</f>
        <v>-0.00429547561829746</v>
      </c>
      <c r="J395" s="26" t="n">
        <f aca="false">IF(Returns!$O395=1,"",Returns!J395)</f>
        <v>0.0245957366605858</v>
      </c>
      <c r="K395" s="26" t="str">
        <f aca="false">IF(Returns!$O395=1,Returns!B395,"")</f>
        <v/>
      </c>
      <c r="L395" s="26" t="str">
        <f aca="false">IF(Returns!$O395=1,Returns!C395,"")</f>
        <v/>
      </c>
      <c r="M395" s="26" t="str">
        <f aca="false">IF(Returns!$O395=1,Returns!D395,"")</f>
        <v/>
      </c>
      <c r="N395" s="26" t="str">
        <f aca="false">IF(Returns!$O395=1,Returns!E395,"")</f>
        <v/>
      </c>
      <c r="O395" s="26" t="str">
        <f aca="false">IF(Returns!$O395=1,Returns!F395,"")</f>
        <v/>
      </c>
      <c r="P395" s="26" t="str">
        <f aca="false">IF(Returns!$O395=1,Returns!G395,"")</f>
        <v/>
      </c>
      <c r="Q395" s="26" t="str">
        <f aca="false">IF(Returns!$O395=1,Returns!H395,"")</f>
        <v/>
      </c>
      <c r="R395" s="26" t="str">
        <f aca="false">IF(Returns!$O395=1,Returns!I395,"")</f>
        <v/>
      </c>
      <c r="S395" s="26" t="str">
        <f aca="false">IF(Returns!$O395=1,Returns!J395,"")</f>
        <v/>
      </c>
      <c r="T395" s="26" t="n">
        <f aca="false">IF(Returns!$O395=1,"",Returns!K395)</f>
        <v>-0.00285617456695775</v>
      </c>
    </row>
    <row r="396" customFormat="false" ht="15" hidden="false" customHeight="false" outlineLevel="0" collapsed="false">
      <c r="A396" s="25" t="n">
        <f aca="false">Returns!A396</f>
        <v>44294</v>
      </c>
      <c r="B396" s="26" t="n">
        <f aca="false">IF(Returns!$O396=1,"",Returns!B396)</f>
        <v>0.0199442128289071</v>
      </c>
      <c r="C396" s="26" t="n">
        <f aca="false">IF(Returns!$O396=1,"",Returns!C396)</f>
        <v>0.016378581123879</v>
      </c>
      <c r="D396" s="26" t="n">
        <f aca="false">IF(Returns!$O396=1,"",Returns!D396)</f>
        <v>0.0121401318071455</v>
      </c>
      <c r="E396" s="26" t="n">
        <f aca="false">IF(Returns!$O396=1,"",Returns!E396)</f>
        <v>0.0192307045118363</v>
      </c>
      <c r="F396" s="26" t="n">
        <f aca="false">IF(Returns!$O396=1,"",Returns!F396)</f>
        <v>0.00901297841311499</v>
      </c>
      <c r="G396" s="26" t="n">
        <f aca="false">IF(Returns!$O396=1,"",Returns!G396)</f>
        <v>-0.0254273030429344</v>
      </c>
      <c r="H396" s="26" t="n">
        <f aca="false">IF(Returns!$O396=1,"",Returns!H396)</f>
        <v>-0.0124999583333333</v>
      </c>
      <c r="I396" s="26" t="n">
        <f aca="false">IF(Returns!$O396=1,"",Returns!I396)</f>
        <v>-0.0143802128271499</v>
      </c>
      <c r="J396" s="26" t="n">
        <f aca="false">IF(Returns!$O396=1,"",Returns!J396)</f>
        <v>-0.000573814089017022</v>
      </c>
      <c r="K396" s="26" t="str">
        <f aca="false">IF(Returns!$O396=1,Returns!B396,"")</f>
        <v/>
      </c>
      <c r="L396" s="26" t="str">
        <f aca="false">IF(Returns!$O396=1,Returns!C396,"")</f>
        <v/>
      </c>
      <c r="M396" s="26" t="str">
        <f aca="false">IF(Returns!$O396=1,Returns!D396,"")</f>
        <v/>
      </c>
      <c r="N396" s="26" t="str">
        <f aca="false">IF(Returns!$O396=1,Returns!E396,"")</f>
        <v/>
      </c>
      <c r="O396" s="26" t="str">
        <f aca="false">IF(Returns!$O396=1,Returns!F396,"")</f>
        <v/>
      </c>
      <c r="P396" s="26" t="str">
        <f aca="false">IF(Returns!$O396=1,Returns!G396,"")</f>
        <v/>
      </c>
      <c r="Q396" s="26" t="str">
        <f aca="false">IF(Returns!$O396=1,Returns!H396,"")</f>
        <v/>
      </c>
      <c r="R396" s="26" t="str">
        <f aca="false">IF(Returns!$O396=1,Returns!I396,"")</f>
        <v/>
      </c>
      <c r="S396" s="26" t="str">
        <f aca="false">IF(Returns!$O396=1,Returns!J396,"")</f>
        <v/>
      </c>
      <c r="T396" s="26" t="n">
        <f aca="false">IF(Returns!$O396=1,"",Returns!K396)</f>
        <v>0.00264725782138315</v>
      </c>
    </row>
    <row r="397" customFormat="false" ht="15" hidden="false" customHeight="false" outlineLevel="0" collapsed="false">
      <c r="A397" s="25" t="n">
        <f aca="false">Returns!A397</f>
        <v>44295</v>
      </c>
      <c r="B397" s="26" t="n">
        <f aca="false">IF(Returns!$O397=1,"",Returns!B397)</f>
        <v>0.018597033444429</v>
      </c>
      <c r="C397" s="26" t="n">
        <f aca="false">IF(Returns!$O397=1,"",Returns!C397)</f>
        <v>-0.0112802683745699</v>
      </c>
      <c r="D397" s="26" t="n">
        <f aca="false">IF(Returns!$O397=1,"",Returns!D397)</f>
        <v>0.00891024674434537</v>
      </c>
      <c r="E397" s="26" t="n">
        <f aca="false">IF(Returns!$O397=1,"",Returns!E397)</f>
        <v>-0.00959113237707965</v>
      </c>
      <c r="F397" s="26" t="n">
        <f aca="false">IF(Returns!$O397=1,"",Returns!F397)</f>
        <v>-0.0214380983223804</v>
      </c>
      <c r="G397" s="26" t="n">
        <f aca="false">IF(Returns!$O397=1,"",Returns!G397)</f>
        <v>0.0136869980191188</v>
      </c>
      <c r="H397" s="26" t="n">
        <f aca="false">IF(Returns!$O397=1,"",Returns!H397)</f>
        <v>-0.00210974674642428</v>
      </c>
      <c r="I397" s="26" t="n">
        <f aca="false">IF(Returns!$O397=1,"",Returns!I397)</f>
        <v>-0.0026262036766852</v>
      </c>
      <c r="J397" s="26" t="n">
        <f aca="false">IF(Returns!$O397=1,"",Returns!J397)</f>
        <v>-0.0143540669856459</v>
      </c>
      <c r="K397" s="26" t="str">
        <f aca="false">IF(Returns!$O397=1,Returns!B397,"")</f>
        <v/>
      </c>
      <c r="L397" s="26" t="str">
        <f aca="false">IF(Returns!$O397=1,Returns!C397,"")</f>
        <v/>
      </c>
      <c r="M397" s="26" t="str">
        <f aca="false">IF(Returns!$O397=1,Returns!D397,"")</f>
        <v/>
      </c>
      <c r="N397" s="26" t="str">
        <f aca="false">IF(Returns!$O397=1,Returns!E397,"")</f>
        <v/>
      </c>
      <c r="O397" s="26" t="str">
        <f aca="false">IF(Returns!$O397=1,Returns!F397,"")</f>
        <v/>
      </c>
      <c r="P397" s="26" t="str">
        <f aca="false">IF(Returns!$O397=1,Returns!G397,"")</f>
        <v/>
      </c>
      <c r="Q397" s="26" t="str">
        <f aca="false">IF(Returns!$O397=1,Returns!H397,"")</f>
        <v/>
      </c>
      <c r="R397" s="26" t="str">
        <f aca="false">IF(Returns!$O397=1,Returns!I397,"")</f>
        <v/>
      </c>
      <c r="S397" s="26" t="str">
        <f aca="false">IF(Returns!$O397=1,Returns!J397,"")</f>
        <v/>
      </c>
      <c r="T397" s="26" t="n">
        <f aca="false">IF(Returns!$O397=1,"",Returns!K397)</f>
        <v>-0.00224502647498802</v>
      </c>
    </row>
    <row r="398" customFormat="false" ht="15" hidden="false" customHeight="false" outlineLevel="0" collapsed="false">
      <c r="A398" s="25" t="n">
        <f aca="false">Returns!A398</f>
        <v>44298</v>
      </c>
      <c r="B398" s="26" t="n">
        <f aca="false">IF(Returns!$O398=1,"",Returns!B398)</f>
        <v>-0.00147672174726055</v>
      </c>
      <c r="C398" s="26" t="n">
        <f aca="false">IF(Returns!$O398=1,"",Returns!C398)</f>
        <v>0.00996019594205699</v>
      </c>
      <c r="D398" s="26" t="n">
        <f aca="false">IF(Returns!$O398=1,"",Returns!D398)</f>
        <v>0.0173233689767878</v>
      </c>
      <c r="E398" s="26" t="n">
        <f aca="false">IF(Returns!$O398=1,"",Returns!E398)</f>
        <v>-0.000158787104023284</v>
      </c>
      <c r="F398" s="26" t="n">
        <f aca="false">IF(Returns!$O398=1,"",Returns!F398)</f>
        <v>0.00502053856686446</v>
      </c>
      <c r="G398" s="26" t="n">
        <f aca="false">IF(Returns!$O398=1,"",Returns!G398)</f>
        <v>-0.00717299547793271</v>
      </c>
      <c r="H398" s="26" t="n">
        <f aca="false">IF(Returns!$O398=1,"",Returns!H398)</f>
        <v>0.0101479492600423</v>
      </c>
      <c r="I398" s="26" t="n">
        <f aca="false">IF(Returns!$O398=1,"",Returns!I398)</f>
        <v>-0.0122879461673492</v>
      </c>
      <c r="J398" s="26" t="n">
        <f aca="false">IF(Returns!$O398=1,"",Returns!J398)</f>
        <v>0.00388351456310687</v>
      </c>
      <c r="K398" s="26" t="str">
        <f aca="false">IF(Returns!$O398=1,Returns!B398,"")</f>
        <v/>
      </c>
      <c r="L398" s="26" t="str">
        <f aca="false">IF(Returns!$O398=1,Returns!C398,"")</f>
        <v/>
      </c>
      <c r="M398" s="26" t="str">
        <f aca="false">IF(Returns!$O398=1,Returns!D398,"")</f>
        <v/>
      </c>
      <c r="N398" s="26" t="str">
        <f aca="false">IF(Returns!$O398=1,Returns!E398,"")</f>
        <v/>
      </c>
      <c r="O398" s="26" t="str">
        <f aca="false">IF(Returns!$O398=1,Returns!F398,"")</f>
        <v/>
      </c>
      <c r="P398" s="26" t="str">
        <f aca="false">IF(Returns!$O398=1,Returns!G398,"")</f>
        <v/>
      </c>
      <c r="Q398" s="26" t="str">
        <f aca="false">IF(Returns!$O398=1,Returns!H398,"")</f>
        <v/>
      </c>
      <c r="R398" s="26" t="str">
        <f aca="false">IF(Returns!$O398=1,Returns!I398,"")</f>
        <v/>
      </c>
      <c r="S398" s="26" t="str">
        <f aca="false">IF(Returns!$O398=1,Returns!J398,"")</f>
        <v/>
      </c>
      <c r="T398" s="26" t="n">
        <f aca="false">IF(Returns!$O398=1,"",Returns!K398)</f>
        <v>0.00280434631247696</v>
      </c>
    </row>
    <row r="399" customFormat="false" ht="15" hidden="false" customHeight="false" outlineLevel="0" collapsed="false">
      <c r="A399" s="25" t="n">
        <f aca="false">Returns!A399</f>
        <v>44299</v>
      </c>
      <c r="B399" s="26" t="n">
        <f aca="false">IF(Returns!$O399=1,"",Returns!B399)</f>
        <v>0.000134471637582845</v>
      </c>
      <c r="C399" s="26" t="n">
        <f aca="false">IF(Returns!$O399=1,"",Returns!C399)</f>
        <v>-0.00842754168908011</v>
      </c>
      <c r="D399" s="26" t="n">
        <f aca="false">IF(Returns!$O399=1,"",Returns!D399)</f>
        <v>0.000333823027251379</v>
      </c>
      <c r="E399" s="26" t="n">
        <f aca="false">IF(Returns!$O399=1,"",Returns!E399)</f>
        <v>0.00349318831375056</v>
      </c>
      <c r="F399" s="26" t="n">
        <f aca="false">IF(Returns!$O399=1,"",Returns!F399)</f>
        <v>0.0930971843778383</v>
      </c>
      <c r="G399" s="26" t="n">
        <f aca="false">IF(Returns!$O399=1,"",Returns!G399)</f>
        <v>0.0114746276466373</v>
      </c>
      <c r="H399" s="26" t="n">
        <f aca="false">IF(Returns!$O399=1,"",Returns!H399)</f>
        <v>0.00334868159684731</v>
      </c>
      <c r="I399" s="26" t="n">
        <f aca="false">IF(Returns!$O399=1,"",Returns!I399)</f>
        <v>0</v>
      </c>
      <c r="J399" s="26" t="n">
        <f aca="false">IF(Returns!$O399=1,"",Returns!J399)</f>
        <v>0.00174081234543877</v>
      </c>
      <c r="K399" s="26" t="str">
        <f aca="false">IF(Returns!$O399=1,Returns!B399,"")</f>
        <v/>
      </c>
      <c r="L399" s="26" t="str">
        <f aca="false">IF(Returns!$O399=1,Returns!C399,"")</f>
        <v/>
      </c>
      <c r="M399" s="26" t="str">
        <f aca="false">IF(Returns!$O399=1,Returns!D399,"")</f>
        <v/>
      </c>
      <c r="N399" s="26" t="str">
        <f aca="false">IF(Returns!$O399=1,Returns!E399,"")</f>
        <v/>
      </c>
      <c r="O399" s="26" t="str">
        <f aca="false">IF(Returns!$O399=1,Returns!F399,"")</f>
        <v/>
      </c>
      <c r="P399" s="26" t="str">
        <f aca="false">IF(Returns!$O399=1,Returns!G399,"")</f>
        <v/>
      </c>
      <c r="Q399" s="26" t="str">
        <f aca="false">IF(Returns!$O399=1,Returns!H399,"")</f>
        <v/>
      </c>
      <c r="R399" s="26" t="str">
        <f aca="false">IF(Returns!$O399=1,Returns!I399,"")</f>
        <v/>
      </c>
      <c r="S399" s="26" t="str">
        <f aca="false">IF(Returns!$O399=1,Returns!J399,"")</f>
        <v/>
      </c>
      <c r="T399" s="26" t="n">
        <f aca="false">IF(Returns!$O399=1,"",Returns!K399)</f>
        <v>0.0116883608062518</v>
      </c>
    </row>
    <row r="400" customFormat="false" ht="15" hidden="false" customHeight="false" outlineLevel="0" collapsed="false">
      <c r="A400" s="25" t="n">
        <f aca="false">Returns!A400</f>
        <v>44300</v>
      </c>
      <c r="B400" s="26" t="n">
        <f aca="false">IF(Returns!$O400=1,"",Returns!B400)</f>
        <v>0.00430165350586975</v>
      </c>
      <c r="C400" s="26" t="n">
        <f aca="false">IF(Returns!$O400=1,"",Returns!C400)</f>
        <v>-0.00488245966600065</v>
      </c>
      <c r="D400" s="26" t="n">
        <f aca="false">IF(Returns!$O400=1,"",Returns!D400)</f>
        <v>-0.00867817118418457</v>
      </c>
      <c r="E400" s="26" t="n">
        <f aca="false">IF(Returns!$O400=1,"",Returns!E400)</f>
        <v>0.0071202688746792</v>
      </c>
      <c r="F400" s="26" t="n">
        <f aca="false">IF(Returns!$O400=1,"",Returns!F400)</f>
        <v>-0.0315746157041961</v>
      </c>
      <c r="G400" s="26" t="n">
        <f aca="false">IF(Returns!$O400=1,"",Returns!G400)</f>
        <v>-0.0218486563801957</v>
      </c>
      <c r="H400" s="26" t="n">
        <f aca="false">IF(Returns!$O400=1,"",Returns!H400)</f>
        <v>0.0158531921507381</v>
      </c>
      <c r="I400" s="26" t="n">
        <f aca="false">IF(Returns!$O400=1,"",Returns!I400)</f>
        <v>-0.0343601916090162</v>
      </c>
      <c r="J400" s="26" t="n">
        <f aca="false">IF(Returns!$O400=1,"",Returns!J400)</f>
        <v>0.0330179371883002</v>
      </c>
      <c r="K400" s="26" t="str">
        <f aca="false">IF(Returns!$O400=1,Returns!B400,"")</f>
        <v/>
      </c>
      <c r="L400" s="26" t="str">
        <f aca="false">IF(Returns!$O400=1,Returns!C400,"")</f>
        <v/>
      </c>
      <c r="M400" s="26" t="str">
        <f aca="false">IF(Returns!$O400=1,Returns!D400,"")</f>
        <v/>
      </c>
      <c r="N400" s="26" t="str">
        <f aca="false">IF(Returns!$O400=1,Returns!E400,"")</f>
        <v/>
      </c>
      <c r="O400" s="26" t="str">
        <f aca="false">IF(Returns!$O400=1,Returns!F400,"")</f>
        <v/>
      </c>
      <c r="P400" s="26" t="str">
        <f aca="false">IF(Returns!$O400=1,Returns!G400,"")</f>
        <v/>
      </c>
      <c r="Q400" s="26" t="str">
        <f aca="false">IF(Returns!$O400=1,Returns!H400,"")</f>
        <v/>
      </c>
      <c r="R400" s="26" t="str">
        <f aca="false">IF(Returns!$O400=1,Returns!I400,"")</f>
        <v/>
      </c>
      <c r="S400" s="26" t="str">
        <f aca="false">IF(Returns!$O400=1,Returns!J400,"")</f>
        <v/>
      </c>
      <c r="T400" s="26" t="n">
        <f aca="false">IF(Returns!$O400=1,"",Returns!K400)</f>
        <v>-0.00456122698044511</v>
      </c>
    </row>
    <row r="401" customFormat="false" ht="15" hidden="false" customHeight="false" outlineLevel="0" collapsed="false">
      <c r="A401" s="25" t="n">
        <f aca="false">Returns!A401</f>
        <v>44301</v>
      </c>
      <c r="B401" s="26" t="n">
        <f aca="false">IF(Returns!$O401=1,"",Returns!B401)</f>
        <v>0.0835229297754374</v>
      </c>
      <c r="C401" s="26" t="n">
        <f aca="false">IF(Returns!$O401=1,"",Returns!C401)</f>
        <v>-0.0085407602064882</v>
      </c>
      <c r="D401" s="26" t="n">
        <f aca="false">IF(Returns!$O401=1,"",Returns!D401)</f>
        <v>0.0117844440476618</v>
      </c>
      <c r="E401" s="26" t="n">
        <f aca="false">IF(Returns!$O401=1,"",Returns!E401)</f>
        <v>-0.00078560877342948</v>
      </c>
      <c r="F401" s="26" t="n">
        <f aca="false">IF(Returns!$O401=1,"",Returns!F401)</f>
        <v>-0.00214495933697811</v>
      </c>
      <c r="G401" s="26" t="n">
        <f aca="false">IF(Returns!$O401=1,"",Returns!G401)</f>
        <v>0.0189002569200922</v>
      </c>
      <c r="H401" s="26" t="n">
        <f aca="false">IF(Returns!$O401=1,"",Returns!H401)</f>
        <v>-0.0517453798767967</v>
      </c>
      <c r="I401" s="26" t="n">
        <f aca="false">IF(Returns!$O401=1,"",Returns!I401)</f>
        <v>-0.0196318723700535</v>
      </c>
      <c r="J401" s="26" t="n">
        <f aca="false">IF(Returns!$O401=1,"",Returns!J401)</f>
        <v>0.0113084018691589</v>
      </c>
      <c r="K401" s="26" t="str">
        <f aca="false">IF(Returns!$O401=1,Returns!B401,"")</f>
        <v/>
      </c>
      <c r="L401" s="26" t="str">
        <f aca="false">IF(Returns!$O401=1,Returns!C401,"")</f>
        <v/>
      </c>
      <c r="M401" s="26" t="str">
        <f aca="false">IF(Returns!$O401=1,Returns!D401,"")</f>
        <v/>
      </c>
      <c r="N401" s="26" t="str">
        <f aca="false">IF(Returns!$O401=1,Returns!E401,"")</f>
        <v/>
      </c>
      <c r="O401" s="26" t="str">
        <f aca="false">IF(Returns!$O401=1,Returns!F401,"")</f>
        <v/>
      </c>
      <c r="P401" s="26" t="str">
        <f aca="false">IF(Returns!$O401=1,Returns!G401,"")</f>
        <v/>
      </c>
      <c r="Q401" s="26" t="str">
        <f aca="false">IF(Returns!$O401=1,Returns!H401,"")</f>
        <v/>
      </c>
      <c r="R401" s="26" t="str">
        <f aca="false">IF(Returns!$O401=1,Returns!I401,"")</f>
        <v/>
      </c>
      <c r="S401" s="26" t="str">
        <f aca="false">IF(Returns!$O401=1,Returns!J401,"")</f>
        <v/>
      </c>
      <c r="T401" s="26" t="n">
        <f aca="false">IF(Returns!$O401=1,"",Returns!K401)</f>
        <v>0.00474082800540048</v>
      </c>
    </row>
    <row r="402" customFormat="false" ht="15" hidden="false" customHeight="false" outlineLevel="0" collapsed="false">
      <c r="A402" s="25" t="n">
        <f aca="false">Returns!A402</f>
        <v>44302</v>
      </c>
      <c r="B402" s="26" t="n">
        <f aca="false">IF(Returns!$O402=1,"",Returns!B402)</f>
        <v>-0.0169239660379481</v>
      </c>
      <c r="C402" s="26" t="n">
        <f aca="false">IF(Returns!$O402=1,"",Returns!C402)</f>
        <v>0.015395840007179</v>
      </c>
      <c r="D402" s="26" t="n">
        <f aca="false">IF(Returns!$O402=1,"",Returns!D402)</f>
        <v>-0.0173044265325932</v>
      </c>
      <c r="E402" s="26" t="n">
        <f aca="false">IF(Returns!$O402=1,"",Returns!E402)</f>
        <v>0.00911952858866449</v>
      </c>
      <c r="F402" s="26" t="n">
        <f aca="false">IF(Returns!$O402=1,"",Returns!F402)</f>
        <v>0.0146173688736027</v>
      </c>
      <c r="G402" s="26" t="n">
        <f aca="false">IF(Returns!$O402=1,"",Returns!G402)</f>
        <v>0.00548064947220284</v>
      </c>
      <c r="H402" s="26" t="n">
        <f aca="false">IF(Returns!$O402=1,"",Returns!H402)</f>
        <v>-0.00606318752706803</v>
      </c>
      <c r="I402" s="26" t="n">
        <f aca="false">IF(Returns!$O402=1,"",Returns!I402)</f>
        <v>0.0100125159578384</v>
      </c>
      <c r="J402" s="26" t="n">
        <f aca="false">IF(Returns!$O402=1,"",Returns!J402)</f>
        <v>0.00425098423667869</v>
      </c>
      <c r="K402" s="26" t="str">
        <f aca="false">IF(Returns!$O402=1,Returns!B402,"")</f>
        <v/>
      </c>
      <c r="L402" s="26" t="str">
        <f aca="false">IF(Returns!$O402=1,Returns!C402,"")</f>
        <v/>
      </c>
      <c r="M402" s="26" t="str">
        <f aca="false">IF(Returns!$O402=1,Returns!D402,"")</f>
        <v/>
      </c>
      <c r="N402" s="26" t="str">
        <f aca="false">IF(Returns!$O402=1,Returns!E402,"")</f>
        <v/>
      </c>
      <c r="O402" s="26" t="str">
        <f aca="false">IF(Returns!$O402=1,Returns!F402,"")</f>
        <v/>
      </c>
      <c r="P402" s="26" t="str">
        <f aca="false">IF(Returns!$O402=1,Returns!G402,"")</f>
        <v/>
      </c>
      <c r="Q402" s="26" t="str">
        <f aca="false">IF(Returns!$O402=1,Returns!H402,"")</f>
        <v/>
      </c>
      <c r="R402" s="26" t="str">
        <f aca="false">IF(Returns!$O402=1,Returns!I402,"")</f>
        <v/>
      </c>
      <c r="S402" s="26" t="str">
        <f aca="false">IF(Returns!$O402=1,Returns!J402,"")</f>
        <v/>
      </c>
      <c r="T402" s="26" t="n">
        <f aca="false">IF(Returns!$O402=1,"",Returns!K402)</f>
        <v>0.00206503411539518</v>
      </c>
    </row>
    <row r="403" customFormat="false" ht="15" hidden="false" customHeight="false" outlineLevel="0" collapsed="false">
      <c r="A403" s="25" t="n">
        <f aca="false">Returns!A403</f>
        <v>44305</v>
      </c>
      <c r="B403" s="26" t="n">
        <f aca="false">IF(Returns!$O403=1,"",Returns!B403)</f>
        <v>-0.0128173407183377</v>
      </c>
      <c r="C403" s="26" t="n">
        <f aca="false">IF(Returns!$O403=1,"",Returns!C403)</f>
        <v>-0.018772420466825</v>
      </c>
      <c r="D403" s="26" t="n">
        <f aca="false">IF(Returns!$O403=1,"",Returns!D403)</f>
        <v>0.0104977646292663</v>
      </c>
      <c r="E403" s="26" t="n">
        <f aca="false">IF(Returns!$O403=1,"",Returns!E403)</f>
        <v>-0.0271112651916486</v>
      </c>
      <c r="F403" s="26" t="n">
        <f aca="false">IF(Returns!$O403=1,"",Returns!F403)</f>
        <v>-0.010593220338983</v>
      </c>
      <c r="G403" s="26" t="n">
        <f aca="false">IF(Returns!$O403=1,"",Returns!G403)</f>
        <v>0.00293501048218037</v>
      </c>
      <c r="H403" s="26" t="n">
        <f aca="false">IF(Returns!$O403=1,"",Returns!H403)</f>
        <v>0.0579520671916309</v>
      </c>
      <c r="I403" s="26" t="n">
        <f aca="false">IF(Returns!$O403=1,"",Returns!I403)</f>
        <v>0.00681539674149323</v>
      </c>
      <c r="J403" s="26" t="n">
        <f aca="false">IF(Returns!$O403=1,"",Returns!J403)</f>
        <v>-0.00864999555811175</v>
      </c>
      <c r="K403" s="26" t="str">
        <f aca="false">IF(Returns!$O403=1,Returns!B403,"")</f>
        <v/>
      </c>
      <c r="L403" s="26" t="str">
        <f aca="false">IF(Returns!$O403=1,Returns!C403,"")</f>
        <v/>
      </c>
      <c r="M403" s="26" t="str">
        <f aca="false">IF(Returns!$O403=1,Returns!D403,"")</f>
        <v/>
      </c>
      <c r="N403" s="26" t="str">
        <f aca="false">IF(Returns!$O403=1,Returns!E403,"")</f>
        <v/>
      </c>
      <c r="O403" s="26" t="str">
        <f aca="false">IF(Returns!$O403=1,Returns!F403,"")</f>
        <v/>
      </c>
      <c r="P403" s="26" t="str">
        <f aca="false">IF(Returns!$O403=1,Returns!G403,"")</f>
        <v/>
      </c>
      <c r="Q403" s="26" t="str">
        <f aca="false">IF(Returns!$O403=1,Returns!H403,"")</f>
        <v/>
      </c>
      <c r="R403" s="26" t="str">
        <f aca="false">IF(Returns!$O403=1,Returns!I403,"")</f>
        <v/>
      </c>
      <c r="S403" s="26" t="str">
        <f aca="false">IF(Returns!$O403=1,Returns!J403,"")</f>
        <v/>
      </c>
      <c r="T403" s="26" t="n">
        <f aca="false">IF(Returns!$O403=1,"",Returns!K403)</f>
        <v>2.8444085629409E-005</v>
      </c>
    </row>
    <row r="404" customFormat="false" ht="15" hidden="false" customHeight="false" outlineLevel="0" collapsed="false">
      <c r="A404" s="25" t="n">
        <f aca="false">Returns!A404</f>
        <v>44306</v>
      </c>
      <c r="B404" s="26" t="n">
        <f aca="false">IF(Returns!$O404=1,"",Returns!B404)</f>
        <v>0.00343691454778305</v>
      </c>
      <c r="C404" s="26" t="n">
        <f aca="false">IF(Returns!$O404=1,"",Returns!C404)</f>
        <v>-0.0117734540963876</v>
      </c>
      <c r="D404" s="26" t="n">
        <f aca="false">IF(Returns!$O404=1,"",Returns!D404)</f>
        <v>0.00837801608579092</v>
      </c>
      <c r="E404" s="26" t="n">
        <f aca="false">IF(Returns!$O404=1,"",Returns!E404)</f>
        <v>-0.0105701475107327</v>
      </c>
      <c r="F404" s="26" t="n">
        <f aca="false">IF(Returns!$O404=1,"",Returns!F404)</f>
        <v>-0.0214132762312634</v>
      </c>
      <c r="G404" s="26" t="n">
        <f aca="false">IF(Returns!$O404=1,"",Returns!G404)</f>
        <v>0.000418060200668924</v>
      </c>
      <c r="H404" s="26" t="n">
        <f aca="false">IF(Returns!$O404=1,"",Returns!H404)</f>
        <v>-0.0189456746727481</v>
      </c>
      <c r="I404" s="26" t="n">
        <f aca="false">IF(Returns!$O404=1,"",Returns!I404)</f>
        <v>0.00461544615384613</v>
      </c>
      <c r="J404" s="26" t="n">
        <f aca="false">IF(Returns!$O404=1,"",Returns!J404)</f>
        <v>-0.0145734610255231</v>
      </c>
      <c r="K404" s="26" t="str">
        <f aca="false">IF(Returns!$O404=1,Returns!B404,"")</f>
        <v/>
      </c>
      <c r="L404" s="26" t="str">
        <f aca="false">IF(Returns!$O404=1,Returns!C404,"")</f>
        <v/>
      </c>
      <c r="M404" s="26" t="str">
        <f aca="false">IF(Returns!$O404=1,Returns!D404,"")</f>
        <v/>
      </c>
      <c r="N404" s="26" t="str">
        <f aca="false">IF(Returns!$O404=1,Returns!E404,"")</f>
        <v/>
      </c>
      <c r="O404" s="26" t="str">
        <f aca="false">IF(Returns!$O404=1,Returns!F404,"")</f>
        <v/>
      </c>
      <c r="P404" s="26" t="str">
        <f aca="false">IF(Returns!$O404=1,Returns!G404,"")</f>
        <v/>
      </c>
      <c r="Q404" s="26" t="str">
        <f aca="false">IF(Returns!$O404=1,Returns!H404,"")</f>
        <v/>
      </c>
      <c r="R404" s="26" t="str">
        <f aca="false">IF(Returns!$O404=1,Returns!I404,"")</f>
        <v/>
      </c>
      <c r="S404" s="26" t="str">
        <f aca="false">IF(Returns!$O404=1,Returns!J404,"")</f>
        <v/>
      </c>
      <c r="T404" s="26" t="n">
        <f aca="false">IF(Returns!$O404=1,"",Returns!K404)</f>
        <v>-0.00671417517206289</v>
      </c>
    </row>
    <row r="405" customFormat="false" ht="15" hidden="false" customHeight="false" outlineLevel="0" collapsed="false">
      <c r="A405" s="25" t="n">
        <f aca="false">Returns!A405</f>
        <v>44308</v>
      </c>
      <c r="B405" s="26" t="n">
        <f aca="false">IF(Returns!$O405=1,"",Returns!B405)</f>
        <v>0.00114164655228621</v>
      </c>
      <c r="C405" s="26" t="n">
        <f aca="false">IF(Returns!$O405=1,"",Returns!C405)</f>
        <v>-0.00688754679402648</v>
      </c>
      <c r="D405" s="26" t="n">
        <f aca="false">IF(Returns!$O405=1,"",Returns!D405)</f>
        <v>-0.0262546028580924</v>
      </c>
      <c r="E405" s="26" t="n">
        <f aca="false">IF(Returns!$O405=1,"",Returns!E405)</f>
        <v>-0.0147296862209402</v>
      </c>
      <c r="F405" s="26" t="n">
        <f aca="false">IF(Returns!$O405=1,"",Returns!F405)</f>
        <v>-0.0319474398249454</v>
      </c>
      <c r="G405" s="26" t="n">
        <f aca="false">IF(Returns!$O405=1,"",Returns!G405)</f>
        <v>-0.0346844964479732</v>
      </c>
      <c r="H405" s="26" t="n">
        <f aca="false">IF(Returns!$O405=1,"",Returns!H405)</f>
        <v>-0.00461801007556673</v>
      </c>
      <c r="I405" s="26" t="n">
        <f aca="false">IF(Returns!$O405=1,"",Returns!I405)</f>
        <v>-0.0159265227610094</v>
      </c>
      <c r="J405" s="26" t="n">
        <f aca="false">IF(Returns!$O405=1,"",Returns!J405)</f>
        <v>0.000659372620219534</v>
      </c>
      <c r="K405" s="26" t="str">
        <f aca="false">IF(Returns!$O405=1,Returns!B405,"")</f>
        <v/>
      </c>
      <c r="L405" s="26" t="str">
        <f aca="false">IF(Returns!$O405=1,Returns!C405,"")</f>
        <v/>
      </c>
      <c r="M405" s="26" t="str">
        <f aca="false">IF(Returns!$O405=1,Returns!D405,"")</f>
        <v/>
      </c>
      <c r="N405" s="26" t="str">
        <f aca="false">IF(Returns!$O405=1,Returns!E405,"")</f>
        <v/>
      </c>
      <c r="O405" s="26" t="str">
        <f aca="false">IF(Returns!$O405=1,Returns!F405,"")</f>
        <v/>
      </c>
      <c r="P405" s="26" t="str">
        <f aca="false">IF(Returns!$O405=1,Returns!G405,"")</f>
        <v/>
      </c>
      <c r="Q405" s="26" t="str">
        <f aca="false">IF(Returns!$O405=1,Returns!H405,"")</f>
        <v/>
      </c>
      <c r="R405" s="26" t="str">
        <f aca="false">IF(Returns!$O405=1,Returns!I405,"")</f>
        <v/>
      </c>
      <c r="S405" s="26" t="str">
        <f aca="false">IF(Returns!$O405=1,Returns!J405,"")</f>
        <v/>
      </c>
      <c r="T405" s="26" t="n">
        <f aca="false">IF(Returns!$O405=1,"",Returns!K405)</f>
        <v>-0.0148052539788942</v>
      </c>
    </row>
    <row r="406" customFormat="false" ht="15" hidden="false" customHeight="false" outlineLevel="0" collapsed="false">
      <c r="A406" s="25" t="n">
        <f aca="false">Returns!A406</f>
        <v>44309</v>
      </c>
      <c r="B406" s="26" t="n">
        <f aca="false">IF(Returns!$O406=1,"",Returns!B406)</f>
        <v>0.0073492399226871</v>
      </c>
      <c r="C406" s="26" t="n">
        <f aca="false">IF(Returns!$O406=1,"",Returns!C406)</f>
        <v>0.00693531409438286</v>
      </c>
      <c r="D406" s="26" t="n">
        <f aca="false">IF(Returns!$O406=1,"",Returns!D406)</f>
        <v>-0.00580204797959205</v>
      </c>
      <c r="E406" s="26" t="n">
        <f aca="false">IF(Returns!$O406=1,"",Returns!E406)</f>
        <v>0.0136356499693717</v>
      </c>
      <c r="F406" s="26" t="n">
        <f aca="false">IF(Returns!$O406=1,"",Returns!F406)</f>
        <v>0.0307413186825807</v>
      </c>
      <c r="G406" s="26" t="n">
        <f aca="false">IF(Returns!$O406=1,"",Returns!G406)</f>
        <v>0.0203463203463203</v>
      </c>
      <c r="H406" s="26" t="n">
        <f aca="false">IF(Returns!$O406=1,"",Returns!H406)</f>
        <v>-0.000843441621402041</v>
      </c>
      <c r="I406" s="26" t="n">
        <f aca="false">IF(Returns!$O406=1,"",Returns!I406)</f>
        <v>0.0345471822425401</v>
      </c>
      <c r="J406" s="26" t="n">
        <f aca="false">IF(Returns!$O406=1,"",Returns!J406)</f>
        <v>0.0165677769961092</v>
      </c>
      <c r="K406" s="26" t="str">
        <f aca="false">IF(Returns!$O406=1,Returns!B406,"")</f>
        <v/>
      </c>
      <c r="L406" s="26" t="str">
        <f aca="false">IF(Returns!$O406=1,Returns!C406,"")</f>
        <v/>
      </c>
      <c r="M406" s="26" t="str">
        <f aca="false">IF(Returns!$O406=1,Returns!D406,"")</f>
        <v/>
      </c>
      <c r="N406" s="26" t="str">
        <f aca="false">IF(Returns!$O406=1,Returns!E406,"")</f>
        <v/>
      </c>
      <c r="O406" s="26" t="str">
        <f aca="false">IF(Returns!$O406=1,Returns!F406,"")</f>
        <v/>
      </c>
      <c r="P406" s="26" t="str">
        <f aca="false">IF(Returns!$O406=1,Returns!G406,"")</f>
        <v/>
      </c>
      <c r="Q406" s="26" t="str">
        <f aca="false">IF(Returns!$O406=1,Returns!H406,"")</f>
        <v/>
      </c>
      <c r="R406" s="26" t="str">
        <f aca="false">IF(Returns!$O406=1,Returns!I406,"")</f>
        <v/>
      </c>
      <c r="S406" s="26" t="str">
        <f aca="false">IF(Returns!$O406=1,Returns!J406,"")</f>
        <v/>
      </c>
      <c r="T406" s="26" t="n">
        <f aca="false">IF(Returns!$O406=1,"",Returns!K406)</f>
        <v>0.0137197014058887</v>
      </c>
    </row>
    <row r="407" customFormat="false" ht="15" hidden="false" customHeight="false" outlineLevel="0" collapsed="false">
      <c r="A407" s="25" t="n">
        <f aca="false">Returns!A407</f>
        <v>44312</v>
      </c>
      <c r="B407" s="26" t="n">
        <f aca="false">IF(Returns!$O407=1,"",Returns!B407)</f>
        <v>-0.0325785660377358</v>
      </c>
      <c r="C407" s="26" t="n">
        <f aca="false">IF(Returns!$O407=1,"",Returns!C407)</f>
        <v>-0.0132166423386687</v>
      </c>
      <c r="D407" s="26" t="n">
        <f aca="false">IF(Returns!$O407=1,"",Returns!D407)</f>
        <v>-0.00549261948138069</v>
      </c>
      <c r="E407" s="26" t="n">
        <f aca="false">IF(Returns!$O407=1,"",Returns!E407)</f>
        <v>0.003565591514334</v>
      </c>
      <c r="F407" s="26" t="n">
        <f aca="false">IF(Returns!$O407=1,"",Returns!F407)</f>
        <v>-0.019736799111263</v>
      </c>
      <c r="G407" s="26" t="n">
        <f aca="false">IF(Returns!$O407=1,"",Returns!G407)</f>
        <v>0.0182435299109036</v>
      </c>
      <c r="H407" s="26" t="n">
        <f aca="false">IF(Returns!$O407=1,"",Returns!H407)</f>
        <v>0.00379907117775136</v>
      </c>
      <c r="I407" s="26" t="n">
        <f aca="false">IF(Returns!$O407=1,"",Returns!I407)</f>
        <v>0.00481347744804594</v>
      </c>
      <c r="J407" s="26" t="n">
        <f aca="false">IF(Returns!$O407=1,"",Returns!J407)</f>
        <v>0.00537088629263605</v>
      </c>
      <c r="K407" s="26" t="str">
        <f aca="false">IF(Returns!$O407=1,Returns!B407,"")</f>
        <v/>
      </c>
      <c r="L407" s="26" t="str">
        <f aca="false">IF(Returns!$O407=1,Returns!C407,"")</f>
        <v/>
      </c>
      <c r="M407" s="26" t="str">
        <f aca="false">IF(Returns!$O407=1,Returns!D407,"")</f>
        <v/>
      </c>
      <c r="N407" s="26" t="str">
        <f aca="false">IF(Returns!$O407=1,Returns!E407,"")</f>
        <v/>
      </c>
      <c r="O407" s="26" t="str">
        <f aca="false">IF(Returns!$O407=1,Returns!F407,"")</f>
        <v/>
      </c>
      <c r="P407" s="26" t="str">
        <f aca="false">IF(Returns!$O407=1,Returns!G407,"")</f>
        <v/>
      </c>
      <c r="Q407" s="26" t="str">
        <f aca="false">IF(Returns!$O407=1,Returns!H407,"")</f>
        <v/>
      </c>
      <c r="R407" s="26" t="str">
        <f aca="false">IF(Returns!$O407=1,Returns!I407,"")</f>
        <v/>
      </c>
      <c r="S407" s="26" t="str">
        <f aca="false">IF(Returns!$O407=1,Returns!J407,"")</f>
        <v/>
      </c>
      <c r="T407" s="26" t="n">
        <f aca="false">IF(Returns!$O407=1,"",Returns!K407)</f>
        <v>-0.00391467451393081</v>
      </c>
    </row>
    <row r="408" customFormat="false" ht="15" hidden="false" customHeight="false" outlineLevel="0" collapsed="false">
      <c r="A408" s="25" t="n">
        <f aca="false">Returns!A408</f>
        <v>44313</v>
      </c>
      <c r="B408" s="26" t="n">
        <f aca="false">IF(Returns!$O408=1,"",Returns!B408)</f>
        <v>-0.00572101127442415</v>
      </c>
      <c r="C408" s="26" t="n">
        <f aca="false">IF(Returns!$O408=1,"",Returns!C408)</f>
        <v>-0.00113186191284675</v>
      </c>
      <c r="D408" s="26" t="n">
        <f aca="false">IF(Returns!$O408=1,"",Returns!D408)</f>
        <v>0.0107007942941246</v>
      </c>
      <c r="E408" s="26" t="n">
        <f aca="false">IF(Returns!$O408=1,"",Returns!E408)</f>
        <v>-0.0142118383143359</v>
      </c>
      <c r="F408" s="26" t="n">
        <f aca="false">IF(Returns!$O408=1,"",Returns!F408)</f>
        <v>-0.0232662192393738</v>
      </c>
      <c r="G408" s="26" t="n">
        <f aca="false">IF(Returns!$O408=1,"",Returns!G408)</f>
        <v>-0.0154167083333333</v>
      </c>
      <c r="H408" s="26" t="n">
        <f aca="false">IF(Returns!$O408=1,"",Returns!H408)</f>
        <v>-0.0285954992180193</v>
      </c>
      <c r="I408" s="26" t="n">
        <f aca="false">IF(Returns!$O408=1,"",Returns!I408)</f>
        <v>-0.0224550884757432</v>
      </c>
      <c r="J408" s="26" t="n">
        <f aca="false">IF(Returns!$O408=1,"",Returns!J408)</f>
        <v>0.0142765312701483</v>
      </c>
      <c r="K408" s="26" t="str">
        <f aca="false">IF(Returns!$O408=1,Returns!B408,"")</f>
        <v/>
      </c>
      <c r="L408" s="26" t="str">
        <f aca="false">IF(Returns!$O408=1,Returns!C408,"")</f>
        <v/>
      </c>
      <c r="M408" s="26" t="str">
        <f aca="false">IF(Returns!$O408=1,Returns!D408,"")</f>
        <v/>
      </c>
      <c r="N408" s="26" t="str">
        <f aca="false">IF(Returns!$O408=1,Returns!E408,"")</f>
        <v/>
      </c>
      <c r="O408" s="26" t="str">
        <f aca="false">IF(Returns!$O408=1,Returns!F408,"")</f>
        <v/>
      </c>
      <c r="P408" s="26" t="str">
        <f aca="false">IF(Returns!$O408=1,Returns!G408,"")</f>
        <v/>
      </c>
      <c r="Q408" s="26" t="str">
        <f aca="false">IF(Returns!$O408=1,Returns!H408,"")</f>
        <v/>
      </c>
      <c r="R408" s="26" t="str">
        <f aca="false">IF(Returns!$O408=1,Returns!I408,"")</f>
        <v/>
      </c>
      <c r="S408" s="26" t="str">
        <f aca="false">IF(Returns!$O408=1,Returns!J408,"")</f>
        <v/>
      </c>
      <c r="T408" s="26" t="n">
        <f aca="false">IF(Returns!$O408=1,"",Returns!K408)</f>
        <v>-0.0095356556893115</v>
      </c>
    </row>
    <row r="409" customFormat="false" ht="15" hidden="false" customHeight="false" outlineLevel="0" collapsed="false">
      <c r="A409" s="25" t="n">
        <f aca="false">Returns!A409</f>
        <v>44314</v>
      </c>
      <c r="B409" s="26" t="n">
        <f aca="false">IF(Returns!$O409=1,"",Returns!B409)</f>
        <v>0.00457694514741802</v>
      </c>
      <c r="C409" s="26" t="n">
        <f aca="false">IF(Returns!$O409=1,"",Returns!C409)</f>
        <v>0.0122757507082154</v>
      </c>
      <c r="D409" s="26" t="n">
        <f aca="false">IF(Returns!$O409=1,"",Returns!D409)</f>
        <v>-0.0368852446418974</v>
      </c>
      <c r="E409" s="26" t="n">
        <f aca="false">IF(Returns!$O409=1,"",Returns!E409)</f>
        <v>0.0340759824037356</v>
      </c>
      <c r="F409" s="26" t="n">
        <f aca="false">IF(Returns!$O409=1,"",Returns!F409)</f>
        <v>0.036646770499313</v>
      </c>
      <c r="G409" s="26" t="n">
        <f aca="false">IF(Returns!$O409=1,"",Returns!G409)</f>
        <v>0.0135421927017432</v>
      </c>
      <c r="H409" s="26" t="n">
        <f aca="false">IF(Returns!$O409=1,"",Returns!H409)</f>
        <v>0.0363636796536795</v>
      </c>
      <c r="I409" s="26" t="n">
        <f aca="false">IF(Returns!$O409=1,"",Returns!I409)</f>
        <v>0.0079631848108308</v>
      </c>
      <c r="J409" s="26" t="n">
        <f aca="false">IF(Returns!$O409=1,"",Returns!J409)</f>
        <v>0.016345758726505</v>
      </c>
      <c r="K409" s="26" t="str">
        <f aca="false">IF(Returns!$O409=1,Returns!B409,"")</f>
        <v/>
      </c>
      <c r="L409" s="26" t="str">
        <f aca="false">IF(Returns!$O409=1,Returns!C409,"")</f>
        <v/>
      </c>
      <c r="M409" s="26" t="str">
        <f aca="false">IF(Returns!$O409=1,Returns!D409,"")</f>
        <v/>
      </c>
      <c r="N409" s="26" t="str">
        <f aca="false">IF(Returns!$O409=1,Returns!E409,"")</f>
        <v/>
      </c>
      <c r="O409" s="26" t="str">
        <f aca="false">IF(Returns!$O409=1,Returns!F409,"")</f>
        <v/>
      </c>
      <c r="P409" s="26" t="str">
        <f aca="false">IF(Returns!$O409=1,Returns!G409,"")</f>
        <v/>
      </c>
      <c r="Q409" s="26" t="str">
        <f aca="false">IF(Returns!$O409=1,Returns!H409,"")</f>
        <v/>
      </c>
      <c r="R409" s="26" t="str">
        <f aca="false">IF(Returns!$O409=1,Returns!I409,"")</f>
        <v/>
      </c>
      <c r="S409" s="26" t="str">
        <f aca="false">IF(Returns!$O409=1,Returns!J409,"")</f>
        <v/>
      </c>
      <c r="T409" s="26" t="n">
        <f aca="false">IF(Returns!$O409=1,"",Returns!K409)</f>
        <v>0.0138783355566159</v>
      </c>
    </row>
    <row r="410" customFormat="false" ht="15" hidden="false" customHeight="false" outlineLevel="0" collapsed="false">
      <c r="A410" s="25" t="n">
        <f aca="false">Returns!A410</f>
        <v>44315</v>
      </c>
      <c r="B410" s="26" t="n">
        <f aca="false">IF(Returns!$O410=1,"",Returns!B410)</f>
        <v>-0.00846136422806543</v>
      </c>
      <c r="C410" s="26" t="n">
        <f aca="false">IF(Returns!$O410=1,"",Returns!C410)</f>
        <v>-0.0195896078434774</v>
      </c>
      <c r="D410" s="26" t="n">
        <f aca="false">IF(Returns!$O410=1,"",Returns!D410)</f>
        <v>0</v>
      </c>
      <c r="E410" s="26" t="n">
        <f aca="false">IF(Returns!$O410=1,"",Returns!E410)</f>
        <v>0.00396070982193764</v>
      </c>
      <c r="F410" s="26" t="n">
        <f aca="false">IF(Returns!$O410=1,"",Returns!F410)</f>
        <v>-0.0517012837693895</v>
      </c>
      <c r="G410" s="26" t="n">
        <f aca="false">IF(Returns!$O410=1,"",Returns!G410)</f>
        <v>-0.0217119406383324</v>
      </c>
      <c r="H410" s="26" t="n">
        <f aca="false">IF(Returns!$O410=1,"",Returns!H410)</f>
        <v>-0.0133667496505118</v>
      </c>
      <c r="I410" s="26" t="n">
        <f aca="false">IF(Returns!$O410=1,"",Returns!I410)</f>
        <v>0.0145852020662414</v>
      </c>
      <c r="J410" s="26" t="n">
        <f aca="false">IF(Returns!$O410=1,"",Returns!J410)</f>
        <v>0.000268039675983545</v>
      </c>
      <c r="K410" s="26" t="str">
        <f aca="false">IF(Returns!$O410=1,Returns!B410,"")</f>
        <v/>
      </c>
      <c r="L410" s="26" t="str">
        <f aca="false">IF(Returns!$O410=1,Returns!C410,"")</f>
        <v/>
      </c>
      <c r="M410" s="26" t="str">
        <f aca="false">IF(Returns!$O410=1,Returns!D410,"")</f>
        <v/>
      </c>
      <c r="N410" s="26" t="str">
        <f aca="false">IF(Returns!$O410=1,Returns!E410,"")</f>
        <v/>
      </c>
      <c r="O410" s="26" t="str">
        <f aca="false">IF(Returns!$O410=1,Returns!F410,"")</f>
        <v/>
      </c>
      <c r="P410" s="26" t="str">
        <f aca="false">IF(Returns!$O410=1,Returns!G410,"")</f>
        <v/>
      </c>
      <c r="Q410" s="26" t="str">
        <f aca="false">IF(Returns!$O410=1,Returns!H410,"")</f>
        <v/>
      </c>
      <c r="R410" s="26" t="str">
        <f aca="false">IF(Returns!$O410=1,Returns!I410,"")</f>
        <v/>
      </c>
      <c r="S410" s="26" t="str">
        <f aca="false">IF(Returns!$O410=1,Returns!J410,"")</f>
        <v/>
      </c>
      <c r="T410" s="26" t="n">
        <f aca="false">IF(Returns!$O410=1,"",Returns!K410)</f>
        <v>-0.0106685549517349</v>
      </c>
    </row>
    <row r="411" customFormat="false" ht="15" hidden="false" customHeight="false" outlineLevel="0" collapsed="false">
      <c r="A411" s="25" t="n">
        <f aca="false">Returns!A411</f>
        <v>44316</v>
      </c>
      <c r="B411" s="26" t="n">
        <f aca="false">IF(Returns!$O411=1,"",Returns!B411)</f>
        <v>-0.00682678237696688</v>
      </c>
      <c r="C411" s="26" t="n">
        <f aca="false">IF(Returns!$O411=1,"",Returns!C411)</f>
        <v>-0.0199809712647373</v>
      </c>
      <c r="D411" s="26" t="n">
        <f aca="false">IF(Returns!$O411=1,"",Returns!D411)</f>
        <v>-0.0113475882500855</v>
      </c>
      <c r="E411" s="26" t="n">
        <f aca="false">IF(Returns!$O411=1,"",Returns!E411)</f>
        <v>0.0146757774132205</v>
      </c>
      <c r="F411" s="26" t="n">
        <f aca="false">IF(Returns!$O411=1,"",Returns!F411)</f>
        <v>-0.0279589015824279</v>
      </c>
      <c r="G411" s="26" t="n">
        <f aca="false">IF(Returns!$O411=1,"",Returns!G411)</f>
        <v>-0.0170720870678618</v>
      </c>
      <c r="H411" s="26" t="n">
        <f aca="false">IF(Returns!$O411=1,"",Returns!H411)</f>
        <v>0</v>
      </c>
      <c r="I411" s="26" t="n">
        <f aca="false">IF(Returns!$O411=1,"",Returns!I411)</f>
        <v>-0.0248576826851658</v>
      </c>
      <c r="J411" s="26" t="n">
        <f aca="false">IF(Returns!$O411=1,"",Returns!J411)</f>
        <v>-0.0261723990934988</v>
      </c>
      <c r="K411" s="26" t="str">
        <f aca="false">IF(Returns!$O411=1,Returns!B411,"")</f>
        <v/>
      </c>
      <c r="L411" s="26" t="str">
        <f aca="false">IF(Returns!$O411=1,Returns!C411,"")</f>
        <v/>
      </c>
      <c r="M411" s="26" t="str">
        <f aca="false">IF(Returns!$O411=1,Returns!D411,"")</f>
        <v/>
      </c>
      <c r="N411" s="26" t="str">
        <f aca="false">IF(Returns!$O411=1,Returns!E411,"")</f>
        <v/>
      </c>
      <c r="O411" s="26" t="str">
        <f aca="false">IF(Returns!$O411=1,Returns!F411,"")</f>
        <v/>
      </c>
      <c r="P411" s="26" t="str">
        <f aca="false">IF(Returns!$O411=1,Returns!G411,"")</f>
        <v/>
      </c>
      <c r="Q411" s="26" t="str">
        <f aca="false">IF(Returns!$O411=1,Returns!H411,"")</f>
        <v/>
      </c>
      <c r="R411" s="26" t="str">
        <f aca="false">IF(Returns!$O411=1,Returns!I411,"")</f>
        <v/>
      </c>
      <c r="S411" s="26" t="str">
        <f aca="false">IF(Returns!$O411=1,Returns!J411,"")</f>
        <v/>
      </c>
      <c r="T411" s="26" t="n">
        <f aca="false">IF(Returns!$O411=1,"",Returns!K411)</f>
        <v>-0.0132822927675026</v>
      </c>
    </row>
    <row r="412" customFormat="false" ht="15" hidden="false" customHeight="false" outlineLevel="0" collapsed="false">
      <c r="A412" s="25" t="n">
        <f aca="false">Returns!A412</f>
        <v>44319</v>
      </c>
      <c r="B412" s="26" t="n">
        <f aca="false">IF(Returns!$O412=1,"",Returns!B412)</f>
        <v>-0.000396549890375519</v>
      </c>
      <c r="C412" s="26" t="n">
        <f aca="false">IF(Returns!$O412=1,"",Returns!C412)</f>
        <v>-0.000194097094916357</v>
      </c>
      <c r="D412" s="26" t="n">
        <f aca="false">IF(Returns!$O412=1,"",Returns!D412)</f>
        <v>-0.0125537307228742</v>
      </c>
      <c r="E412" s="26" t="n">
        <f aca="false">IF(Returns!$O412=1,"",Returns!E412)</f>
        <v>-0.00295492987768609</v>
      </c>
      <c r="F412" s="26" t="n">
        <f aca="false">IF(Returns!$O412=1,"",Returns!F412)</f>
        <v>0.00431447726200962</v>
      </c>
      <c r="G412" s="26" t="n">
        <f aca="false">IF(Returns!$O412=1,"",Returns!G412)</f>
        <v>0.042118929999178</v>
      </c>
      <c r="H412" s="26" t="n">
        <f aca="false">IF(Returns!$O412=1,"",Returns!H412)</f>
        <v>-0.00804407247908245</v>
      </c>
      <c r="I412" s="26" t="n">
        <f aca="false">IF(Returns!$O412=1,"",Returns!I412)</f>
        <v>0.0181204232763998</v>
      </c>
      <c r="J412" s="26" t="n">
        <f aca="false">IF(Returns!$O412=1,"",Returns!J412)</f>
        <v>-0.00513665396633622</v>
      </c>
      <c r="K412" s="26" t="str">
        <f aca="false">IF(Returns!$O412=1,Returns!B412,"")</f>
        <v/>
      </c>
      <c r="L412" s="26" t="str">
        <f aca="false">IF(Returns!$O412=1,Returns!C412,"")</f>
        <v/>
      </c>
      <c r="M412" s="26" t="str">
        <f aca="false">IF(Returns!$O412=1,Returns!D412,"")</f>
        <v/>
      </c>
      <c r="N412" s="26" t="str">
        <f aca="false">IF(Returns!$O412=1,Returns!E412,"")</f>
        <v/>
      </c>
      <c r="O412" s="26" t="str">
        <f aca="false">IF(Returns!$O412=1,Returns!F412,"")</f>
        <v/>
      </c>
      <c r="P412" s="26" t="str">
        <f aca="false">IF(Returns!$O412=1,Returns!G412,"")</f>
        <v/>
      </c>
      <c r="Q412" s="26" t="str">
        <f aca="false">IF(Returns!$O412=1,Returns!H412,"")</f>
        <v/>
      </c>
      <c r="R412" s="26" t="str">
        <f aca="false">IF(Returns!$O412=1,Returns!I412,"")</f>
        <v/>
      </c>
      <c r="S412" s="26" t="str">
        <f aca="false">IF(Returns!$O412=1,Returns!J412,"")</f>
        <v/>
      </c>
      <c r="T412" s="26" t="n">
        <f aca="false">IF(Returns!$O412=1,"",Returns!K412)</f>
        <v>0.00391931072292406</v>
      </c>
    </row>
    <row r="413" customFormat="false" ht="15" hidden="false" customHeight="false" outlineLevel="0" collapsed="false">
      <c r="A413" s="25" t="n">
        <f aca="false">Returns!A413</f>
        <v>44320</v>
      </c>
      <c r="B413" s="26" t="n">
        <f aca="false">IF(Returns!$O413=1,"",Returns!B413)</f>
        <v>0.00502508575674088</v>
      </c>
      <c r="C413" s="26" t="n">
        <f aca="false">IF(Returns!$O413=1,"",Returns!C413)</f>
        <v>-0.0159255188997662</v>
      </c>
      <c r="D413" s="26" t="n">
        <f aca="false">IF(Returns!$O413=1,"",Returns!D413)</f>
        <v>-0.00544867397571103</v>
      </c>
      <c r="E413" s="26" t="n">
        <f aca="false">IF(Returns!$O413=1,"",Returns!E413)</f>
        <v>-0.021369505204032</v>
      </c>
      <c r="F413" s="26" t="n">
        <f aca="false">IF(Returns!$O413=1,"",Returns!F413)</f>
        <v>0.00238658699825356</v>
      </c>
      <c r="G413" s="26" t="n">
        <f aca="false">IF(Returns!$O413=1,"",Returns!G413)</f>
        <v>-0.0145833333333334</v>
      </c>
      <c r="H413" s="26" t="n">
        <f aca="false">IF(Returns!$O413=1,"",Returns!H413)</f>
        <v>-0.0230474178403756</v>
      </c>
      <c r="I413" s="26" t="n">
        <f aca="false">IF(Returns!$O413=1,"",Returns!I413)</f>
        <v>-0.00693828012438735</v>
      </c>
      <c r="J413" s="26" t="n">
        <f aca="false">IF(Returns!$O413=1,"",Returns!J413)</f>
        <v>0.0151207727744862</v>
      </c>
      <c r="K413" s="26" t="str">
        <f aca="false">IF(Returns!$O413=1,Returns!B413,"")</f>
        <v/>
      </c>
      <c r="L413" s="26" t="str">
        <f aca="false">IF(Returns!$O413=1,Returns!C413,"")</f>
        <v/>
      </c>
      <c r="M413" s="26" t="str">
        <f aca="false">IF(Returns!$O413=1,Returns!D413,"")</f>
        <v/>
      </c>
      <c r="N413" s="26" t="str">
        <f aca="false">IF(Returns!$O413=1,Returns!E413,"")</f>
        <v/>
      </c>
      <c r="O413" s="26" t="str">
        <f aca="false">IF(Returns!$O413=1,Returns!F413,"")</f>
        <v/>
      </c>
      <c r="P413" s="26" t="str">
        <f aca="false">IF(Returns!$O413=1,Returns!G413,"")</f>
        <v/>
      </c>
      <c r="Q413" s="26" t="str">
        <f aca="false">IF(Returns!$O413=1,Returns!H413,"")</f>
        <v/>
      </c>
      <c r="R413" s="26" t="str">
        <f aca="false">IF(Returns!$O413=1,Returns!I413,"")</f>
        <v/>
      </c>
      <c r="S413" s="26" t="str">
        <f aca="false">IF(Returns!$O413=1,Returns!J413,"")</f>
        <v/>
      </c>
      <c r="T413" s="26" t="n">
        <f aca="false">IF(Returns!$O413=1,"",Returns!K413)</f>
        <v>-0.00719780931645833</v>
      </c>
    </row>
    <row r="414" customFormat="false" ht="15" hidden="false" customHeight="false" outlineLevel="0" collapsed="false">
      <c r="A414" s="25" t="n">
        <f aca="false">Returns!A414</f>
        <v>44321</v>
      </c>
      <c r="B414" s="26" t="n">
        <f aca="false">IF(Returns!$O414=1,"",Returns!B414)</f>
        <v>0.0453946973684209</v>
      </c>
      <c r="C414" s="26" t="n">
        <f aca="false">IF(Returns!$O414=1,"",Returns!C414)</f>
        <v>0.0163805219881896</v>
      </c>
      <c r="D414" s="26" t="n">
        <f aca="false">IF(Returns!$O414=1,"",Returns!D414)</f>
        <v>0.0186267355232554</v>
      </c>
      <c r="E414" s="26" t="n">
        <f aca="false">IF(Returns!$O414=1,"",Returns!E414)</f>
        <v>-0.0181702895068444</v>
      </c>
      <c r="F414" s="26" t="n">
        <f aca="false">IF(Returns!$O414=1,"",Returns!F414)</f>
        <v>-0.00428571428571423</v>
      </c>
      <c r="G414" s="26" t="n">
        <f aca="false">IF(Returns!$O414=1,"",Returns!G414)</f>
        <v>0.00084566596194513</v>
      </c>
      <c r="H414" s="26" t="n">
        <f aca="false">IF(Returns!$O414=1,"",Returns!H414)</f>
        <v>0.041066013152731</v>
      </c>
      <c r="I414" s="26" t="n">
        <f aca="false">IF(Returns!$O414=1,"",Returns!I414)</f>
        <v>0.0312880638692628</v>
      </c>
      <c r="J414" s="26" t="n">
        <f aca="false">IF(Returns!$O414=1,"",Returns!J414)</f>
        <v>0.00554042698529389</v>
      </c>
      <c r="K414" s="26" t="str">
        <f aca="false">IF(Returns!$O414=1,Returns!B414,"")</f>
        <v/>
      </c>
      <c r="L414" s="26" t="str">
        <f aca="false">IF(Returns!$O414=1,Returns!C414,"")</f>
        <v/>
      </c>
      <c r="M414" s="26" t="str">
        <f aca="false">IF(Returns!$O414=1,Returns!D414,"")</f>
        <v/>
      </c>
      <c r="N414" s="26" t="str">
        <f aca="false">IF(Returns!$O414=1,Returns!E414,"")</f>
        <v/>
      </c>
      <c r="O414" s="26" t="str">
        <f aca="false">IF(Returns!$O414=1,Returns!F414,"")</f>
        <v/>
      </c>
      <c r="P414" s="26" t="str">
        <f aca="false">IF(Returns!$O414=1,Returns!G414,"")</f>
        <v/>
      </c>
      <c r="Q414" s="26" t="str">
        <f aca="false">IF(Returns!$O414=1,Returns!H414,"")</f>
        <v/>
      </c>
      <c r="R414" s="26" t="str">
        <f aca="false">IF(Returns!$O414=1,Returns!I414,"")</f>
        <v/>
      </c>
      <c r="S414" s="26" t="str">
        <f aca="false">IF(Returns!$O414=1,Returns!J414,"")</f>
        <v/>
      </c>
      <c r="T414" s="26" t="n">
        <f aca="false">IF(Returns!$O414=1,"",Returns!K414)</f>
        <v>0.01518734678406</v>
      </c>
    </row>
    <row r="415" customFormat="false" ht="15" hidden="false" customHeight="false" outlineLevel="0" collapsed="false">
      <c r="A415" s="25" t="n">
        <f aca="false">Returns!A415</f>
        <v>44322</v>
      </c>
      <c r="B415" s="26" t="n">
        <f aca="false">IF(Returns!$O415=1,"",Returns!B415)</f>
        <v>0.00692263084666966</v>
      </c>
      <c r="C415" s="26" t="n">
        <f aca="false">IF(Returns!$O415=1,"",Returns!C415)</f>
        <v>-0.0135922723725154</v>
      </c>
      <c r="D415" s="26" t="n">
        <f aca="false">IF(Returns!$O415=1,"",Returns!D415)</f>
        <v>-0.00143417000481061</v>
      </c>
      <c r="E415" s="26" t="n">
        <f aca="false">IF(Returns!$O415=1,"",Returns!E415)</f>
        <v>0.00275977281687578</v>
      </c>
      <c r="F415" s="26" t="n">
        <f aca="false">IF(Returns!$O415=1,"",Returns!F415)</f>
        <v>-0.0219989956958393</v>
      </c>
      <c r="G415" s="26" t="n">
        <f aca="false">IF(Returns!$O415=1,"",Returns!G415)</f>
        <v>0.00591461765948464</v>
      </c>
      <c r="H415" s="26" t="n">
        <f aca="false">IF(Returns!$O415=1,"",Returns!H415)</f>
        <v>-0.0138480906420477</v>
      </c>
      <c r="I415" s="26" t="n">
        <f aca="false">IF(Returns!$O415=1,"",Returns!I415)</f>
        <v>-0.0035345801609844</v>
      </c>
      <c r="J415" s="26" t="n">
        <f aca="false">IF(Returns!$O415=1,"",Returns!J415)</f>
        <v>0.0392015539626192</v>
      </c>
      <c r="K415" s="26" t="str">
        <f aca="false">IF(Returns!$O415=1,Returns!B415,"")</f>
        <v/>
      </c>
      <c r="L415" s="26" t="str">
        <f aca="false">IF(Returns!$O415=1,Returns!C415,"")</f>
        <v/>
      </c>
      <c r="M415" s="26" t="str">
        <f aca="false">IF(Returns!$O415=1,Returns!D415,"")</f>
        <v/>
      </c>
      <c r="N415" s="26" t="str">
        <f aca="false">IF(Returns!$O415=1,Returns!E415,"")</f>
        <v/>
      </c>
      <c r="O415" s="26" t="str">
        <f aca="false">IF(Returns!$O415=1,Returns!F415,"")</f>
        <v/>
      </c>
      <c r="P415" s="26" t="str">
        <f aca="false">IF(Returns!$O415=1,Returns!G415,"")</f>
        <v/>
      </c>
      <c r="Q415" s="26" t="str">
        <f aca="false">IF(Returns!$O415=1,Returns!H415,"")</f>
        <v/>
      </c>
      <c r="R415" s="26" t="str">
        <f aca="false">IF(Returns!$O415=1,Returns!I415,"")</f>
        <v/>
      </c>
      <c r="S415" s="26" t="str">
        <f aca="false">IF(Returns!$O415=1,Returns!J415,"")</f>
        <v/>
      </c>
      <c r="T415" s="26" t="n">
        <f aca="false">IF(Returns!$O415=1,"",Returns!K415)</f>
        <v>4.33851566057601E-005</v>
      </c>
    </row>
    <row r="416" customFormat="false" ht="15" hidden="false" customHeight="false" outlineLevel="0" collapsed="false">
      <c r="A416" s="25" t="n">
        <f aca="false">Returns!A416</f>
        <v>44323</v>
      </c>
      <c r="B416" s="26" t="n">
        <f aca="false">IF(Returns!$O416=1,"",Returns!B416)</f>
        <v>0.0136249500000001</v>
      </c>
      <c r="C416" s="26" t="n">
        <f aca="false">IF(Returns!$O416=1,"",Returns!C416)</f>
        <v>0.0500001417322946</v>
      </c>
      <c r="D416" s="26" t="n">
        <f aca="false">IF(Returns!$O416=1,"",Returns!D416)</f>
        <v>0.00179533213644523</v>
      </c>
      <c r="E416" s="26" t="n">
        <f aca="false">IF(Returns!$O416=1,"",Returns!E416)</f>
        <v>0.0233122713291243</v>
      </c>
      <c r="F416" s="26" t="n">
        <f aca="false">IF(Returns!$O416=1,"",Returns!F416)</f>
        <v>0.0024449387557488</v>
      </c>
      <c r="G416" s="26" t="n">
        <f aca="false">IF(Returns!$O416=1,"",Returns!G416)</f>
        <v>0.0424191953976982</v>
      </c>
      <c r="H416" s="26" t="n">
        <f aca="false">IF(Returns!$O416=1,"",Returns!H416)</f>
        <v>0.0374467659574469</v>
      </c>
      <c r="I416" s="26" t="n">
        <f aca="false">IF(Returns!$O416=1,"",Returns!I416)</f>
        <v>0.0224652070667926</v>
      </c>
      <c r="J416" s="26" t="n">
        <f aca="false">IF(Returns!$O416=1,"",Returns!J416)</f>
        <v>0.00347669699756548</v>
      </c>
      <c r="K416" s="26" t="str">
        <f aca="false">IF(Returns!$O416=1,Returns!B416,"")</f>
        <v/>
      </c>
      <c r="L416" s="26" t="str">
        <f aca="false">IF(Returns!$O416=1,Returns!C416,"")</f>
        <v/>
      </c>
      <c r="M416" s="26" t="str">
        <f aca="false">IF(Returns!$O416=1,Returns!D416,"")</f>
        <v/>
      </c>
      <c r="N416" s="26" t="str">
        <f aca="false">IF(Returns!$O416=1,Returns!E416,"")</f>
        <v/>
      </c>
      <c r="O416" s="26" t="str">
        <f aca="false">IF(Returns!$O416=1,Returns!F416,"")</f>
        <v/>
      </c>
      <c r="P416" s="26" t="str">
        <f aca="false">IF(Returns!$O416=1,Returns!G416,"")</f>
        <v/>
      </c>
      <c r="Q416" s="26" t="str">
        <f aca="false">IF(Returns!$O416=1,Returns!H416,"")</f>
        <v/>
      </c>
      <c r="R416" s="26" t="str">
        <f aca="false">IF(Returns!$O416=1,Returns!I416,"")</f>
        <v/>
      </c>
      <c r="S416" s="26" t="str">
        <f aca="false">IF(Returns!$O416=1,Returns!J416,"")</f>
        <v/>
      </c>
      <c r="T416" s="26" t="n">
        <f aca="false">IF(Returns!$O416=1,"",Returns!K416)</f>
        <v>0.021887277708124</v>
      </c>
    </row>
    <row r="417" customFormat="false" ht="15" hidden="false" customHeight="false" outlineLevel="0" collapsed="false">
      <c r="A417" s="25" t="n">
        <f aca="false">Returns!A417</f>
        <v>44326</v>
      </c>
      <c r="B417" s="26" t="n">
        <f aca="false">IF(Returns!$O417=1,"",Returns!B417)</f>
        <v>0.00727591600818434</v>
      </c>
      <c r="C417" s="26" t="n">
        <f aca="false">IF(Returns!$O417=1,"",Returns!C417)</f>
        <v>-0.00074999995781766</v>
      </c>
      <c r="D417" s="26" t="n">
        <f aca="false">IF(Returns!$O417=1,"",Returns!D417)</f>
        <v>0.00430107526881729</v>
      </c>
      <c r="E417" s="26" t="n">
        <f aca="false">IF(Returns!$O417=1,"",Returns!E417)</f>
        <v>-0.00411324164077276</v>
      </c>
      <c r="F417" s="26" t="n">
        <f aca="false">IF(Returns!$O417=1,"",Returns!F417)</f>
        <v>-0.0395121463414635</v>
      </c>
      <c r="G417" s="26" t="n">
        <f aca="false">IF(Returns!$O417=1,"",Returns!G417)</f>
        <v>0.00886385979049154</v>
      </c>
      <c r="H417" s="26" t="n">
        <f aca="false">IF(Returns!$O417=1,"",Returns!H417)</f>
        <v>0.0131255952881704</v>
      </c>
      <c r="I417" s="26" t="n">
        <f aca="false">IF(Returns!$O417=1,"",Returns!I417)</f>
        <v>-0.0196588609424692</v>
      </c>
      <c r="J417" s="26" t="n">
        <f aca="false">IF(Returns!$O417=1,"",Returns!J417)</f>
        <v>-0.00658289319834271</v>
      </c>
      <c r="K417" s="26" t="str">
        <f aca="false">IF(Returns!$O417=1,Returns!B417,"")</f>
        <v/>
      </c>
      <c r="L417" s="26" t="str">
        <f aca="false">IF(Returns!$O417=1,Returns!C417,"")</f>
        <v/>
      </c>
      <c r="M417" s="26" t="str">
        <f aca="false">IF(Returns!$O417=1,Returns!D417,"")</f>
        <v/>
      </c>
      <c r="N417" s="26" t="str">
        <f aca="false">IF(Returns!$O417=1,Returns!E417,"")</f>
        <v/>
      </c>
      <c r="O417" s="26" t="str">
        <f aca="false">IF(Returns!$O417=1,Returns!F417,"")</f>
        <v/>
      </c>
      <c r="P417" s="26" t="str">
        <f aca="false">IF(Returns!$O417=1,Returns!G417,"")</f>
        <v/>
      </c>
      <c r="Q417" s="26" t="str">
        <f aca="false">IF(Returns!$O417=1,Returns!H417,"")</f>
        <v/>
      </c>
      <c r="R417" s="26" t="str">
        <f aca="false">IF(Returns!$O417=1,Returns!I417,"")</f>
        <v/>
      </c>
      <c r="S417" s="26" t="str">
        <f aca="false">IF(Returns!$O417=1,Returns!J417,"")</f>
        <v/>
      </c>
      <c r="T417" s="26" t="n">
        <f aca="false">IF(Returns!$O417=1,"",Returns!K417)</f>
        <v>-0.00411674396946692</v>
      </c>
    </row>
    <row r="418" customFormat="false" ht="15" hidden="false" customHeight="false" outlineLevel="0" collapsed="false">
      <c r="A418" s="25" t="n">
        <f aca="false">Returns!A418</f>
        <v>44327</v>
      </c>
      <c r="B418" s="26" t="n">
        <f aca="false">IF(Returns!$O418=1,"",Returns!B418)</f>
        <v>0.00391772771792343</v>
      </c>
      <c r="C418" s="26" t="n">
        <f aca="false">IF(Returns!$O418=1,"",Returns!C418)</f>
        <v>-0.00844272076708152</v>
      </c>
      <c r="D418" s="26" t="n">
        <f aca="false">IF(Returns!$O418=1,"",Returns!D418)</f>
        <v>0.00999282655246248</v>
      </c>
      <c r="E418" s="26" t="n">
        <f aca="false">IF(Returns!$O418=1,"",Returns!E418)</f>
        <v>-0.00174743444404391</v>
      </c>
      <c r="F418" s="26" t="n">
        <f aca="false">IF(Returns!$O418=1,"",Returns!F418)</f>
        <v>-0.00457089870132543</v>
      </c>
      <c r="G418" s="26" t="n">
        <f aca="false">IF(Returns!$O418=1,"",Returns!G418)</f>
        <v>-0.00838662107082189</v>
      </c>
      <c r="H418" s="26" t="n">
        <f aca="false">IF(Returns!$O418=1,"",Returns!H418)</f>
        <v>0.0182185822583569</v>
      </c>
      <c r="I418" s="26" t="n">
        <f aca="false">IF(Returns!$O418=1,"",Returns!I418)</f>
        <v>0.0197582424063698</v>
      </c>
      <c r="J418" s="26" t="n">
        <f aca="false">IF(Returns!$O418=1,"",Returns!J418)</f>
        <v>0.0351381892904665</v>
      </c>
      <c r="K418" s="26" t="str">
        <f aca="false">IF(Returns!$O418=1,Returns!B418,"")</f>
        <v/>
      </c>
      <c r="L418" s="26" t="str">
        <f aca="false">IF(Returns!$O418=1,Returns!C418,"")</f>
        <v/>
      </c>
      <c r="M418" s="26" t="str">
        <f aca="false">IF(Returns!$O418=1,Returns!D418,"")</f>
        <v/>
      </c>
      <c r="N418" s="26" t="str">
        <f aca="false">IF(Returns!$O418=1,Returns!E418,"")</f>
        <v/>
      </c>
      <c r="O418" s="26" t="str">
        <f aca="false">IF(Returns!$O418=1,Returns!F418,"")</f>
        <v/>
      </c>
      <c r="P418" s="26" t="str">
        <f aca="false">IF(Returns!$O418=1,Returns!G418,"")</f>
        <v/>
      </c>
      <c r="Q418" s="26" t="str">
        <f aca="false">IF(Returns!$O418=1,Returns!H418,"")</f>
        <v/>
      </c>
      <c r="R418" s="26" t="str">
        <f aca="false">IF(Returns!$O418=1,Returns!I418,"")</f>
        <v/>
      </c>
      <c r="S418" s="26" t="str">
        <f aca="false">IF(Returns!$O418=1,Returns!J418,"")</f>
        <v/>
      </c>
      <c r="T418" s="26" t="n">
        <f aca="false">IF(Returns!$O418=1,"",Returns!K418)</f>
        <v>0.0070975436935896</v>
      </c>
    </row>
    <row r="419" customFormat="false" ht="15" hidden="false" customHeight="false" outlineLevel="0" collapsed="false">
      <c r="A419" s="25" t="n">
        <f aca="false">Returns!A419</f>
        <v>44328</v>
      </c>
      <c r="B419" s="26" t="n">
        <f aca="false">IF(Returns!$O419=1,"",Returns!B419)</f>
        <v>-0.0195121707317073</v>
      </c>
      <c r="C419" s="26" t="n">
        <f aca="false">IF(Returns!$O419=1,"",Returns!C419)</f>
        <v>-0.0255440487125062</v>
      </c>
      <c r="D419" s="26" t="n">
        <f aca="false">IF(Returns!$O419=1,"",Returns!D419)</f>
        <v>-0.0215547004082933</v>
      </c>
      <c r="E419" s="26" t="n">
        <f aca="false">IF(Returns!$O419=1,"",Returns!E419)</f>
        <v>-0.0722469923615532</v>
      </c>
      <c r="F419" s="26" t="n">
        <f aca="false">IF(Returns!$O419=1,"",Returns!F419)</f>
        <v>-0.013265306122449</v>
      </c>
      <c r="G419" s="26" t="n">
        <f aca="false">IF(Returns!$O419=1,"",Returns!G419)</f>
        <v>-0.06282722513089</v>
      </c>
      <c r="H419" s="26" t="n">
        <f aca="false">IF(Returns!$O419=1,"",Returns!H419)</f>
        <v>-0.014711689860835</v>
      </c>
      <c r="I419" s="26" t="n">
        <f aca="false">IF(Returns!$O419=1,"",Returns!I419)</f>
        <v>-0.045691206148571</v>
      </c>
      <c r="J419" s="26" t="n">
        <f aca="false">IF(Returns!$O419=1,"",Returns!J419)</f>
        <v>-0.0369777540685836</v>
      </c>
      <c r="K419" s="26" t="str">
        <f aca="false">IF(Returns!$O419=1,Returns!B419,"")</f>
        <v/>
      </c>
      <c r="L419" s="26" t="str">
        <f aca="false">IF(Returns!$O419=1,Returns!C419,"")</f>
        <v/>
      </c>
      <c r="M419" s="26" t="str">
        <f aca="false">IF(Returns!$O419=1,Returns!D419,"")</f>
        <v/>
      </c>
      <c r="N419" s="26" t="str">
        <f aca="false">IF(Returns!$O419=1,Returns!E419,"")</f>
        <v/>
      </c>
      <c r="O419" s="26" t="str">
        <f aca="false">IF(Returns!$O419=1,Returns!F419,"")</f>
        <v/>
      </c>
      <c r="P419" s="26" t="str">
        <f aca="false">IF(Returns!$O419=1,Returns!G419,"")</f>
        <v/>
      </c>
      <c r="Q419" s="26" t="str">
        <f aca="false">IF(Returns!$O419=1,Returns!H419,"")</f>
        <v/>
      </c>
      <c r="R419" s="26" t="str">
        <f aca="false">IF(Returns!$O419=1,Returns!I419,"")</f>
        <v/>
      </c>
      <c r="S419" s="26" t="str">
        <f aca="false">IF(Returns!$O419=1,Returns!J419,"")</f>
        <v/>
      </c>
      <c r="T419" s="26" t="n">
        <f aca="false">IF(Returns!$O419=1,"",Returns!K419)</f>
        <v>-0.0347034548383765</v>
      </c>
    </row>
    <row r="420" customFormat="false" ht="15" hidden="false" customHeight="false" outlineLevel="0" collapsed="false">
      <c r="A420" s="25" t="n">
        <f aca="false">Returns!A420</f>
        <v>44329</v>
      </c>
      <c r="B420" s="26" t="n">
        <f aca="false">IF(Returns!$O420=1,"",Returns!B420)</f>
        <v>0.00970146742036149</v>
      </c>
      <c r="C420" s="26" t="n">
        <f aca="false">IF(Returns!$O420=1,"",Returns!C420)</f>
        <v>0.00485440795551106</v>
      </c>
      <c r="D420" s="26" t="n">
        <f aca="false">IF(Returns!$O420=1,"",Returns!D420)</f>
        <v>-0.0140845787618425</v>
      </c>
      <c r="E420" s="26" t="n">
        <f aca="false">IF(Returns!$O420=1,"",Returns!E420)</f>
        <v>0.00840483719390806</v>
      </c>
      <c r="F420" s="26" t="n">
        <f aca="false">IF(Returns!$O420=1,"",Returns!F420)</f>
        <v>0.00465356773526371</v>
      </c>
      <c r="G420" s="26" t="n">
        <f aca="false">IF(Returns!$O420=1,"",Returns!G420)</f>
        <v>0.0184787709497207</v>
      </c>
      <c r="H420" s="26" t="n">
        <f aca="false">IF(Returns!$O420=1,"",Returns!H420)</f>
        <v>0.0084745355740703</v>
      </c>
      <c r="I420" s="26" t="n">
        <f aca="false">IF(Returns!$O420=1,"",Returns!I420)</f>
        <v>0.00212121212121219</v>
      </c>
      <c r="J420" s="26" t="n">
        <f aca="false">IF(Returns!$O420=1,"",Returns!J420)</f>
        <v>-0.0160937983714895</v>
      </c>
      <c r="K420" s="26" t="str">
        <f aca="false">IF(Returns!$O420=1,Returns!B420,"")</f>
        <v/>
      </c>
      <c r="L420" s="26" t="str">
        <f aca="false">IF(Returns!$O420=1,Returns!C420,"")</f>
        <v/>
      </c>
      <c r="M420" s="26" t="str">
        <f aca="false">IF(Returns!$O420=1,Returns!D420,"")</f>
        <v/>
      </c>
      <c r="N420" s="26" t="str">
        <f aca="false">IF(Returns!$O420=1,Returns!E420,"")</f>
        <v/>
      </c>
      <c r="O420" s="26" t="str">
        <f aca="false">IF(Returns!$O420=1,Returns!F420,"")</f>
        <v/>
      </c>
      <c r="P420" s="26" t="str">
        <f aca="false">IF(Returns!$O420=1,Returns!G420,"")</f>
        <v/>
      </c>
      <c r="Q420" s="26" t="str">
        <f aca="false">IF(Returns!$O420=1,Returns!H420,"")</f>
        <v/>
      </c>
      <c r="R420" s="26" t="str">
        <f aca="false">IF(Returns!$O420=1,Returns!I420,"")</f>
        <v/>
      </c>
      <c r="S420" s="26" t="str">
        <f aca="false">IF(Returns!$O420=1,Returns!J420,"")</f>
        <v/>
      </c>
      <c r="T420" s="26" t="n">
        <f aca="false">IF(Returns!$O420=1,"",Returns!K420)</f>
        <v>0.0029456024240795</v>
      </c>
    </row>
    <row r="421" customFormat="false" ht="15" hidden="false" customHeight="false" outlineLevel="0" collapsed="false">
      <c r="A421" s="25" t="n">
        <f aca="false">Returns!A421</f>
        <v>44330</v>
      </c>
      <c r="B421" s="26" t="n">
        <f aca="false">IF(Returns!$O421=1,"",Returns!B421)</f>
        <v>0.0327666420300565</v>
      </c>
      <c r="C421" s="26" t="n">
        <f aca="false">IF(Returns!$O421=1,"",Returns!C421)</f>
        <v>0.0347826086956522</v>
      </c>
      <c r="D421" s="26" t="n">
        <f aca="false">IF(Returns!$O421=1,"",Returns!D421)</f>
        <v>-0.0146519785586806</v>
      </c>
      <c r="E421" s="26" t="n">
        <f aca="false">IF(Returns!$O421=1,"",Returns!E421)</f>
        <v>0</v>
      </c>
      <c r="F421" s="26" t="n">
        <f aca="false">IF(Returns!$O421=1,"",Returns!F421)</f>
        <v>0.000514719505918526</v>
      </c>
      <c r="G421" s="26" t="n">
        <f aca="false">IF(Returns!$O421=1,"",Returns!G421)</f>
        <v>0.0215189020456159</v>
      </c>
      <c r="H421" s="26" t="n">
        <f aca="false">IF(Returns!$O421=1,"",Returns!H421)</f>
        <v>0.0524209283713486</v>
      </c>
      <c r="I421" s="26" t="n">
        <f aca="false">IF(Returns!$O421=1,"",Returns!I421)</f>
        <v>0.00514067130329599</v>
      </c>
      <c r="J421" s="26" t="n">
        <f aca="false">IF(Returns!$O421=1,"",Returns!J421)</f>
        <v>-0.0171570809344312</v>
      </c>
      <c r="K421" s="26" t="str">
        <f aca="false">IF(Returns!$O421=1,Returns!B421,"")</f>
        <v/>
      </c>
      <c r="L421" s="26" t="str">
        <f aca="false">IF(Returns!$O421=1,Returns!C421,"")</f>
        <v/>
      </c>
      <c r="M421" s="26" t="str">
        <f aca="false">IF(Returns!$O421=1,Returns!D421,"")</f>
        <v/>
      </c>
      <c r="N421" s="26" t="str">
        <f aca="false">IF(Returns!$O421=1,Returns!E421,"")</f>
        <v/>
      </c>
      <c r="O421" s="26" t="str">
        <f aca="false">IF(Returns!$O421=1,Returns!F421,"")</f>
        <v/>
      </c>
      <c r="P421" s="26" t="str">
        <f aca="false">IF(Returns!$O421=1,Returns!G421,"")</f>
        <v/>
      </c>
      <c r="Q421" s="26" t="str">
        <f aca="false">IF(Returns!$O421=1,Returns!H421,"")</f>
        <v/>
      </c>
      <c r="R421" s="26" t="str">
        <f aca="false">IF(Returns!$O421=1,Returns!I421,"")</f>
        <v/>
      </c>
      <c r="S421" s="26" t="str">
        <f aca="false">IF(Returns!$O421=1,Returns!J421,"")</f>
        <v/>
      </c>
      <c r="T421" s="26" t="n">
        <f aca="false">IF(Returns!$O421=1,"",Returns!K421)</f>
        <v>0.0128150458287529</v>
      </c>
    </row>
    <row r="422" customFormat="false" ht="15" hidden="false" customHeight="false" outlineLevel="0" collapsed="false">
      <c r="A422" s="25" t="n">
        <f aca="false">Returns!A422</f>
        <v>44333</v>
      </c>
      <c r="B422" s="26" t="n">
        <f aca="false">IF(Returns!$O422=1,"",Returns!B422)</f>
        <v>0.0193225557882899</v>
      </c>
      <c r="C422" s="26" t="n">
        <f aca="false">IF(Returns!$O422=1,"",Returns!C422)</f>
        <v>-0.0151260504201682</v>
      </c>
      <c r="D422" s="26" t="n">
        <f aca="false">IF(Returns!$O422=1,"",Returns!D422)</f>
        <v>0.00223044609665424</v>
      </c>
      <c r="E422" s="26" t="n">
        <f aca="false">IF(Returns!$O422=1,"",Returns!E422)</f>
        <v>0.0192209045888603</v>
      </c>
      <c r="F422" s="26" t="n">
        <f aca="false">IF(Returns!$O422=1,"",Returns!F422)</f>
        <v>0.00514403265720009</v>
      </c>
      <c r="G422" s="26" t="n">
        <f aca="false">IF(Returns!$O422=1,"",Returns!G422)</f>
        <v>0.0161090878194585</v>
      </c>
      <c r="H422" s="26" t="n">
        <f aca="false">IF(Returns!$O422=1,"",Returns!H422)</f>
        <v>0.0136882514710361</v>
      </c>
      <c r="I422" s="26" t="n">
        <f aca="false">IF(Returns!$O422=1,"",Returns!I422)</f>
        <v>-0.0126354384695885</v>
      </c>
      <c r="J422" s="26" t="n">
        <f aca="false">IF(Returns!$O422=1,"",Returns!J422)</f>
        <v>0.0262301108218181</v>
      </c>
      <c r="K422" s="26" t="str">
        <f aca="false">IF(Returns!$O422=1,Returns!B422,"")</f>
        <v/>
      </c>
      <c r="L422" s="26" t="str">
        <f aca="false">IF(Returns!$O422=1,Returns!C422,"")</f>
        <v/>
      </c>
      <c r="M422" s="26" t="str">
        <f aca="false">IF(Returns!$O422=1,Returns!D422,"")</f>
        <v/>
      </c>
      <c r="N422" s="26" t="str">
        <f aca="false">IF(Returns!$O422=1,Returns!E422,"")</f>
        <v/>
      </c>
      <c r="O422" s="26" t="str">
        <f aca="false">IF(Returns!$O422=1,Returns!F422,"")</f>
        <v/>
      </c>
      <c r="P422" s="26" t="str">
        <f aca="false">IF(Returns!$O422=1,Returns!G422,"")</f>
        <v/>
      </c>
      <c r="Q422" s="26" t="str">
        <f aca="false">IF(Returns!$O422=1,Returns!H422,"")</f>
        <v/>
      </c>
      <c r="R422" s="26" t="str">
        <f aca="false">IF(Returns!$O422=1,Returns!I422,"")</f>
        <v/>
      </c>
      <c r="S422" s="26" t="str">
        <f aca="false">IF(Returns!$O422=1,Returns!J422,"")</f>
        <v/>
      </c>
      <c r="T422" s="26" t="n">
        <f aca="false">IF(Returns!$O422=1,"",Returns!K422)</f>
        <v>0.00824265559484007</v>
      </c>
    </row>
    <row r="423" customFormat="false" ht="15" hidden="false" customHeight="false" outlineLevel="0" collapsed="false">
      <c r="A423" s="25" t="n">
        <f aca="false">Returns!A423</f>
        <v>44334</v>
      </c>
      <c r="B423" s="26" t="n">
        <f aca="false">IF(Returns!$O423=1,"",Returns!B423)</f>
        <v>-0.00538262351255114</v>
      </c>
      <c r="C423" s="26" t="n">
        <f aca="false">IF(Returns!$O423=1,"",Returns!C423)</f>
        <v>-0.0159272468714448</v>
      </c>
      <c r="D423" s="26" t="n">
        <f aca="false">IF(Returns!$O423=1,"",Returns!D423)</f>
        <v>-0.00778928070435014</v>
      </c>
      <c r="E423" s="26" t="n">
        <f aca="false">IF(Returns!$O423=1,"",Returns!E423)</f>
        <v>0.0180240660221651</v>
      </c>
      <c r="F423" s="26" t="n">
        <f aca="false">IF(Returns!$O423=1,"",Returns!F423)</f>
        <v>-0.00102359257811713</v>
      </c>
      <c r="G423" s="26" t="n">
        <f aca="false">IF(Returns!$O423=1,"",Returns!G423)</f>
        <v>-0.00731707317073171</v>
      </c>
      <c r="H423" s="26" t="n">
        <f aca="false">IF(Returns!$O423=1,"",Returns!H423)</f>
        <v>-0.0116279069767441</v>
      </c>
      <c r="I423" s="26" t="n">
        <f aca="false">IF(Returns!$O423=1,"",Returns!I423)</f>
        <v>-0.0252894576477758</v>
      </c>
      <c r="J423" s="26" t="n">
        <f aca="false">IF(Returns!$O423=1,"",Returns!J423)</f>
        <v>0.0100475851405568</v>
      </c>
      <c r="K423" s="26" t="str">
        <f aca="false">IF(Returns!$O423=1,Returns!B423,"")</f>
        <v/>
      </c>
      <c r="L423" s="26" t="str">
        <f aca="false">IF(Returns!$O423=1,Returns!C423,"")</f>
        <v/>
      </c>
      <c r="M423" s="26" t="str">
        <f aca="false">IF(Returns!$O423=1,Returns!D423,"")</f>
        <v/>
      </c>
      <c r="N423" s="26" t="str">
        <f aca="false">IF(Returns!$O423=1,Returns!E423,"")</f>
        <v/>
      </c>
      <c r="O423" s="26" t="str">
        <f aca="false">IF(Returns!$O423=1,Returns!F423,"")</f>
        <v/>
      </c>
      <c r="P423" s="26" t="str">
        <f aca="false">IF(Returns!$O423=1,Returns!G423,"")</f>
        <v/>
      </c>
      <c r="Q423" s="26" t="str">
        <f aca="false">IF(Returns!$O423=1,Returns!H423,"")</f>
        <v/>
      </c>
      <c r="R423" s="26" t="str">
        <f aca="false">IF(Returns!$O423=1,Returns!I423,"")</f>
        <v/>
      </c>
      <c r="S423" s="26" t="str">
        <f aca="false">IF(Returns!$O423=1,Returns!J423,"")</f>
        <v/>
      </c>
      <c r="T423" s="26" t="n">
        <f aca="false">IF(Returns!$O423=1,"",Returns!K423)</f>
        <v>-0.00514283669988809</v>
      </c>
    </row>
    <row r="424" customFormat="false" ht="15" hidden="false" customHeight="false" outlineLevel="0" collapsed="false">
      <c r="A424" s="25" t="n">
        <f aca="false">Returns!A424</f>
        <v>44335</v>
      </c>
      <c r="B424" s="26" t="n">
        <f aca="false">IF(Returns!$O424=1,"",Returns!B424)</f>
        <v>-0.00235290588235293</v>
      </c>
      <c r="C424" s="26" t="n">
        <f aca="false">IF(Returns!$O424=1,"",Returns!C424)</f>
        <v>-0.00462427772394658</v>
      </c>
      <c r="D424" s="26" t="n">
        <f aca="false">IF(Returns!$O424=1,"",Returns!D424)</f>
        <v>0.00186912149532703</v>
      </c>
      <c r="E424" s="26" t="n">
        <f aca="false">IF(Returns!$O424=1,"",Returns!E424)</f>
        <v>-0.0203279016393442</v>
      </c>
      <c r="F424" s="26" t="n">
        <f aca="false">IF(Returns!$O424=1,"",Returns!F424)</f>
        <v>-0.0235656249999999</v>
      </c>
      <c r="G424" s="26" t="n">
        <f aca="false">IF(Returns!$O424=1,"",Returns!G424)</f>
        <v>0.006142506142506</v>
      </c>
      <c r="H424" s="26" t="n">
        <f aca="false">IF(Returns!$O424=1,"",Returns!H424)</f>
        <v>-0.00759013282732457</v>
      </c>
      <c r="I424" s="26" t="n">
        <f aca="false">IF(Returns!$O424=1,"",Returns!I424)</f>
        <v>-0.00593938730853383</v>
      </c>
      <c r="J424" s="26" t="n">
        <f aca="false">IF(Returns!$O424=1,"",Returns!J424)</f>
        <v>-0.0205060911083087</v>
      </c>
      <c r="K424" s="26" t="str">
        <f aca="false">IF(Returns!$O424=1,Returns!B424,"")</f>
        <v/>
      </c>
      <c r="L424" s="26" t="str">
        <f aca="false">IF(Returns!$O424=1,Returns!C424,"")</f>
        <v/>
      </c>
      <c r="M424" s="26" t="str">
        <f aca="false">IF(Returns!$O424=1,Returns!D424,"")</f>
        <v/>
      </c>
      <c r="N424" s="26" t="str">
        <f aca="false">IF(Returns!$O424=1,Returns!E424,"")</f>
        <v/>
      </c>
      <c r="O424" s="26" t="str">
        <f aca="false">IF(Returns!$O424=1,Returns!F424,"")</f>
        <v/>
      </c>
      <c r="P424" s="26" t="str">
        <f aca="false">IF(Returns!$O424=1,Returns!G424,"")</f>
        <v/>
      </c>
      <c r="Q424" s="26" t="str">
        <f aca="false">IF(Returns!$O424=1,Returns!H424,"")</f>
        <v/>
      </c>
      <c r="R424" s="26" t="str">
        <f aca="false">IF(Returns!$O424=1,Returns!I424,"")</f>
        <v/>
      </c>
      <c r="S424" s="26" t="str">
        <f aca="false">IF(Returns!$O424=1,Returns!J424,"")</f>
        <v/>
      </c>
      <c r="T424" s="26" t="n">
        <f aca="false">IF(Returns!$O424=1,"",Returns!K424)</f>
        <v>-0.00854385487244196</v>
      </c>
    </row>
    <row r="425" customFormat="false" ht="15" hidden="false" customHeight="false" outlineLevel="0" collapsed="false">
      <c r="A425" s="25" t="n">
        <f aca="false">Returns!A425</f>
        <v>44336</v>
      </c>
      <c r="B425" s="26" t="n">
        <f aca="false">IF(Returns!$O425=1,"",Returns!B425)</f>
        <v>-0.00106136788697997</v>
      </c>
      <c r="C425" s="26" t="n">
        <f aca="false">IF(Returns!$O425=1,"",Returns!C425)</f>
        <v>0.0017422184519289</v>
      </c>
      <c r="D425" s="26" t="n">
        <f aca="false">IF(Returns!$O425=1,"",Returns!D425)</f>
        <v>-0.0238805605925582</v>
      </c>
      <c r="E425" s="26" t="n">
        <f aca="false">IF(Returns!$O425=1,"",Returns!E425)</f>
        <v>0.0453481106207534</v>
      </c>
      <c r="F425" s="26" t="n">
        <f aca="false">IF(Returns!$O425=1,"",Returns!F425)</f>
        <v>-0.012591763514783</v>
      </c>
      <c r="G425" s="26" t="n">
        <f aca="false">IF(Returns!$O425=1,"",Returns!G425)</f>
        <v>0.0219780626780628</v>
      </c>
      <c r="H425" s="26" t="n">
        <f aca="false">IF(Returns!$O425=1,"",Returns!H425)</f>
        <v>-0.00841300191204586</v>
      </c>
      <c r="I425" s="26" t="n">
        <f aca="false">IF(Returns!$O425=1,"",Returns!I425)</f>
        <v>0.00691827065780726</v>
      </c>
      <c r="J425" s="26" t="n">
        <f aca="false">IF(Returns!$O425=1,"",Returns!J425)</f>
        <v>-0.0101558930957684</v>
      </c>
      <c r="K425" s="26" t="str">
        <f aca="false">IF(Returns!$O425=1,Returns!B425,"")</f>
        <v/>
      </c>
      <c r="L425" s="26" t="str">
        <f aca="false">IF(Returns!$O425=1,Returns!C425,"")</f>
        <v/>
      </c>
      <c r="M425" s="26" t="str">
        <f aca="false">IF(Returns!$O425=1,Returns!D425,"")</f>
        <v/>
      </c>
      <c r="N425" s="26" t="str">
        <f aca="false">IF(Returns!$O425=1,Returns!E425,"")</f>
        <v/>
      </c>
      <c r="O425" s="26" t="str">
        <f aca="false">IF(Returns!$O425=1,Returns!F425,"")</f>
        <v/>
      </c>
      <c r="P425" s="26" t="str">
        <f aca="false">IF(Returns!$O425=1,Returns!G425,"")</f>
        <v/>
      </c>
      <c r="Q425" s="26" t="str">
        <f aca="false">IF(Returns!$O425=1,Returns!H425,"")</f>
        <v/>
      </c>
      <c r="R425" s="26" t="str">
        <f aca="false">IF(Returns!$O425=1,Returns!I425,"")</f>
        <v/>
      </c>
      <c r="S425" s="26" t="str">
        <f aca="false">IF(Returns!$O425=1,Returns!J425,"")</f>
        <v/>
      </c>
      <c r="T425" s="26" t="n">
        <f aca="false">IF(Returns!$O425=1,"",Returns!K425)</f>
        <v>0.00220934171182411</v>
      </c>
    </row>
    <row r="426" customFormat="false" ht="15" hidden="false" customHeight="false" outlineLevel="0" collapsed="false">
      <c r="A426" s="25" t="n">
        <f aca="false">Returns!A426</f>
        <v>44337</v>
      </c>
      <c r="B426" s="26" t="n">
        <f aca="false">IF(Returns!$O426=1,"",Returns!B426)</f>
        <v>0.00153461222446727</v>
      </c>
      <c r="C426" s="26" t="n">
        <f aca="false">IF(Returns!$O426=1,"",Returns!C426)</f>
        <v>0.00579710144927548</v>
      </c>
      <c r="D426" s="26" t="n">
        <f aca="false">IF(Returns!$O426=1,"",Returns!D426)</f>
        <v>-0.00611620795107037</v>
      </c>
      <c r="E426" s="26" t="n">
        <f aca="false">IF(Returns!$O426=1,"",Returns!E426)</f>
        <v>0.00656315020708886</v>
      </c>
      <c r="F426" s="26" t="n">
        <f aca="false">IF(Returns!$O426=1,"",Returns!F426)</f>
        <v>-0.0191286397449522</v>
      </c>
      <c r="G426" s="26" t="n">
        <f aca="false">IF(Returns!$O426=1,"",Returns!G426)</f>
        <v>-0.0234966537834865</v>
      </c>
      <c r="H426" s="26" t="n">
        <f aca="false">IF(Returns!$O426=1,"",Returns!H426)</f>
        <v>0.00077134593135364</v>
      </c>
      <c r="I426" s="26" t="n">
        <f aca="false">IF(Returns!$O426=1,"",Returns!I426)</f>
        <v>-0.0121799188007495</v>
      </c>
      <c r="J426" s="26" t="n">
        <f aca="false">IF(Returns!$O426=1,"",Returns!J426)</f>
        <v>-0.0153901447629363</v>
      </c>
      <c r="K426" s="26" t="str">
        <f aca="false">IF(Returns!$O426=1,Returns!B426,"")</f>
        <v/>
      </c>
      <c r="L426" s="26" t="str">
        <f aca="false">IF(Returns!$O426=1,Returns!C426,"")</f>
        <v/>
      </c>
      <c r="M426" s="26" t="str">
        <f aca="false">IF(Returns!$O426=1,Returns!D426,"")</f>
        <v/>
      </c>
      <c r="N426" s="26" t="str">
        <f aca="false">IF(Returns!$O426=1,Returns!E426,"")</f>
        <v/>
      </c>
      <c r="O426" s="26" t="str">
        <f aca="false">IF(Returns!$O426=1,Returns!F426,"")</f>
        <v/>
      </c>
      <c r="P426" s="26" t="str">
        <f aca="false">IF(Returns!$O426=1,Returns!G426,"")</f>
        <v/>
      </c>
      <c r="Q426" s="26" t="str">
        <f aca="false">IF(Returns!$O426=1,Returns!H426,"")</f>
        <v/>
      </c>
      <c r="R426" s="26" t="str">
        <f aca="false">IF(Returns!$O426=1,Returns!I426,"")</f>
        <v/>
      </c>
      <c r="S426" s="26" t="str">
        <f aca="false">IF(Returns!$O426=1,Returns!J426,"")</f>
        <v/>
      </c>
      <c r="T426" s="26" t="n">
        <f aca="false">IF(Returns!$O426=1,"",Returns!K426)</f>
        <v>-0.00684948391455663</v>
      </c>
    </row>
    <row r="427" customFormat="false" ht="15" hidden="false" customHeight="false" outlineLevel="0" collapsed="false">
      <c r="A427" s="25" t="n">
        <f aca="false">Returns!A427</f>
        <v>44340</v>
      </c>
      <c r="B427" s="26" t="n">
        <f aca="false">IF(Returns!$O427=1,"",Returns!B427)</f>
        <v>0.0108440127696376</v>
      </c>
      <c r="C427" s="26" t="n">
        <f aca="false">IF(Returns!$O427=1,"",Returns!C427)</f>
        <v>0.0057637463976945</v>
      </c>
      <c r="D427" s="26" t="n">
        <f aca="false">IF(Returns!$O427=1,"",Returns!D427)</f>
        <v>0.00269230769230777</v>
      </c>
      <c r="E427" s="26" t="n">
        <f aca="false">IF(Returns!$O427=1,"",Returns!E427)</f>
        <v>0.0217875155568144</v>
      </c>
      <c r="F427" s="26" t="n">
        <f aca="false">IF(Returns!$O427=1,"",Returns!F427)</f>
        <v>0.0552546617147705</v>
      </c>
      <c r="G427" s="26" t="n">
        <f aca="false">IF(Returns!$O427=1,"",Returns!G427)</f>
        <v>0.00407834420880904</v>
      </c>
      <c r="H427" s="26" t="n">
        <f aca="false">IF(Returns!$O427=1,"",Returns!H427)</f>
        <v>0.016955606283021</v>
      </c>
      <c r="I427" s="26" t="n">
        <f aca="false">IF(Returns!$O427=1,"",Returns!I427)</f>
        <v>0.0116977872809922</v>
      </c>
      <c r="J427" s="26" t="n">
        <f aca="false">IF(Returns!$O427=1,"",Returns!J427)</f>
        <v>0.00347346428750517</v>
      </c>
      <c r="K427" s="26" t="str">
        <f aca="false">IF(Returns!$O427=1,Returns!B427,"")</f>
        <v/>
      </c>
      <c r="L427" s="26" t="str">
        <f aca="false">IF(Returns!$O427=1,Returns!C427,"")</f>
        <v/>
      </c>
      <c r="M427" s="26" t="str">
        <f aca="false">IF(Returns!$O427=1,Returns!D427,"")</f>
        <v/>
      </c>
      <c r="N427" s="26" t="str">
        <f aca="false">IF(Returns!$O427=1,Returns!E427,"")</f>
        <v/>
      </c>
      <c r="O427" s="26" t="str">
        <f aca="false">IF(Returns!$O427=1,Returns!F427,"")</f>
        <v/>
      </c>
      <c r="P427" s="26" t="str">
        <f aca="false">IF(Returns!$O427=1,Returns!G427,"")</f>
        <v/>
      </c>
      <c r="Q427" s="26" t="str">
        <f aca="false">IF(Returns!$O427=1,Returns!H427,"")</f>
        <v/>
      </c>
      <c r="R427" s="26" t="str">
        <f aca="false">IF(Returns!$O427=1,Returns!I427,"")</f>
        <v/>
      </c>
      <c r="S427" s="26" t="str">
        <f aca="false">IF(Returns!$O427=1,Returns!J427,"")</f>
        <v/>
      </c>
      <c r="T427" s="26" t="n">
        <f aca="false">IF(Returns!$O427=1,"",Returns!K427)</f>
        <v>0.0147274940212836</v>
      </c>
    </row>
    <row r="428" customFormat="false" ht="15" hidden="false" customHeight="false" outlineLevel="0" collapsed="false">
      <c r="A428" s="25" t="n">
        <f aca="false">Returns!A428</f>
        <v>44341</v>
      </c>
      <c r="B428" s="26" t="n">
        <f aca="false">IF(Returns!$O428=1,"",Returns!B428)</f>
        <v>0.000699603528460768</v>
      </c>
      <c r="C428" s="26" t="n">
        <f aca="false">IF(Returns!$O428=1,"",Returns!C428)</f>
        <v>-0.0257880214448125</v>
      </c>
      <c r="D428" s="26" t="n">
        <f aca="false">IF(Returns!$O428=1,"",Returns!D428)</f>
        <v>-0.00345224395857302</v>
      </c>
      <c r="E428" s="26" t="n">
        <f aca="false">IF(Returns!$O428=1,"",Returns!E428)</f>
        <v>-0.0163423968871596</v>
      </c>
      <c r="F428" s="26" t="n">
        <f aca="false">IF(Returns!$O428=1,"",Returns!F428)</f>
        <v>0.0112936858316222</v>
      </c>
      <c r="G428" s="26" t="n">
        <f aca="false">IF(Returns!$O428=1,"",Returns!G428)</f>
        <v>0.0146222171152635</v>
      </c>
      <c r="H428" s="26" t="n">
        <f aca="false">IF(Returns!$O428=1,"",Returns!H428)</f>
        <v>-0.0208411906343763</v>
      </c>
      <c r="I428" s="26" t="n">
        <f aca="false">IF(Returns!$O428=1,"",Returns!I428)</f>
        <v>0.00281250000000011</v>
      </c>
      <c r="J428" s="26" t="n">
        <f aca="false">IF(Returns!$O428=1,"",Returns!J428)</f>
        <v>-0.0248678814435042</v>
      </c>
      <c r="K428" s="26" t="str">
        <f aca="false">IF(Returns!$O428=1,Returns!B428,"")</f>
        <v/>
      </c>
      <c r="L428" s="26" t="str">
        <f aca="false">IF(Returns!$O428=1,Returns!C428,"")</f>
        <v/>
      </c>
      <c r="M428" s="26" t="str">
        <f aca="false">IF(Returns!$O428=1,Returns!D428,"")</f>
        <v/>
      </c>
      <c r="N428" s="26" t="str">
        <f aca="false">IF(Returns!$O428=1,Returns!E428,"")</f>
        <v/>
      </c>
      <c r="O428" s="26" t="str">
        <f aca="false">IF(Returns!$O428=1,Returns!F428,"")</f>
        <v/>
      </c>
      <c r="P428" s="26" t="str">
        <f aca="false">IF(Returns!$O428=1,Returns!G428,"")</f>
        <v/>
      </c>
      <c r="Q428" s="26" t="str">
        <f aca="false">IF(Returns!$O428=1,Returns!H428,"")</f>
        <v/>
      </c>
      <c r="R428" s="26" t="str">
        <f aca="false">IF(Returns!$O428=1,Returns!I428,"")</f>
        <v/>
      </c>
      <c r="S428" s="26" t="str">
        <f aca="false">IF(Returns!$O428=1,Returns!J428,"")</f>
        <v/>
      </c>
      <c r="T428" s="26" t="n">
        <f aca="false">IF(Returns!$O428=1,"",Returns!K428)</f>
        <v>-0.00687374754367545</v>
      </c>
    </row>
    <row r="429" customFormat="false" ht="15" hidden="false" customHeight="false" outlineLevel="0" collapsed="false">
      <c r="A429" s="25" t="n">
        <f aca="false">Returns!A429</f>
        <v>44342</v>
      </c>
      <c r="B429" s="26" t="n">
        <f aca="false">IF(Returns!$O429=1,"",Returns!B429)</f>
        <v>0.00326261943602901</v>
      </c>
      <c r="C429" s="26" t="n">
        <f aca="false">IF(Returns!$O429=1,"",Returns!C429)</f>
        <v>0.00588235294117645</v>
      </c>
      <c r="D429" s="26" t="n">
        <f aca="false">IF(Returns!$O429=1,"",Returns!D429)</f>
        <v>-0.000769861431870744</v>
      </c>
      <c r="E429" s="26" t="n">
        <f aca="false">IF(Returns!$O429=1,"",Returns!E429)</f>
        <v>0.0031645727347378</v>
      </c>
      <c r="F429" s="26" t="n">
        <f aca="false">IF(Returns!$O429=1,"",Returns!F429)</f>
        <v>-0.0203046690200676</v>
      </c>
      <c r="G429" s="26" t="n">
        <f aca="false">IF(Returns!$O429=1,"",Returns!G429)</f>
        <v>0.00960764611689347</v>
      </c>
      <c r="H429" s="26" t="n">
        <f aca="false">IF(Returns!$O429=1,"",Returns!H429)</f>
        <v>0.0096749226006192</v>
      </c>
      <c r="I429" s="26" t="n">
        <f aca="false">IF(Returns!$O429=1,"",Returns!I429)</f>
        <v>0.022125241508258</v>
      </c>
      <c r="J429" s="26" t="n">
        <f aca="false">IF(Returns!$O429=1,"",Returns!J429)</f>
        <v>0.0294254452286189</v>
      </c>
      <c r="K429" s="26" t="str">
        <f aca="false">IF(Returns!$O429=1,Returns!B429,"")</f>
        <v/>
      </c>
      <c r="L429" s="26" t="str">
        <f aca="false">IF(Returns!$O429=1,Returns!C429,"")</f>
        <v/>
      </c>
      <c r="M429" s="26" t="str">
        <f aca="false">IF(Returns!$O429=1,Returns!D429,"")</f>
        <v/>
      </c>
      <c r="N429" s="26" t="str">
        <f aca="false">IF(Returns!$O429=1,Returns!E429,"")</f>
        <v/>
      </c>
      <c r="O429" s="26" t="str">
        <f aca="false">IF(Returns!$O429=1,Returns!F429,"")</f>
        <v/>
      </c>
      <c r="P429" s="26" t="str">
        <f aca="false">IF(Returns!$O429=1,Returns!G429,"")</f>
        <v/>
      </c>
      <c r="Q429" s="26" t="str">
        <f aca="false">IF(Returns!$O429=1,Returns!H429,"")</f>
        <v/>
      </c>
      <c r="R429" s="26" t="str">
        <f aca="false">IF(Returns!$O429=1,Returns!I429,"")</f>
        <v/>
      </c>
      <c r="S429" s="26" t="str">
        <f aca="false">IF(Returns!$O429=1,Returns!J429,"")</f>
        <v/>
      </c>
      <c r="T429" s="26" t="n">
        <f aca="false">IF(Returns!$O429=1,"",Returns!K429)</f>
        <v>0.00689647445715495</v>
      </c>
    </row>
    <row r="430" customFormat="false" ht="15" hidden="false" customHeight="false" outlineLevel="0" collapsed="false">
      <c r="A430" s="25" t="n">
        <f aca="false">Returns!A430</f>
        <v>44343</v>
      </c>
      <c r="B430" s="26" t="n">
        <f aca="false">IF(Returns!$O430=1,"",Returns!B430)</f>
        <v>0.0163763534582195</v>
      </c>
      <c r="C430" s="26" t="n">
        <f aca="false">IF(Returns!$O430=1,"",Returns!C430)</f>
        <v>-0.00701754385964915</v>
      </c>
      <c r="D430" s="26" t="n">
        <f aca="false">IF(Returns!$O430=1,"",Returns!D430)</f>
        <v>0.0315871352691499</v>
      </c>
      <c r="E430" s="26" t="n">
        <f aca="false">IF(Returns!$O430=1,"",Returns!E430)</f>
        <v>-0.0261829644737236</v>
      </c>
      <c r="F430" s="26" t="n">
        <f aca="false">IF(Returns!$O430=1,"",Returns!F430)</f>
        <v>0.00414507793497831</v>
      </c>
      <c r="G430" s="26" t="n">
        <f aca="false">IF(Returns!$O430=1,"",Returns!G430)</f>
        <v>0.0063441715441781</v>
      </c>
      <c r="H430" s="26" t="n">
        <f aca="false">IF(Returns!$O430=1,"",Returns!H430)</f>
        <v>-0.00689919509390569</v>
      </c>
      <c r="I430" s="26" t="n">
        <f aca="false">IF(Returns!$O430=1,"",Returns!I430)</f>
        <v>0.0335366778517281</v>
      </c>
      <c r="J430" s="26" t="n">
        <f aca="false">IF(Returns!$O430=1,"",Returns!J430)</f>
        <v>0.00716879329860598</v>
      </c>
      <c r="K430" s="26" t="str">
        <f aca="false">IF(Returns!$O430=1,Returns!B430,"")</f>
        <v/>
      </c>
      <c r="L430" s="26" t="str">
        <f aca="false">IF(Returns!$O430=1,Returns!C430,"")</f>
        <v/>
      </c>
      <c r="M430" s="26" t="str">
        <f aca="false">IF(Returns!$O430=1,Returns!D430,"")</f>
        <v/>
      </c>
      <c r="N430" s="26" t="str">
        <f aca="false">IF(Returns!$O430=1,Returns!E430,"")</f>
        <v/>
      </c>
      <c r="O430" s="26" t="str">
        <f aca="false">IF(Returns!$O430=1,Returns!F430,"")</f>
        <v/>
      </c>
      <c r="P430" s="26" t="str">
        <f aca="false">IF(Returns!$O430=1,Returns!G430,"")</f>
        <v/>
      </c>
      <c r="Q430" s="26" t="str">
        <f aca="false">IF(Returns!$O430=1,Returns!H430,"")</f>
        <v/>
      </c>
      <c r="R430" s="26" t="str">
        <f aca="false">IF(Returns!$O430=1,Returns!I430,"")</f>
        <v/>
      </c>
      <c r="S430" s="26" t="str">
        <f aca="false">IF(Returns!$O430=1,Returns!J430,"")</f>
        <v/>
      </c>
      <c r="T430" s="26" t="n">
        <f aca="false">IF(Returns!$O430=1,"",Returns!K430)</f>
        <v>0.00656205621439795</v>
      </c>
    </row>
    <row r="431" customFormat="false" ht="15" hidden="false" customHeight="false" outlineLevel="0" collapsed="false">
      <c r="A431" s="25" t="n">
        <f aca="false">Returns!A431</f>
        <v>44344</v>
      </c>
      <c r="B431" s="26" t="n">
        <f aca="false">IF(Returns!$O431=1,"",Returns!B431)</f>
        <v>0.0173694088134062</v>
      </c>
      <c r="C431" s="26" t="n">
        <f aca="false">IF(Returns!$O431=1,"",Returns!C431)</f>
        <v>0.0294464075382803</v>
      </c>
      <c r="D431" s="26" t="n">
        <f aca="false">IF(Returns!$O431=1,"",Returns!D431)</f>
        <v>-0.022031365868881</v>
      </c>
      <c r="E431" s="26" t="n">
        <f aca="false">IF(Returns!$O431=1,"",Returns!E431)</f>
        <v>0.00323934229869316</v>
      </c>
      <c r="F431" s="26" t="n">
        <f aca="false">IF(Returns!$O431=1,"",Returns!F431)</f>
        <v>0.0345717252100992</v>
      </c>
      <c r="G431" s="26" t="n">
        <f aca="false">IF(Returns!$O431=1,"",Returns!G431)</f>
        <v>0.00827427140560566</v>
      </c>
      <c r="H431" s="26" t="n">
        <f aca="false">IF(Returns!$O431=1,"",Returns!H431)</f>
        <v>0.0416827479737552</v>
      </c>
      <c r="I431" s="26" t="n">
        <f aca="false">IF(Returns!$O431=1,"",Returns!I431)</f>
        <v>0.0230087892030213</v>
      </c>
      <c r="J431" s="26" t="n">
        <f aca="false">IF(Returns!$O431=1,"",Returns!J431)</f>
        <v>0.00540587450051122</v>
      </c>
      <c r="K431" s="26" t="str">
        <f aca="false">IF(Returns!$O431=1,Returns!B431,"")</f>
        <v/>
      </c>
      <c r="L431" s="26" t="str">
        <f aca="false">IF(Returns!$O431=1,Returns!C431,"")</f>
        <v/>
      </c>
      <c r="M431" s="26" t="str">
        <f aca="false">IF(Returns!$O431=1,Returns!D431,"")</f>
        <v/>
      </c>
      <c r="N431" s="26" t="str">
        <f aca="false">IF(Returns!$O431=1,Returns!E431,"")</f>
        <v/>
      </c>
      <c r="O431" s="26" t="str">
        <f aca="false">IF(Returns!$O431=1,Returns!F431,"")</f>
        <v/>
      </c>
      <c r="P431" s="26" t="str">
        <f aca="false">IF(Returns!$O431=1,Returns!G431,"")</f>
        <v/>
      </c>
      <c r="Q431" s="26" t="str">
        <f aca="false">IF(Returns!$O431=1,Returns!H431,"")</f>
        <v/>
      </c>
      <c r="R431" s="26" t="str">
        <f aca="false">IF(Returns!$O431=1,Returns!I431,"")</f>
        <v/>
      </c>
      <c r="S431" s="26" t="str">
        <f aca="false">IF(Returns!$O431=1,Returns!J431,"")</f>
        <v/>
      </c>
      <c r="T431" s="26" t="n">
        <f aca="false">IF(Returns!$O431=1,"",Returns!K431)</f>
        <v>0.0156630223416101</v>
      </c>
    </row>
    <row r="432" customFormat="false" ht="15" hidden="false" customHeight="false" outlineLevel="0" collapsed="false">
      <c r="A432" s="25" t="n">
        <f aca="false">Returns!A432</f>
        <v>44347</v>
      </c>
      <c r="B432" s="26" t="n">
        <f aca="false">IF(Returns!$O432=1,"",Returns!B432)</f>
        <v>-0.00449289008753107</v>
      </c>
      <c r="C432" s="26" t="n">
        <f aca="false">IF(Returns!$O432=1,"",Returns!C432)</f>
        <v>0.00343255148741428</v>
      </c>
      <c r="D432" s="26" t="n">
        <f aca="false">IF(Returns!$O432=1,"",Returns!D432)</f>
        <v>0.00610916356971503</v>
      </c>
      <c r="E432" s="26" t="n">
        <f aca="false">IF(Returns!$O432=1,"",Returns!E432)</f>
        <v>0.0114627544633961</v>
      </c>
      <c r="F432" s="26" t="n">
        <f aca="false">IF(Returns!$O432=1,"",Returns!F432)</f>
        <v>-0.00798005027331927</v>
      </c>
      <c r="G432" s="26" t="n">
        <f aca="false">IF(Returns!$O432=1,"",Returns!G432)</f>
        <v>0.00273544353262989</v>
      </c>
      <c r="H432" s="26" t="n">
        <f aca="false">IF(Returns!$O432=1,"",Returns!H432)</f>
        <v>-0.00444605409410892</v>
      </c>
      <c r="I432" s="26" t="n">
        <f aca="false">IF(Returns!$O432=1,"",Returns!I432)</f>
        <v>0.000576730103806211</v>
      </c>
      <c r="J432" s="26" t="n">
        <f aca="false">IF(Returns!$O432=1,"",Returns!J432)</f>
        <v>0.0285868188399254</v>
      </c>
      <c r="K432" s="26" t="str">
        <f aca="false">IF(Returns!$O432=1,Returns!B432,"")</f>
        <v/>
      </c>
      <c r="L432" s="26" t="str">
        <f aca="false">IF(Returns!$O432=1,Returns!C432,"")</f>
        <v/>
      </c>
      <c r="M432" s="26" t="str">
        <f aca="false">IF(Returns!$O432=1,Returns!D432,"")</f>
        <v/>
      </c>
      <c r="N432" s="26" t="str">
        <f aca="false">IF(Returns!$O432=1,Returns!E432,"")</f>
        <v/>
      </c>
      <c r="O432" s="26" t="str">
        <f aca="false">IF(Returns!$O432=1,Returns!F432,"")</f>
        <v/>
      </c>
      <c r="P432" s="26" t="str">
        <f aca="false">IF(Returns!$O432=1,Returns!G432,"")</f>
        <v/>
      </c>
      <c r="Q432" s="26" t="str">
        <f aca="false">IF(Returns!$O432=1,Returns!H432,"")</f>
        <v/>
      </c>
      <c r="R432" s="26" t="str">
        <f aca="false">IF(Returns!$O432=1,Returns!I432,"")</f>
        <v/>
      </c>
      <c r="S432" s="26" t="str">
        <f aca="false">IF(Returns!$O432=1,Returns!J432,"")</f>
        <v/>
      </c>
      <c r="T432" s="26" t="n">
        <f aca="false">IF(Returns!$O432=1,"",Returns!K432)</f>
        <v>0.00399827417132529</v>
      </c>
    </row>
    <row r="433" customFormat="false" ht="15" hidden="false" customHeight="false" outlineLevel="0" collapsed="false">
      <c r="A433" s="25" t="n">
        <f aca="false">Returns!A433</f>
        <v>44348</v>
      </c>
      <c r="B433" s="26" t="n">
        <f aca="false">IF(Returns!$O433=1,"",Returns!B433)</f>
        <v>-0.00372327666895889</v>
      </c>
      <c r="C433" s="26" t="n">
        <f aca="false">IF(Returns!$O433=1,"",Returns!C433)</f>
        <v>0.00912200632143634</v>
      </c>
      <c r="D433" s="26" t="n">
        <f aca="false">IF(Returns!$O433=1,"",Returns!D433)</f>
        <v>-0.0212523339658445</v>
      </c>
      <c r="E433" s="26" t="n">
        <f aca="false">IF(Returns!$O433=1,"",Returns!E433)</f>
        <v>0.0241021859823725</v>
      </c>
      <c r="F433" s="26" t="n">
        <f aca="false">IF(Returns!$O433=1,"",Returns!F433)</f>
        <v>0.0759176005991755</v>
      </c>
      <c r="G433" s="26" t="n">
        <f aca="false">IF(Returns!$O433=1,"",Returns!G433)</f>
        <v>0.0116913094310209</v>
      </c>
      <c r="H433" s="26" t="n">
        <f aca="false">IF(Returns!$O433=1,"",Returns!H433)</f>
        <v>0.0156308144536355</v>
      </c>
      <c r="I433" s="26" t="n">
        <f aca="false">IF(Returns!$O433=1,"",Returns!I433)</f>
        <v>0.00749273753623236</v>
      </c>
      <c r="J433" s="26" t="n">
        <f aca="false">IF(Returns!$O433=1,"",Returns!J433)</f>
        <v>-0.0137654819111822</v>
      </c>
      <c r="K433" s="26" t="str">
        <f aca="false">IF(Returns!$O433=1,Returns!B433,"")</f>
        <v/>
      </c>
      <c r="L433" s="26" t="str">
        <f aca="false">IF(Returns!$O433=1,Returns!C433,"")</f>
        <v/>
      </c>
      <c r="M433" s="26" t="str">
        <f aca="false">IF(Returns!$O433=1,Returns!D433,"")</f>
        <v/>
      </c>
      <c r="N433" s="26" t="str">
        <f aca="false">IF(Returns!$O433=1,Returns!E433,"")</f>
        <v/>
      </c>
      <c r="O433" s="26" t="str">
        <f aca="false">IF(Returns!$O433=1,Returns!F433,"")</f>
        <v/>
      </c>
      <c r="P433" s="26" t="str">
        <f aca="false">IF(Returns!$O433=1,Returns!G433,"")</f>
        <v/>
      </c>
      <c r="Q433" s="26" t="str">
        <f aca="false">IF(Returns!$O433=1,Returns!H433,"")</f>
        <v/>
      </c>
      <c r="R433" s="26" t="str">
        <f aca="false">IF(Returns!$O433=1,Returns!I433,"")</f>
        <v/>
      </c>
      <c r="S433" s="26" t="str">
        <f aca="false">IF(Returns!$O433=1,Returns!J433,"")</f>
        <v/>
      </c>
      <c r="T433" s="26" t="n">
        <f aca="false">IF(Returns!$O433=1,"",Returns!K433)</f>
        <v>0.0116906179753208</v>
      </c>
    </row>
    <row r="434" customFormat="false" ht="15" hidden="false" customHeight="false" outlineLevel="0" collapsed="false">
      <c r="A434" s="25" t="n">
        <f aca="false">Returns!A434</f>
        <v>44349</v>
      </c>
      <c r="B434" s="26" t="n">
        <f aca="false">IF(Returns!$O434=1,"",Returns!B434)</f>
        <v>-0.0107588331565516</v>
      </c>
      <c r="C434" s="26" t="n">
        <f aca="false">IF(Returns!$O434=1,"",Returns!C434)</f>
        <v>-0.0389831051421974</v>
      </c>
      <c r="D434" s="26" t="n">
        <f aca="false">IF(Returns!$O434=1,"",Returns!D434)</f>
        <v>-0.0178364087694297</v>
      </c>
      <c r="E434" s="26" t="n">
        <f aca="false">IF(Returns!$O434=1,"",Returns!E434)</f>
        <v>0.00888402376034758</v>
      </c>
      <c r="F434" s="26" t="n">
        <f aca="false">IF(Returns!$O434=1,"",Returns!F434)</f>
        <v>-0.00373831775700928</v>
      </c>
      <c r="G434" s="26" t="n">
        <f aca="false">IF(Returns!$O434=1,"",Returns!G434)</f>
        <v>0.0111710713085929</v>
      </c>
      <c r="H434" s="26" t="n">
        <f aca="false">IF(Returns!$O434=1,"",Returns!H434)</f>
        <v>0.0212532055238839</v>
      </c>
      <c r="I434" s="26" t="n">
        <f aca="false">IF(Returns!$O434=1,"",Returns!I434)</f>
        <v>-0.0357551497641633</v>
      </c>
      <c r="J434" s="26" t="n">
        <f aca="false">IF(Returns!$O434=1,"",Returns!J434)</f>
        <v>0.0141343289964928</v>
      </c>
      <c r="K434" s="26" t="str">
        <f aca="false">IF(Returns!$O434=1,Returns!B434,"")</f>
        <v/>
      </c>
      <c r="L434" s="26" t="str">
        <f aca="false">IF(Returns!$O434=1,Returns!C434,"")</f>
        <v/>
      </c>
      <c r="M434" s="26" t="str">
        <f aca="false">IF(Returns!$O434=1,Returns!D434,"")</f>
        <v/>
      </c>
      <c r="N434" s="26" t="str">
        <f aca="false">IF(Returns!$O434=1,Returns!E434,"")</f>
        <v/>
      </c>
      <c r="O434" s="26" t="str">
        <f aca="false">IF(Returns!$O434=1,Returns!F434,"")</f>
        <v/>
      </c>
      <c r="P434" s="26" t="str">
        <f aca="false">IF(Returns!$O434=1,Returns!G434,"")</f>
        <v/>
      </c>
      <c r="Q434" s="26" t="str">
        <f aca="false">IF(Returns!$O434=1,Returns!H434,"")</f>
        <v/>
      </c>
      <c r="R434" s="26" t="str">
        <f aca="false">IF(Returns!$O434=1,Returns!I434,"")</f>
        <v/>
      </c>
      <c r="S434" s="26" t="str">
        <f aca="false">IF(Returns!$O434=1,Returns!J434,"")</f>
        <v/>
      </c>
      <c r="T434" s="26" t="n">
        <f aca="false">IF(Returns!$O434=1,"",Returns!K434)</f>
        <v>-0.0057365761111149</v>
      </c>
    </row>
    <row r="435" customFormat="false" ht="15" hidden="false" customHeight="false" outlineLevel="0" collapsed="false">
      <c r="A435" s="25" t="n">
        <f aca="false">Returns!A435</f>
        <v>44351</v>
      </c>
      <c r="B435" s="26" t="n">
        <f aca="false">IF(Returns!$O435=1,"",Returns!B435)</f>
        <v>-0.0177446483742335</v>
      </c>
      <c r="C435" s="26" t="n">
        <f aca="false">IF(Returns!$O435=1,"",Returns!C435)</f>
        <v>0.0135214579659022</v>
      </c>
      <c r="D435" s="26" t="n">
        <f aca="false">IF(Returns!$O435=1,"",Returns!D435)</f>
        <v>-0.000394788787998368</v>
      </c>
      <c r="E435" s="26" t="n">
        <f aca="false">IF(Returns!$O435=1,"",Returns!E435)</f>
        <v>0.0296616547352857</v>
      </c>
      <c r="F435" s="26" t="n">
        <f aca="false">IF(Returns!$O435=1,"",Returns!F435)</f>
        <v>-0.00797373358348974</v>
      </c>
      <c r="G435" s="26" t="n">
        <f aca="false">IF(Returns!$O435=1,"",Returns!G435)</f>
        <v>0.048</v>
      </c>
      <c r="H435" s="26" t="n">
        <f aca="false">IF(Returns!$O435=1,"",Returns!H435)</f>
        <v>0.0226049148688585</v>
      </c>
      <c r="I435" s="26" t="n">
        <f aca="false">IF(Returns!$O435=1,"",Returns!I435)</f>
        <v>0.000593325440323866</v>
      </c>
      <c r="J435" s="26" t="n">
        <f aca="false">IF(Returns!$O435=1,"",Returns!J435)</f>
        <v>-0.0165505309263799</v>
      </c>
      <c r="K435" s="26" t="str">
        <f aca="false">IF(Returns!$O435=1,Returns!B435,"")</f>
        <v/>
      </c>
      <c r="L435" s="26" t="str">
        <f aca="false">IF(Returns!$O435=1,Returns!C435,"")</f>
        <v/>
      </c>
      <c r="M435" s="26" t="str">
        <f aca="false">IF(Returns!$O435=1,Returns!D435,"")</f>
        <v/>
      </c>
      <c r="N435" s="26" t="str">
        <f aca="false">IF(Returns!$O435=1,Returns!E435,"")</f>
        <v/>
      </c>
      <c r="O435" s="26" t="str">
        <f aca="false">IF(Returns!$O435=1,Returns!F435,"")</f>
        <v/>
      </c>
      <c r="P435" s="26" t="str">
        <f aca="false">IF(Returns!$O435=1,Returns!G435,"")</f>
        <v/>
      </c>
      <c r="Q435" s="26" t="str">
        <f aca="false">IF(Returns!$O435=1,Returns!H435,"")</f>
        <v/>
      </c>
      <c r="R435" s="26" t="str">
        <f aca="false">IF(Returns!$O435=1,Returns!I435,"")</f>
        <v/>
      </c>
      <c r="S435" s="26" t="str">
        <f aca="false">IF(Returns!$O435=1,Returns!J435,"")</f>
        <v/>
      </c>
      <c r="T435" s="26" t="n">
        <f aca="false">IF(Returns!$O435=1,"",Returns!K435)</f>
        <v>0.00796862792647431</v>
      </c>
    </row>
    <row r="436" customFormat="false" ht="15" hidden="false" customHeight="false" outlineLevel="0" collapsed="false">
      <c r="A436" s="25" t="n">
        <f aca="false">Returns!A436</f>
        <v>44354</v>
      </c>
      <c r="B436" s="26" t="n">
        <f aca="false">IF(Returns!$O436=1,"",Returns!B436)</f>
        <v>-0.00337996491678449</v>
      </c>
      <c r="C436" s="26" t="n">
        <f aca="false">IF(Returns!$O436=1,"",Returns!C436)</f>
        <v>0.00290029002320202</v>
      </c>
      <c r="D436" s="26" t="n">
        <f aca="false">IF(Returns!$O436=1,"",Returns!D436)</f>
        <v>0.0264612954186414</v>
      </c>
      <c r="E436" s="26" t="n">
        <f aca="false">IF(Returns!$O436=1,"",Returns!E436)</f>
        <v>0.00525128266312724</v>
      </c>
      <c r="F436" s="26" t="n">
        <f aca="false">IF(Returns!$O436=1,"",Returns!F436)</f>
        <v>0.0312056264775415</v>
      </c>
      <c r="G436" s="26" t="n">
        <f aca="false">IF(Returns!$O436=1,"",Returns!G436)</f>
        <v>0.00836059614685558</v>
      </c>
      <c r="H436" s="26" t="n">
        <f aca="false">IF(Returns!$O436=1,"",Returns!H436)</f>
        <v>-0.00736838596491229</v>
      </c>
      <c r="I436" s="26" t="n">
        <f aca="false">IF(Returns!$O436=1,"",Returns!I436)</f>
        <v>0.00266824785057818</v>
      </c>
      <c r="J436" s="26" t="n">
        <f aca="false">IF(Returns!$O436=1,"",Returns!J436)</f>
        <v>-0.00974312648816422</v>
      </c>
      <c r="K436" s="26" t="str">
        <f aca="false">IF(Returns!$O436=1,Returns!B436,"")</f>
        <v/>
      </c>
      <c r="L436" s="26" t="str">
        <f aca="false">IF(Returns!$O436=1,Returns!C436,"")</f>
        <v/>
      </c>
      <c r="M436" s="26" t="str">
        <f aca="false">IF(Returns!$O436=1,Returns!D436,"")</f>
        <v/>
      </c>
      <c r="N436" s="26" t="str">
        <f aca="false">IF(Returns!$O436=1,Returns!E436,"")</f>
        <v/>
      </c>
      <c r="O436" s="26" t="str">
        <f aca="false">IF(Returns!$O436=1,Returns!F436,"")</f>
        <v/>
      </c>
      <c r="P436" s="26" t="str">
        <f aca="false">IF(Returns!$O436=1,Returns!G436,"")</f>
        <v/>
      </c>
      <c r="Q436" s="26" t="str">
        <f aca="false">IF(Returns!$O436=1,Returns!H436,"")</f>
        <v/>
      </c>
      <c r="R436" s="26" t="str">
        <f aca="false">IF(Returns!$O436=1,Returns!I436,"")</f>
        <v/>
      </c>
      <c r="S436" s="26" t="str">
        <f aca="false">IF(Returns!$O436=1,Returns!J436,"")</f>
        <v/>
      </c>
      <c r="T436" s="26" t="n">
        <f aca="false">IF(Returns!$O436=1,"",Returns!K436)</f>
        <v>0.00626176235667611</v>
      </c>
    </row>
    <row r="437" customFormat="false" ht="15" hidden="false" customHeight="false" outlineLevel="0" collapsed="false">
      <c r="A437" s="25" t="n">
        <f aca="false">Returns!A437</f>
        <v>44355</v>
      </c>
      <c r="B437" s="26" t="n">
        <f aca="false">IF(Returns!$O437=1,"",Returns!B437)</f>
        <v>0.0244415384296213</v>
      </c>
      <c r="C437" s="26" t="n">
        <f aca="false">IF(Returns!$O437=1,"",Returns!C437)</f>
        <v>-0.0555234785700708</v>
      </c>
      <c r="D437" s="26" t="n">
        <f aca="false">IF(Returns!$O437=1,"",Returns!D437)</f>
        <v>-0.0280877260484801</v>
      </c>
      <c r="E437" s="26" t="n">
        <f aca="false">IF(Returns!$O437=1,"",Returns!E437)</f>
        <v>-0.00417908955223889</v>
      </c>
      <c r="F437" s="26" t="n">
        <f aca="false">IF(Returns!$O437=1,"",Returns!F437)</f>
        <v>0.0169647417223631</v>
      </c>
      <c r="G437" s="26" t="n">
        <f aca="false">IF(Returns!$O437=1,"",Returns!G437)</f>
        <v>-0.0201874549387167</v>
      </c>
      <c r="H437" s="26" t="n">
        <f aca="false">IF(Returns!$O437=1,"",Returns!H437)</f>
        <v>0.0130787906299472</v>
      </c>
      <c r="I437" s="26" t="n">
        <f aca="false">IF(Returns!$O437=1,"",Returns!I437)</f>
        <v>-0.00709633353045536</v>
      </c>
      <c r="J437" s="26" t="n">
        <f aca="false">IF(Returns!$O437=1,"",Returns!J437)</f>
        <v>-0.0168157866686283</v>
      </c>
      <c r="K437" s="26" t="str">
        <f aca="false">IF(Returns!$O437=1,Returns!B437,"")</f>
        <v/>
      </c>
      <c r="L437" s="26" t="str">
        <f aca="false">IF(Returns!$O437=1,Returns!C437,"")</f>
        <v/>
      </c>
      <c r="M437" s="26" t="str">
        <f aca="false">IF(Returns!$O437=1,Returns!D437,"")</f>
        <v/>
      </c>
      <c r="N437" s="26" t="str">
        <f aca="false">IF(Returns!$O437=1,Returns!E437,"")</f>
        <v/>
      </c>
      <c r="O437" s="26" t="str">
        <f aca="false">IF(Returns!$O437=1,Returns!F437,"")</f>
        <v/>
      </c>
      <c r="P437" s="26" t="str">
        <f aca="false">IF(Returns!$O437=1,Returns!G437,"")</f>
        <v/>
      </c>
      <c r="Q437" s="26" t="str">
        <f aca="false">IF(Returns!$O437=1,Returns!H437,"")</f>
        <v/>
      </c>
      <c r="R437" s="26" t="str">
        <f aca="false">IF(Returns!$O437=1,Returns!I437,"")</f>
        <v/>
      </c>
      <c r="S437" s="26" t="str">
        <f aca="false">IF(Returns!$O437=1,Returns!J437,"")</f>
        <v/>
      </c>
      <c r="T437" s="26" t="n">
        <f aca="false">IF(Returns!$O437=1,"",Returns!K437)</f>
        <v>-0.00860053316962872</v>
      </c>
    </row>
    <row r="438" customFormat="false" ht="15" hidden="false" customHeight="false" outlineLevel="0" collapsed="false">
      <c r="A438" s="25" t="n">
        <f aca="false">Returns!A438</f>
        <v>44356</v>
      </c>
      <c r="B438" s="26" t="n">
        <f aca="false">IF(Returns!$O438=1,"",Returns!B438)</f>
        <v>0.00867583353141166</v>
      </c>
      <c r="C438" s="26" t="n">
        <f aca="false">IF(Returns!$O438=1,"",Returns!C438)</f>
        <v>0.00428658909981627</v>
      </c>
      <c r="D438" s="26" t="n">
        <f aca="false">IF(Returns!$O438=1,"",Returns!D438)</f>
        <v>0.0166270783847979</v>
      </c>
      <c r="E438" s="26" t="n">
        <f aca="false">IF(Returns!$O438=1,"",Returns!E438)</f>
        <v>-0.017685851053869</v>
      </c>
      <c r="F438" s="26" t="n">
        <f aca="false">IF(Returns!$O438=1,"",Returns!F438)</f>
        <v>0.00541023444544631</v>
      </c>
      <c r="G438" s="26" t="n">
        <f aca="false">IF(Returns!$O438=1,"",Returns!G438)</f>
        <v>-0.027961736571008</v>
      </c>
      <c r="H438" s="26" t="n">
        <f aca="false">IF(Returns!$O438=1,"",Returns!H438)</f>
        <v>0</v>
      </c>
      <c r="I438" s="26" t="n">
        <f aca="false">IF(Returns!$O438=1,"",Returns!I438)</f>
        <v>0.00952948126685649</v>
      </c>
      <c r="J438" s="26" t="n">
        <f aca="false">IF(Returns!$O438=1,"",Returns!J438)</f>
        <v>0.0207423493584851</v>
      </c>
      <c r="K438" s="26" t="str">
        <f aca="false">IF(Returns!$O438=1,Returns!B438,"")</f>
        <v/>
      </c>
      <c r="L438" s="26" t="str">
        <f aca="false">IF(Returns!$O438=1,Returns!C438,"")</f>
        <v/>
      </c>
      <c r="M438" s="26" t="str">
        <f aca="false">IF(Returns!$O438=1,Returns!D438,"")</f>
        <v/>
      </c>
      <c r="N438" s="26" t="str">
        <f aca="false">IF(Returns!$O438=1,Returns!E438,"")</f>
        <v/>
      </c>
      <c r="O438" s="26" t="str">
        <f aca="false">IF(Returns!$O438=1,Returns!F438,"")</f>
        <v/>
      </c>
      <c r="P438" s="26" t="str">
        <f aca="false">IF(Returns!$O438=1,Returns!G438,"")</f>
        <v/>
      </c>
      <c r="Q438" s="26" t="str">
        <f aca="false">IF(Returns!$O438=1,Returns!H438,"")</f>
        <v/>
      </c>
      <c r="R438" s="26" t="str">
        <f aca="false">IF(Returns!$O438=1,Returns!I438,"")</f>
        <v/>
      </c>
      <c r="S438" s="26" t="str">
        <f aca="false">IF(Returns!$O438=1,Returns!J438,"")</f>
        <v/>
      </c>
      <c r="T438" s="26" t="n">
        <f aca="false">IF(Returns!$O438=1,"",Returns!K438)</f>
        <v>0.00218044205132631</v>
      </c>
    </row>
    <row r="439" customFormat="false" ht="15" hidden="false" customHeight="false" outlineLevel="0" collapsed="false">
      <c r="A439" s="25" t="n">
        <f aca="false">Returns!A439</f>
        <v>44357</v>
      </c>
      <c r="B439" s="26" t="n">
        <f aca="false">IF(Returns!$O439=1,"",Returns!B439)</f>
        <v>-0.00282933450849554</v>
      </c>
      <c r="C439" s="26" t="n">
        <f aca="false">IF(Returns!$O439=1,"",Returns!C439)</f>
        <v>-0.0243902439024389</v>
      </c>
      <c r="D439" s="26" t="n">
        <f aca="false">IF(Returns!$O439=1,"",Returns!D439)</f>
        <v>0.00467285825545161</v>
      </c>
      <c r="E439" s="26" t="n">
        <f aca="false">IF(Returns!$O439=1,"",Returns!E439)</f>
        <v>-0.00213608480109728</v>
      </c>
      <c r="F439" s="26" t="n">
        <f aca="false">IF(Returns!$O439=1,"",Returns!F439)</f>
        <v>0.010313991493901</v>
      </c>
      <c r="G439" s="26" t="n">
        <f aca="false">IF(Returns!$O439=1,"",Returns!G439)</f>
        <v>0.00529897804693413</v>
      </c>
      <c r="H439" s="26" t="n">
        <f aca="false">IF(Returns!$O439=1,"",Returns!H439)</f>
        <v>0.000697836706210708</v>
      </c>
      <c r="I439" s="26" t="n">
        <f aca="false">IF(Returns!$O439=1,"",Returns!I439)</f>
        <v>0.0162241583348579</v>
      </c>
      <c r="J439" s="26" t="n">
        <f aca="false">IF(Returns!$O439=1,"",Returns!J439)</f>
        <v>-0.00329763823433971</v>
      </c>
      <c r="K439" s="26" t="str">
        <f aca="false">IF(Returns!$O439=1,Returns!B439,"")</f>
        <v/>
      </c>
      <c r="L439" s="26" t="str">
        <f aca="false">IF(Returns!$O439=1,Returns!C439,"")</f>
        <v/>
      </c>
      <c r="M439" s="26" t="str">
        <f aca="false">IF(Returns!$O439=1,Returns!D439,"")</f>
        <v/>
      </c>
      <c r="N439" s="26" t="str">
        <f aca="false">IF(Returns!$O439=1,Returns!E439,"")</f>
        <v/>
      </c>
      <c r="O439" s="26" t="str">
        <f aca="false">IF(Returns!$O439=1,Returns!F439,"")</f>
        <v/>
      </c>
      <c r="P439" s="26" t="str">
        <f aca="false">IF(Returns!$O439=1,Returns!G439,"")</f>
        <v/>
      </c>
      <c r="Q439" s="26" t="str">
        <f aca="false">IF(Returns!$O439=1,Returns!H439,"")</f>
        <v/>
      </c>
      <c r="R439" s="26" t="str">
        <f aca="false">IF(Returns!$O439=1,Returns!I439,"")</f>
        <v/>
      </c>
      <c r="S439" s="26" t="str">
        <f aca="false">IF(Returns!$O439=1,Returns!J439,"")</f>
        <v/>
      </c>
      <c r="T439" s="26" t="n">
        <f aca="false">IF(Returns!$O439=1,"",Returns!K439)</f>
        <v>0.000506057932331543</v>
      </c>
    </row>
    <row r="440" customFormat="false" ht="15" hidden="false" customHeight="false" outlineLevel="0" collapsed="false">
      <c r="A440" s="25" t="n">
        <f aca="false">Returns!A440</f>
        <v>44358</v>
      </c>
      <c r="B440" s="26" t="n">
        <f aca="false">IF(Returns!$O440=1,"",Returns!B440)</f>
        <v>0.00102140505026216</v>
      </c>
      <c r="C440" s="26" t="n">
        <f aca="false">IF(Returns!$O440=1,"",Returns!C440)</f>
        <v>0.0081249375000001</v>
      </c>
      <c r="D440" s="26" t="n">
        <f aca="false">IF(Returns!$O440=1,"",Returns!D440)</f>
        <v>0.00775197704465036</v>
      </c>
      <c r="E440" s="26" t="n">
        <f aca="false">IF(Returns!$O440=1,"",Returns!E440)</f>
        <v>-0.0207951216882225</v>
      </c>
      <c r="F440" s="26" t="n">
        <f aca="false">IF(Returns!$O440=1,"",Returns!F440)</f>
        <v>-0.00754549456078579</v>
      </c>
      <c r="G440" s="26" t="n">
        <f aca="false">IF(Returns!$O440=1,"",Returns!G440)</f>
        <v>-0.0304969514494334</v>
      </c>
      <c r="H440" s="26" t="n">
        <f aca="false">IF(Returns!$O440=1,"",Returns!H440)</f>
        <v>-0.00383542538354253</v>
      </c>
      <c r="I440" s="26" t="n">
        <f aca="false">IF(Returns!$O440=1,"",Returns!I440)</f>
        <v>-0.0168360517609274</v>
      </c>
      <c r="J440" s="26" t="n">
        <f aca="false">IF(Returns!$O440=1,"",Returns!J440)</f>
        <v>0.0224447282045117</v>
      </c>
      <c r="K440" s="26" t="str">
        <f aca="false">IF(Returns!$O440=1,Returns!B440,"")</f>
        <v/>
      </c>
      <c r="L440" s="26" t="str">
        <f aca="false">IF(Returns!$O440=1,Returns!C440,"")</f>
        <v/>
      </c>
      <c r="M440" s="26" t="str">
        <f aca="false">IF(Returns!$O440=1,Returns!D440,"")</f>
        <v/>
      </c>
      <c r="N440" s="26" t="str">
        <f aca="false">IF(Returns!$O440=1,Returns!E440,"")</f>
        <v/>
      </c>
      <c r="O440" s="26" t="str">
        <f aca="false">IF(Returns!$O440=1,Returns!F440,"")</f>
        <v/>
      </c>
      <c r="P440" s="26" t="str">
        <f aca="false">IF(Returns!$O440=1,Returns!G440,"")</f>
        <v/>
      </c>
      <c r="Q440" s="26" t="str">
        <f aca="false">IF(Returns!$O440=1,Returns!H440,"")</f>
        <v/>
      </c>
      <c r="R440" s="26" t="str">
        <f aca="false">IF(Returns!$O440=1,Returns!I440,"")</f>
        <v/>
      </c>
      <c r="S440" s="26" t="str">
        <f aca="false">IF(Returns!$O440=1,Returns!J440,"")</f>
        <v/>
      </c>
      <c r="T440" s="26" t="n">
        <f aca="false">IF(Returns!$O440=1,"",Returns!K440)</f>
        <v>-0.00446288856038748</v>
      </c>
    </row>
    <row r="441" customFormat="false" ht="15" hidden="false" customHeight="false" outlineLevel="0" collapsed="false">
      <c r="A441" s="25" t="n">
        <f aca="false">Returns!A441</f>
        <v>44361</v>
      </c>
      <c r="B441" s="26" t="n">
        <f aca="false">IF(Returns!$O441=1,"",Returns!B441)</f>
        <v>0.0452381534661506</v>
      </c>
      <c r="C441" s="26" t="n">
        <f aca="false">IF(Returns!$O441=1,"",Returns!C441)</f>
        <v>0.0117793559689618</v>
      </c>
      <c r="D441" s="26" t="n">
        <f aca="false">IF(Returns!$O441=1,"",Returns!D441)</f>
        <v>-0.0134615384615385</v>
      </c>
      <c r="E441" s="26" t="n">
        <f aca="false">IF(Returns!$O441=1,"",Returns!E441)</f>
        <v>0.00811987807433034</v>
      </c>
      <c r="F441" s="26" t="n">
        <f aca="false">IF(Returns!$O441=1,"",Returns!F441)</f>
        <v>0.0138639975910557</v>
      </c>
      <c r="G441" s="26" t="n">
        <f aca="false">IF(Returns!$O441=1,"",Returns!G441)</f>
        <v>0.0341747184466019</v>
      </c>
      <c r="H441" s="26" t="n">
        <f aca="false">IF(Returns!$O441=1,"",Returns!H441)</f>
        <v>0.00630031501575079</v>
      </c>
      <c r="I441" s="26" t="n">
        <f aca="false">IF(Returns!$O441=1,"",Returns!I441)</f>
        <v>-0.00501913212338745</v>
      </c>
      <c r="J441" s="26" t="n">
        <f aca="false">IF(Returns!$O441=1,"",Returns!J441)</f>
        <v>-0.00542238080889912</v>
      </c>
      <c r="K441" s="26" t="str">
        <f aca="false">IF(Returns!$O441=1,Returns!B441,"")</f>
        <v/>
      </c>
      <c r="L441" s="26" t="str">
        <f aca="false">IF(Returns!$O441=1,Returns!C441,"")</f>
        <v/>
      </c>
      <c r="M441" s="26" t="str">
        <f aca="false">IF(Returns!$O441=1,Returns!D441,"")</f>
        <v/>
      </c>
      <c r="N441" s="26" t="str">
        <f aca="false">IF(Returns!$O441=1,Returns!E441,"")</f>
        <v/>
      </c>
      <c r="O441" s="26" t="str">
        <f aca="false">IF(Returns!$O441=1,Returns!F441,"")</f>
        <v/>
      </c>
      <c r="P441" s="26" t="str">
        <f aca="false">IF(Returns!$O441=1,Returns!G441,"")</f>
        <v/>
      </c>
      <c r="Q441" s="26" t="str">
        <f aca="false">IF(Returns!$O441=1,Returns!H441,"")</f>
        <v/>
      </c>
      <c r="R441" s="26" t="str">
        <f aca="false">IF(Returns!$O441=1,Returns!I441,"")</f>
        <v/>
      </c>
      <c r="S441" s="26" t="str">
        <f aca="false">IF(Returns!$O441=1,Returns!J441,"")</f>
        <v/>
      </c>
      <c r="T441" s="26" t="n">
        <f aca="false">IF(Returns!$O441=1,"",Returns!K441)</f>
        <v>0.0106192630187807</v>
      </c>
    </row>
    <row r="442" customFormat="false" ht="15" hidden="false" customHeight="false" outlineLevel="0" collapsed="false">
      <c r="A442" s="25" t="n">
        <f aca="false">Returns!A442</f>
        <v>44362</v>
      </c>
      <c r="B442" s="26" t="n">
        <f aca="false">IF(Returns!$O442=1,"",Returns!B442)</f>
        <v>-0.00911166050305545</v>
      </c>
      <c r="C442" s="26" t="n">
        <f aca="false">IF(Returns!$O442=1,"",Returns!C442)</f>
        <v>0.0214460784313726</v>
      </c>
      <c r="D442" s="26" t="n">
        <f aca="false">IF(Returns!$O442=1,"",Returns!D442)</f>
        <v>-0.00194931773879137</v>
      </c>
      <c r="E442" s="26" t="n">
        <f aca="false">IF(Returns!$O442=1,"",Returns!E442)</f>
        <v>-0.00247825286487757</v>
      </c>
      <c r="F442" s="26" t="n">
        <f aca="false">IF(Returns!$O442=1,"",Returns!F442)</f>
        <v>0.00308778120864561</v>
      </c>
      <c r="G442" s="26" t="n">
        <f aca="false">IF(Returns!$O442=1,"",Returns!G442)</f>
        <v>-0.0138940673636525</v>
      </c>
      <c r="H442" s="26" t="n">
        <f aca="false">IF(Returns!$O442=1,"",Returns!H442)</f>
        <v>0.00973916521739127</v>
      </c>
      <c r="I442" s="26" t="n">
        <f aca="false">IF(Returns!$O442=1,"",Returns!I442)</f>
        <v>0.0483679807605941</v>
      </c>
      <c r="J442" s="26" t="n">
        <f aca="false">IF(Returns!$O442=1,"",Returns!J442)</f>
        <v>-0.0195216407006539</v>
      </c>
      <c r="K442" s="26" t="str">
        <f aca="false">IF(Returns!$O442=1,Returns!B442,"")</f>
        <v/>
      </c>
      <c r="L442" s="26" t="str">
        <f aca="false">IF(Returns!$O442=1,Returns!C442,"")</f>
        <v/>
      </c>
      <c r="M442" s="26" t="str">
        <f aca="false">IF(Returns!$O442=1,Returns!D442,"")</f>
        <v/>
      </c>
      <c r="N442" s="26" t="str">
        <f aca="false">IF(Returns!$O442=1,Returns!E442,"")</f>
        <v/>
      </c>
      <c r="O442" s="26" t="str">
        <f aca="false">IF(Returns!$O442=1,Returns!F442,"")</f>
        <v/>
      </c>
      <c r="P442" s="26" t="str">
        <f aca="false">IF(Returns!$O442=1,Returns!G442,"")</f>
        <v/>
      </c>
      <c r="Q442" s="26" t="str">
        <f aca="false">IF(Returns!$O442=1,Returns!H442,"")</f>
        <v/>
      </c>
      <c r="R442" s="26" t="str">
        <f aca="false">IF(Returns!$O442=1,Returns!I442,"")</f>
        <v/>
      </c>
      <c r="S442" s="26" t="str">
        <f aca="false">IF(Returns!$O442=1,Returns!J442,"")</f>
        <v/>
      </c>
      <c r="T442" s="26" t="n">
        <f aca="false">IF(Returns!$O442=1,"",Returns!K442)</f>
        <v>0.00396511849410809</v>
      </c>
    </row>
    <row r="443" customFormat="false" ht="15" hidden="false" customHeight="false" outlineLevel="0" collapsed="false">
      <c r="A443" s="25" t="n">
        <f aca="false">Returns!A443</f>
        <v>44363</v>
      </c>
      <c r="B443" s="26" t="n">
        <f aca="false">IF(Returns!$O443=1,"",Returns!B443)</f>
        <v>0.000328396285241395</v>
      </c>
      <c r="C443" s="26" t="n">
        <f aca="false">IF(Returns!$O443=1,"",Returns!C443)</f>
        <v>0.0143971205758848</v>
      </c>
      <c r="D443" s="26" t="n">
        <f aca="false">IF(Returns!$O443=1,"",Returns!D443)</f>
        <v>-0.0082031640625001</v>
      </c>
      <c r="E443" s="26" t="n">
        <f aca="false">IF(Returns!$O443=1,"",Returns!E443)</f>
        <v>-0.00434781042398114</v>
      </c>
      <c r="F443" s="26" t="n">
        <f aca="false">IF(Returns!$O443=1,"",Returns!F443)</f>
        <v>-0.0202286279683377</v>
      </c>
      <c r="G443" s="26" t="n">
        <f aca="false">IF(Returns!$O443=1,"",Returns!G443)</f>
        <v>-0.0121857958872812</v>
      </c>
      <c r="H443" s="26" t="n">
        <f aca="false">IF(Returns!$O443=1,"",Returns!H443)</f>
        <v>0.0037891145783977</v>
      </c>
      <c r="I443" s="26" t="n">
        <f aca="false">IF(Returns!$O443=1,"",Returns!I443)</f>
        <v>0.0322671648872255</v>
      </c>
      <c r="J443" s="26" t="n">
        <f aca="false">IF(Returns!$O443=1,"",Returns!J443)</f>
        <v>-0.0300448251121076</v>
      </c>
      <c r="K443" s="26" t="str">
        <f aca="false">IF(Returns!$O443=1,Returns!B443,"")</f>
        <v/>
      </c>
      <c r="L443" s="26" t="str">
        <f aca="false">IF(Returns!$O443=1,Returns!C443,"")</f>
        <v/>
      </c>
      <c r="M443" s="26" t="str">
        <f aca="false">IF(Returns!$O443=1,Returns!D443,"")</f>
        <v/>
      </c>
      <c r="N443" s="26" t="str">
        <f aca="false">IF(Returns!$O443=1,Returns!E443,"")</f>
        <v/>
      </c>
      <c r="O443" s="26" t="str">
        <f aca="false">IF(Returns!$O443=1,Returns!F443,"")</f>
        <v/>
      </c>
      <c r="P443" s="26" t="str">
        <f aca="false">IF(Returns!$O443=1,Returns!G443,"")</f>
        <v/>
      </c>
      <c r="Q443" s="26" t="str">
        <f aca="false">IF(Returns!$O443=1,Returns!H443,"")</f>
        <v/>
      </c>
      <c r="R443" s="26" t="str">
        <f aca="false">IF(Returns!$O443=1,Returns!I443,"")</f>
        <v/>
      </c>
      <c r="S443" s="26" t="str">
        <f aca="false">IF(Returns!$O443=1,Returns!J443,"")</f>
        <v/>
      </c>
      <c r="T443" s="26" t="n">
        <f aca="false">IF(Returns!$O443=1,"",Returns!K443)</f>
        <v>-0.00269204745860648</v>
      </c>
    </row>
    <row r="444" customFormat="false" ht="15" hidden="false" customHeight="false" outlineLevel="0" collapsed="false">
      <c r="A444" s="25" t="n">
        <f aca="false">Returns!A444</f>
        <v>44364</v>
      </c>
      <c r="B444" s="26" t="n">
        <f aca="false">IF(Returns!$O444=1,"",Returns!B444)</f>
        <v>0.0136791424932965</v>
      </c>
      <c r="C444" s="26" t="n">
        <f aca="false">IF(Returns!$O444=1,"",Returns!C444)</f>
        <v>0.0153755174452987</v>
      </c>
      <c r="D444" s="26" t="n">
        <f aca="false">IF(Returns!$O444=1,"",Returns!D444)</f>
        <v>-0.0055139427142159</v>
      </c>
      <c r="E444" s="26" t="n">
        <f aca="false">IF(Returns!$O444=1,"",Returns!E444)</f>
        <v>-0.0240174817209538</v>
      </c>
      <c r="F444" s="26" t="n">
        <f aca="false">IF(Returns!$O444=1,"",Returns!F444)</f>
        <v>-0.0062837519621296</v>
      </c>
      <c r="G444" s="26" t="n">
        <f aca="false">IF(Returns!$O444=1,"",Returns!G444)</f>
        <v>-0.0100231684647969</v>
      </c>
      <c r="H444" s="26" t="n">
        <f aca="false">IF(Returns!$O444=1,"",Returns!H444)</f>
        <v>-0.0346602619993226</v>
      </c>
      <c r="I444" s="26" t="n">
        <f aca="false">IF(Returns!$O444=1,"",Returns!I444)</f>
        <v>-0.00767759781525657</v>
      </c>
      <c r="J444" s="26" t="n">
        <f aca="false">IF(Returns!$O444=1,"",Returns!J444)</f>
        <v>-0.0208044378954334</v>
      </c>
      <c r="K444" s="26" t="str">
        <f aca="false">IF(Returns!$O444=1,Returns!B444,"")</f>
        <v/>
      </c>
      <c r="L444" s="26" t="str">
        <f aca="false">IF(Returns!$O444=1,Returns!C444,"")</f>
        <v/>
      </c>
      <c r="M444" s="26" t="str">
        <f aca="false">IF(Returns!$O444=1,Returns!D444,"")</f>
        <v/>
      </c>
      <c r="N444" s="26" t="str">
        <f aca="false">IF(Returns!$O444=1,Returns!E444,"")</f>
        <v/>
      </c>
      <c r="O444" s="26" t="str">
        <f aca="false">IF(Returns!$O444=1,Returns!F444,"")</f>
        <v/>
      </c>
      <c r="P444" s="26" t="str">
        <f aca="false">IF(Returns!$O444=1,Returns!G444,"")</f>
        <v/>
      </c>
      <c r="Q444" s="26" t="str">
        <f aca="false">IF(Returns!$O444=1,Returns!H444,"")</f>
        <v/>
      </c>
      <c r="R444" s="26" t="str">
        <f aca="false">IF(Returns!$O444=1,Returns!I444,"")</f>
        <v/>
      </c>
      <c r="S444" s="26" t="str">
        <f aca="false">IF(Returns!$O444=1,Returns!J444,"")</f>
        <v/>
      </c>
      <c r="T444" s="26" t="n">
        <f aca="false">IF(Returns!$O444=1,"",Returns!K444)</f>
        <v>-0.00888066473705705</v>
      </c>
    </row>
    <row r="445" customFormat="false" ht="15" hidden="false" customHeight="false" outlineLevel="0" collapsed="false">
      <c r="A445" s="25" t="n">
        <f aca="false">Returns!A445</f>
        <v>44365</v>
      </c>
      <c r="B445" s="26" t="n">
        <f aca="false">IF(Returns!$O445=1,"",Returns!B445)</f>
        <v>0.0177048478151198</v>
      </c>
      <c r="C445" s="26" t="n">
        <f aca="false">IF(Returns!$O445=1,"",Returns!C445)</f>
        <v>0.0122305765870705</v>
      </c>
      <c r="D445" s="26" t="n">
        <f aca="false">IF(Returns!$O445=1,"",Returns!D445)</f>
        <v>0.0166336633663367</v>
      </c>
      <c r="E445" s="26" t="n">
        <f aca="false">IF(Returns!$O445=1,"",Returns!E445)</f>
        <v>0.00367527952459956</v>
      </c>
      <c r="F445" s="26" t="n">
        <f aca="false">IF(Returns!$O445=1,"",Returns!F445)</f>
        <v>-0.0176151317802679</v>
      </c>
      <c r="G445" s="26" t="n">
        <f aca="false">IF(Returns!$O445=1,"",Returns!G445)</f>
        <v>0.0031152647975079</v>
      </c>
      <c r="H445" s="26" t="n">
        <f aca="false">IF(Returns!$O445=1,"",Returns!H445)</f>
        <v>0.00675439057072125</v>
      </c>
      <c r="I445" s="26" t="n">
        <f aca="false">IF(Returns!$O445=1,"",Returns!I445)</f>
        <v>-0.00525004159298259</v>
      </c>
      <c r="J445" s="26" t="n">
        <f aca="false">IF(Returns!$O445=1,"",Returns!J445)</f>
        <v>0.0301227000921114</v>
      </c>
      <c r="K445" s="26" t="str">
        <f aca="false">IF(Returns!$O445=1,Returns!B445,"")</f>
        <v/>
      </c>
      <c r="L445" s="26" t="str">
        <f aca="false">IF(Returns!$O445=1,Returns!C445,"")</f>
        <v/>
      </c>
      <c r="M445" s="26" t="str">
        <f aca="false">IF(Returns!$O445=1,Returns!D445,"")</f>
        <v/>
      </c>
      <c r="N445" s="26" t="str">
        <f aca="false">IF(Returns!$O445=1,Returns!E445,"")</f>
        <v/>
      </c>
      <c r="O445" s="26" t="str">
        <f aca="false">IF(Returns!$O445=1,Returns!F445,"")</f>
        <v/>
      </c>
      <c r="P445" s="26" t="str">
        <f aca="false">IF(Returns!$O445=1,Returns!G445,"")</f>
        <v/>
      </c>
      <c r="Q445" s="26" t="str">
        <f aca="false">IF(Returns!$O445=1,Returns!H445,"")</f>
        <v/>
      </c>
      <c r="R445" s="26" t="str">
        <f aca="false">IF(Returns!$O445=1,Returns!I445,"")</f>
        <v/>
      </c>
      <c r="S445" s="26" t="str">
        <f aca="false">IF(Returns!$O445=1,Returns!J445,"")</f>
        <v/>
      </c>
      <c r="T445" s="26" t="n">
        <f aca="false">IF(Returns!$O445=1,"",Returns!K445)</f>
        <v>0.00748572770891296</v>
      </c>
    </row>
    <row r="446" customFormat="false" ht="15" hidden="false" customHeight="false" outlineLevel="0" collapsed="false">
      <c r="A446" s="25" t="n">
        <f aca="false">Returns!A446</f>
        <v>44368</v>
      </c>
      <c r="B446" s="26" t="n">
        <f aca="false">IF(Returns!$O446=1,"",Returns!B446)</f>
        <v>0.0176090278225001</v>
      </c>
      <c r="C446" s="26" t="n">
        <f aca="false">IF(Returns!$O446=1,"",Returns!C446)</f>
        <v>-0.0178365372748296</v>
      </c>
      <c r="D446" s="26" t="n">
        <f aca="false">IF(Returns!$O446=1,"",Returns!D446)</f>
        <v>0.0186988702765873</v>
      </c>
      <c r="E446" s="26" t="n">
        <f aca="false">IF(Returns!$O446=1,"",Returns!E446)</f>
        <v>0.00652762288604336</v>
      </c>
      <c r="F446" s="26" t="n">
        <f aca="false">IF(Returns!$O446=1,"",Returns!F446)</f>
        <v>0.0160919540229885</v>
      </c>
      <c r="G446" s="26" t="n">
        <f aca="false">IF(Returns!$O446=1,"",Returns!G446)</f>
        <v>0.0089285714285714</v>
      </c>
      <c r="H446" s="26" t="n">
        <f aca="false">IF(Returns!$O446=1,"",Returns!H446)</f>
        <v>0.022245798022599</v>
      </c>
      <c r="I446" s="26" t="n">
        <f aca="false">IF(Returns!$O446=1,"",Returns!I446)</f>
        <v>0.000833305555555386</v>
      </c>
      <c r="J446" s="26" t="n">
        <f aca="false">IF(Returns!$O446=1,"",Returns!J446)</f>
        <v>0.00935012409387204</v>
      </c>
      <c r="K446" s="26" t="str">
        <f aca="false">IF(Returns!$O446=1,Returns!B446,"")</f>
        <v/>
      </c>
      <c r="L446" s="26" t="str">
        <f aca="false">IF(Returns!$O446=1,Returns!C446,"")</f>
        <v/>
      </c>
      <c r="M446" s="26" t="str">
        <f aca="false">IF(Returns!$O446=1,Returns!D446,"")</f>
        <v/>
      </c>
      <c r="N446" s="26" t="str">
        <f aca="false">IF(Returns!$O446=1,Returns!E446,"")</f>
        <v/>
      </c>
      <c r="O446" s="26" t="str">
        <f aca="false">IF(Returns!$O446=1,Returns!F446,"")</f>
        <v/>
      </c>
      <c r="P446" s="26" t="str">
        <f aca="false">IF(Returns!$O446=1,Returns!G446,"")</f>
        <v/>
      </c>
      <c r="Q446" s="26" t="str">
        <f aca="false">IF(Returns!$O446=1,Returns!H446,"")</f>
        <v/>
      </c>
      <c r="R446" s="26" t="str">
        <f aca="false">IF(Returns!$O446=1,Returns!I446,"")</f>
        <v/>
      </c>
      <c r="S446" s="26" t="str">
        <f aca="false">IF(Returns!$O446=1,Returns!J446,"")</f>
        <v/>
      </c>
      <c r="T446" s="26" t="n">
        <f aca="false">IF(Returns!$O446=1,"",Returns!K446)</f>
        <v>0.00916097075932082</v>
      </c>
    </row>
    <row r="447" customFormat="false" ht="15" hidden="false" customHeight="false" outlineLevel="0" collapsed="false">
      <c r="A447" s="25" t="n">
        <f aca="false">Returns!A447</f>
        <v>44369</v>
      </c>
      <c r="B447" s="26" t="n">
        <f aca="false">IF(Returns!$O447=1,"",Returns!B447)</f>
        <v>-0.00969456895653087</v>
      </c>
      <c r="C447" s="26" t="n">
        <f aca="false">IF(Returns!$O447=1,"",Returns!C447)</f>
        <v>-0.00468658465143534</v>
      </c>
      <c r="D447" s="26" t="n">
        <f aca="false">IF(Returns!$O447=1,"",Returns!D447)</f>
        <v>0.0057360994263862</v>
      </c>
      <c r="E447" s="26" t="n">
        <f aca="false">IF(Returns!$O447=1,"",Returns!E447)</f>
        <v>-0.00347992718317114</v>
      </c>
      <c r="F447" s="26" t="n">
        <f aca="false">IF(Returns!$O447=1,"",Returns!F447)</f>
        <v>-0.0153846153846153</v>
      </c>
      <c r="G447" s="26" t="n">
        <f aca="false">IF(Returns!$O447=1,"",Returns!G447)</f>
        <v>-0.0265487110427087</v>
      </c>
      <c r="H447" s="26" t="n">
        <f aca="false">IF(Returns!$O447=1,"",Returns!H447)</f>
        <v>0.00518131242897035</v>
      </c>
      <c r="I447" s="26" t="n">
        <f aca="false">IF(Returns!$O447=1,"",Returns!I447)</f>
        <v>-0.00222031646462151</v>
      </c>
      <c r="J447" s="26" t="n">
        <f aca="false">IF(Returns!$O447=1,"",Returns!J447)</f>
        <v>0.0117155661455313</v>
      </c>
      <c r="K447" s="26" t="str">
        <f aca="false">IF(Returns!$O447=1,Returns!B447,"")</f>
        <v/>
      </c>
      <c r="L447" s="26" t="str">
        <f aca="false">IF(Returns!$O447=1,Returns!C447,"")</f>
        <v/>
      </c>
      <c r="M447" s="26" t="str">
        <f aca="false">IF(Returns!$O447=1,Returns!D447,"")</f>
        <v/>
      </c>
      <c r="N447" s="26" t="str">
        <f aca="false">IF(Returns!$O447=1,Returns!E447,"")</f>
        <v/>
      </c>
      <c r="O447" s="26" t="str">
        <f aca="false">IF(Returns!$O447=1,Returns!F447,"")</f>
        <v/>
      </c>
      <c r="P447" s="26" t="str">
        <f aca="false">IF(Returns!$O447=1,Returns!G447,"")</f>
        <v/>
      </c>
      <c r="Q447" s="26" t="str">
        <f aca="false">IF(Returns!$O447=1,Returns!H447,"")</f>
        <v/>
      </c>
      <c r="R447" s="26" t="str">
        <f aca="false">IF(Returns!$O447=1,Returns!I447,"")</f>
        <v/>
      </c>
      <c r="S447" s="26" t="str">
        <f aca="false">IF(Returns!$O447=1,Returns!J447,"")</f>
        <v/>
      </c>
      <c r="T447" s="26" t="n">
        <f aca="false">IF(Returns!$O447=1,"",Returns!K447)</f>
        <v>-0.0043757495202439</v>
      </c>
    </row>
    <row r="448" customFormat="false" ht="15" hidden="false" customHeight="false" outlineLevel="0" collapsed="false">
      <c r="A448" s="25" t="n">
        <f aca="false">Returns!A448</f>
        <v>44370</v>
      </c>
      <c r="B448" s="26" t="n">
        <f aca="false">IF(Returns!$O448=1,"",Returns!B448)</f>
        <v>-0.0135789578947368</v>
      </c>
      <c r="C448" s="26" t="n">
        <f aca="false">IF(Returns!$O448=1,"",Returns!C448)</f>
        <v>0.00176574455562095</v>
      </c>
      <c r="D448" s="26" t="n">
        <f aca="false">IF(Returns!$O448=1,"",Returns!D448)</f>
        <v>-0.0171102287874612</v>
      </c>
      <c r="E448" s="26" t="n">
        <f aca="false">IF(Returns!$O448=1,"",Returns!E448)</f>
        <v>0.0158730158730158</v>
      </c>
      <c r="F448" s="26" t="n">
        <f aca="false">IF(Returns!$O448=1,"",Returns!F448)</f>
        <v>-0.015625</v>
      </c>
      <c r="G448" s="26" t="n">
        <f aca="false">IF(Returns!$O448=1,"",Returns!G448)</f>
        <v>-0.00988142331547126</v>
      </c>
      <c r="H448" s="26" t="n">
        <f aca="false">IF(Returns!$O448=1,"",Returns!H448)</f>
        <v>0.00687281786941574</v>
      </c>
      <c r="I448" s="26" t="n">
        <f aca="false">IF(Returns!$O448=1,"",Returns!I448)</f>
        <v>-0.0119610845073411</v>
      </c>
      <c r="J448" s="26" t="n">
        <f aca="false">IF(Returns!$O448=1,"",Returns!J448)</f>
        <v>0.014991005116858</v>
      </c>
      <c r="K448" s="26" t="str">
        <f aca="false">IF(Returns!$O448=1,Returns!B448,"")</f>
        <v/>
      </c>
      <c r="L448" s="26" t="str">
        <f aca="false">IF(Returns!$O448=1,Returns!C448,"")</f>
        <v/>
      </c>
      <c r="M448" s="26" t="str">
        <f aca="false">IF(Returns!$O448=1,Returns!D448,"")</f>
        <v/>
      </c>
      <c r="N448" s="26" t="str">
        <f aca="false">IF(Returns!$O448=1,Returns!E448,"")</f>
        <v/>
      </c>
      <c r="O448" s="26" t="str">
        <f aca="false">IF(Returns!$O448=1,Returns!F448,"")</f>
        <v/>
      </c>
      <c r="P448" s="26" t="str">
        <f aca="false">IF(Returns!$O448=1,Returns!G448,"")</f>
        <v/>
      </c>
      <c r="Q448" s="26" t="str">
        <f aca="false">IF(Returns!$O448=1,Returns!H448,"")</f>
        <v/>
      </c>
      <c r="R448" s="26" t="str">
        <f aca="false">IF(Returns!$O448=1,Returns!I448,"")</f>
        <v/>
      </c>
      <c r="S448" s="26" t="str">
        <f aca="false">IF(Returns!$O448=1,Returns!J448,"")</f>
        <v/>
      </c>
      <c r="T448" s="26" t="n">
        <f aca="false">IF(Returns!$O448=1,"",Returns!K448)</f>
        <v>-0.00318379012112221</v>
      </c>
    </row>
    <row r="449" customFormat="false" ht="15" hidden="false" customHeight="false" outlineLevel="0" collapsed="false">
      <c r="A449" s="25" t="n">
        <f aca="false">Returns!A449</f>
        <v>44371</v>
      </c>
      <c r="B449" s="26" t="n">
        <f aca="false">IF(Returns!$O449=1,"",Returns!B449)</f>
        <v>0.00629606238711</v>
      </c>
      <c r="C449" s="26" t="n">
        <f aca="false">IF(Returns!$O449=1,"",Returns!C449)</f>
        <v>-0.0017626321974149</v>
      </c>
      <c r="D449" s="26" t="n">
        <f aca="false">IF(Returns!$O449=1,"",Returns!D449)</f>
        <v>0.0201160928433268</v>
      </c>
      <c r="E449" s="26" t="n">
        <f aca="false">IF(Returns!$O449=1,"",Returns!E449)</f>
        <v>0.0078125</v>
      </c>
      <c r="F449" s="26" t="n">
        <f aca="false">IF(Returns!$O449=1,"",Returns!F449)</f>
        <v>0.0448178804855275</v>
      </c>
      <c r="G449" s="26" t="n">
        <f aca="false">IF(Returns!$O449=1,"",Returns!G449)</f>
        <v>0.00518966088581485</v>
      </c>
      <c r="H449" s="26" t="n">
        <f aca="false">IF(Returns!$O449=1,"",Returns!H449)</f>
        <v>0.0119454270288542</v>
      </c>
      <c r="I449" s="26" t="n">
        <f aca="false">IF(Returns!$O449=1,"",Returns!I449)</f>
        <v>0.013232038288288</v>
      </c>
      <c r="J449" s="26" t="n">
        <f aca="false">IF(Returns!$O449=1,"",Returns!J449)</f>
        <v>-0.0180419297780136</v>
      </c>
      <c r="K449" s="26" t="str">
        <f aca="false">IF(Returns!$O449=1,Returns!B449,"")</f>
        <v/>
      </c>
      <c r="L449" s="26" t="str">
        <f aca="false">IF(Returns!$O449=1,Returns!C449,"")</f>
        <v/>
      </c>
      <c r="M449" s="26" t="str">
        <f aca="false">IF(Returns!$O449=1,Returns!D449,"")</f>
        <v/>
      </c>
      <c r="N449" s="26" t="str">
        <f aca="false">IF(Returns!$O449=1,Returns!E449,"")</f>
        <v/>
      </c>
      <c r="O449" s="26" t="str">
        <f aca="false">IF(Returns!$O449=1,Returns!F449,"")</f>
        <v/>
      </c>
      <c r="P449" s="26" t="str">
        <f aca="false">IF(Returns!$O449=1,Returns!G449,"")</f>
        <v/>
      </c>
      <c r="Q449" s="26" t="str">
        <f aca="false">IF(Returns!$O449=1,Returns!H449,"")</f>
        <v/>
      </c>
      <c r="R449" s="26" t="str">
        <f aca="false">IF(Returns!$O449=1,Returns!I449,"")</f>
        <v/>
      </c>
      <c r="S449" s="26" t="str">
        <f aca="false">IF(Returns!$O449=1,Returns!J449,"")</f>
        <v/>
      </c>
      <c r="T449" s="26" t="n">
        <f aca="false">IF(Returns!$O449=1,"",Returns!K449)</f>
        <v>0.00995612221594365</v>
      </c>
    </row>
    <row r="450" customFormat="false" ht="15" hidden="false" customHeight="false" outlineLevel="0" collapsed="false">
      <c r="A450" s="25" t="n">
        <f aca="false">Returns!A450</f>
        <v>44372</v>
      </c>
      <c r="B450" s="26" t="n">
        <f aca="false">IF(Returns!$O450=1,"",Returns!B450)</f>
        <v>-0.0160127460441332</v>
      </c>
      <c r="C450" s="26" t="n">
        <f aca="false">IF(Returns!$O450=1,"",Returns!C450)</f>
        <v>-0.0176573866980576</v>
      </c>
      <c r="D450" s="26" t="n">
        <f aca="false">IF(Returns!$O450=1,"",Returns!D450)</f>
        <v>-0.0193401585384846</v>
      </c>
      <c r="E450" s="26" t="n">
        <f aca="false">IF(Returns!$O450=1,"",Returns!E450)</f>
        <v>-0.013953519379845</v>
      </c>
      <c r="F450" s="26" t="n">
        <f aca="false">IF(Returns!$O450=1,"",Returns!F450)</f>
        <v>-0.0196603225942952</v>
      </c>
      <c r="G450" s="26" t="n">
        <f aca="false">IF(Returns!$O450=1,"",Returns!G450)</f>
        <v>-0.0452739872915012</v>
      </c>
      <c r="H450" s="26" t="n">
        <f aca="false">IF(Returns!$O450=1,"",Returns!H450)</f>
        <v>-0.0185497470489038</v>
      </c>
      <c r="I450" s="26" t="n">
        <f aca="false">IF(Returns!$O450=1,"",Returns!I450)</f>
        <v>-0.0386219483955571</v>
      </c>
      <c r="J450" s="26" t="n">
        <f aca="false">IF(Returns!$O450=1,"",Returns!J450)</f>
        <v>0.0123390346063139</v>
      </c>
      <c r="K450" s="26" t="str">
        <f aca="false">IF(Returns!$O450=1,Returns!B450,"")</f>
        <v/>
      </c>
      <c r="L450" s="26" t="str">
        <f aca="false">IF(Returns!$O450=1,Returns!C450,"")</f>
        <v/>
      </c>
      <c r="M450" s="26" t="str">
        <f aca="false">IF(Returns!$O450=1,Returns!D450,"")</f>
        <v/>
      </c>
      <c r="N450" s="26" t="str">
        <f aca="false">IF(Returns!$O450=1,Returns!E450,"")</f>
        <v/>
      </c>
      <c r="O450" s="26" t="str">
        <f aca="false">IF(Returns!$O450=1,Returns!F450,"")</f>
        <v/>
      </c>
      <c r="P450" s="26" t="str">
        <f aca="false">IF(Returns!$O450=1,Returns!G450,"")</f>
        <v/>
      </c>
      <c r="Q450" s="26" t="str">
        <f aca="false">IF(Returns!$O450=1,Returns!H450,"")</f>
        <v/>
      </c>
      <c r="R450" s="26" t="str">
        <f aca="false">IF(Returns!$O450=1,Returns!I450,"")</f>
        <v/>
      </c>
      <c r="S450" s="26" t="str">
        <f aca="false">IF(Returns!$O450=1,Returns!J450,"")</f>
        <v/>
      </c>
      <c r="T450" s="26" t="n">
        <f aca="false">IF(Returns!$O450=1,"",Returns!K450)</f>
        <v>-0.0196367534871626</v>
      </c>
    </row>
    <row r="451" customFormat="false" ht="15" hidden="false" customHeight="false" outlineLevel="0" collapsed="false">
      <c r="A451" s="25" t="n">
        <f aca="false">Returns!A451</f>
        <v>44375</v>
      </c>
      <c r="B451" s="26" t="n">
        <f aca="false">IF(Returns!$O451=1,"",Returns!B451)</f>
        <v>0.0232783271550994</v>
      </c>
      <c r="C451" s="26" t="n">
        <f aca="false">IF(Returns!$O451=1,"",Returns!C451)</f>
        <v>0.0179747742375809</v>
      </c>
      <c r="D451" s="26" t="n">
        <f aca="false">IF(Returns!$O451=1,"",Returns!D451)</f>
        <v>0.0193348793760681</v>
      </c>
      <c r="E451" s="26" t="n">
        <f aca="false">IF(Returns!$O451=1,"",Returns!E451)</f>
        <v>0.010220157554093</v>
      </c>
      <c r="F451" s="26" t="n">
        <f aca="false">IF(Returns!$O451=1,"",Returns!F451)</f>
        <v>0.018687282648711</v>
      </c>
      <c r="G451" s="26" t="n">
        <f aca="false">IF(Returns!$O451=1,"",Returns!G451)</f>
        <v>-0.0133112307274862</v>
      </c>
      <c r="H451" s="26" t="n">
        <f aca="false">IF(Returns!$O451=1,"",Returns!H451)</f>
        <v>-0.00171824742268045</v>
      </c>
      <c r="I451" s="26" t="n">
        <f aca="false">IF(Returns!$O451=1,"",Returns!I451)</f>
        <v>0.0127168504460606</v>
      </c>
      <c r="J451" s="26" t="n">
        <f aca="false">IF(Returns!$O451=1,"",Returns!J451)</f>
        <v>-0.0160142701776821</v>
      </c>
      <c r="K451" s="26" t="str">
        <f aca="false">IF(Returns!$O451=1,Returns!B451,"")</f>
        <v/>
      </c>
      <c r="L451" s="26" t="str">
        <f aca="false">IF(Returns!$O451=1,Returns!C451,"")</f>
        <v/>
      </c>
      <c r="M451" s="26" t="str">
        <f aca="false">IF(Returns!$O451=1,Returns!D451,"")</f>
        <v/>
      </c>
      <c r="N451" s="26" t="str">
        <f aca="false">IF(Returns!$O451=1,Returns!E451,"")</f>
        <v/>
      </c>
      <c r="O451" s="26" t="str">
        <f aca="false">IF(Returns!$O451=1,Returns!F451,"")</f>
        <v/>
      </c>
      <c r="P451" s="26" t="str">
        <f aca="false">IF(Returns!$O451=1,Returns!G451,"")</f>
        <v/>
      </c>
      <c r="Q451" s="26" t="str">
        <f aca="false">IF(Returns!$O451=1,Returns!H451,"")</f>
        <v/>
      </c>
      <c r="R451" s="26" t="str">
        <f aca="false">IF(Returns!$O451=1,Returns!I451,"")</f>
        <v/>
      </c>
      <c r="S451" s="26" t="str">
        <f aca="false">IF(Returns!$O451=1,Returns!J451,"")</f>
        <v/>
      </c>
      <c r="T451" s="26" t="n">
        <f aca="false">IF(Returns!$O451=1,"",Returns!K451)</f>
        <v>0.00790761367664048</v>
      </c>
    </row>
    <row r="452" customFormat="false" ht="15" hidden="false" customHeight="false" outlineLevel="0" collapsed="false">
      <c r="A452" s="25" t="n">
        <f aca="false">Returns!A452</f>
        <v>44376</v>
      </c>
      <c r="B452" s="26" t="n">
        <f aca="false">IF(Returns!$O452=1,"",Returns!B452)</f>
        <v>0.00136919435605676</v>
      </c>
      <c r="C452" s="26" t="n">
        <f aca="false">IF(Returns!$O452=1,"",Returns!C452)</f>
        <v>0.00294296645085357</v>
      </c>
      <c r="D452" s="26" t="n">
        <f aca="false">IF(Returns!$O452=1,"",Returns!D452)</f>
        <v>0.00113801209643349</v>
      </c>
      <c r="E452" s="26" t="n">
        <f aca="false">IF(Returns!$O452=1,"",Returns!E452)</f>
        <v>0.00435796108949416</v>
      </c>
      <c r="F452" s="26" t="n">
        <f aca="false">IF(Returns!$O452=1,"",Returns!F452)</f>
        <v>-0.00581659955257274</v>
      </c>
      <c r="G452" s="26" t="n">
        <f aca="false">IF(Returns!$O452=1,"",Returns!G452)</f>
        <v>-0.027402994409907</v>
      </c>
      <c r="H452" s="26" t="n">
        <f aca="false">IF(Returns!$O452=1,"",Returns!H452)</f>
        <v>0.00447507760671528</v>
      </c>
      <c r="I452" s="26" t="n">
        <f aca="false">IF(Returns!$O452=1,"",Returns!I452)</f>
        <v>0.0108446629325154</v>
      </c>
      <c r="J452" s="26" t="n">
        <f aca="false">IF(Returns!$O452=1,"",Returns!J452)</f>
        <v>0.0172694758999905</v>
      </c>
      <c r="K452" s="26" t="str">
        <f aca="false">IF(Returns!$O452=1,Returns!B452,"")</f>
        <v/>
      </c>
      <c r="L452" s="26" t="str">
        <f aca="false">IF(Returns!$O452=1,Returns!C452,"")</f>
        <v/>
      </c>
      <c r="M452" s="26" t="str">
        <f aca="false">IF(Returns!$O452=1,Returns!D452,"")</f>
        <v/>
      </c>
      <c r="N452" s="26" t="str">
        <f aca="false">IF(Returns!$O452=1,Returns!E452,"")</f>
        <v/>
      </c>
      <c r="O452" s="26" t="str">
        <f aca="false">IF(Returns!$O452=1,Returns!F452,"")</f>
        <v/>
      </c>
      <c r="P452" s="26" t="str">
        <f aca="false">IF(Returns!$O452=1,Returns!G452,"")</f>
        <v/>
      </c>
      <c r="Q452" s="26" t="str">
        <f aca="false">IF(Returns!$O452=1,Returns!H452,"")</f>
        <v/>
      </c>
      <c r="R452" s="26" t="str">
        <f aca="false">IF(Returns!$O452=1,Returns!I452,"")</f>
        <v/>
      </c>
      <c r="S452" s="26" t="str">
        <f aca="false">IF(Returns!$O452=1,Returns!J452,"")</f>
        <v/>
      </c>
      <c r="T452" s="26" t="n">
        <f aca="false">IF(Returns!$O452=1,"",Returns!K452)</f>
        <v>0.00101975071884216</v>
      </c>
    </row>
    <row r="453" customFormat="false" ht="15" hidden="false" customHeight="false" outlineLevel="0" collapsed="false">
      <c r="A453" s="25" t="n">
        <f aca="false">Returns!A453</f>
        <v>44377</v>
      </c>
      <c r="B453" s="26" t="n">
        <f aca="false">IF(Returns!$O453=1,"",Returns!B453)</f>
        <v>-0.00610014711610962</v>
      </c>
      <c r="C453" s="26" t="n">
        <f aca="false">IF(Returns!$O453=1,"",Returns!C453)</f>
        <v>-0.0129108560498323</v>
      </c>
      <c r="D453" s="26" t="n">
        <f aca="false">IF(Returns!$O453=1,"",Returns!D453)</f>
        <v>-0.00189461924572254</v>
      </c>
      <c r="E453" s="26" t="n">
        <f aca="false">IF(Returns!$O453=1,"",Returns!E453)</f>
        <v>-0.00821321878526615</v>
      </c>
      <c r="F453" s="26" t="n">
        <f aca="false">IF(Returns!$O453=1,"",Returns!F453)</f>
        <v>-0.0288028365797858</v>
      </c>
      <c r="G453" s="26" t="n">
        <f aca="false">IF(Returns!$O453=1,"",Returns!G453)</f>
        <v>0.0186389250108365</v>
      </c>
      <c r="H453" s="26" t="n">
        <f aca="false">IF(Returns!$O453=1,"",Returns!H453)</f>
        <v>0.00856751199451677</v>
      </c>
      <c r="I453" s="26" t="n">
        <f aca="false">IF(Returns!$O453=1,"",Returns!I453)</f>
        <v>-0.0214567488117872</v>
      </c>
      <c r="J453" s="26" t="n">
        <f aca="false">IF(Returns!$O453=1,"",Returns!J453)</f>
        <v>0.00657717524527279</v>
      </c>
      <c r="K453" s="26" t="str">
        <f aca="false">IF(Returns!$O453=1,Returns!B453,"")</f>
        <v/>
      </c>
      <c r="L453" s="26" t="str">
        <f aca="false">IF(Returns!$O453=1,Returns!C453,"")</f>
        <v/>
      </c>
      <c r="M453" s="26" t="str">
        <f aca="false">IF(Returns!$O453=1,Returns!D453,"")</f>
        <v/>
      </c>
      <c r="N453" s="26" t="str">
        <f aca="false">IF(Returns!$O453=1,Returns!E453,"")</f>
        <v/>
      </c>
      <c r="O453" s="26" t="str">
        <f aca="false">IF(Returns!$O453=1,Returns!F453,"")</f>
        <v/>
      </c>
      <c r="P453" s="26" t="str">
        <f aca="false">IF(Returns!$O453=1,Returns!G453,"")</f>
        <v/>
      </c>
      <c r="Q453" s="26" t="str">
        <f aca="false">IF(Returns!$O453=1,Returns!H453,"")</f>
        <v/>
      </c>
      <c r="R453" s="26" t="str">
        <f aca="false">IF(Returns!$O453=1,Returns!I453,"")</f>
        <v/>
      </c>
      <c r="S453" s="26" t="str">
        <f aca="false">IF(Returns!$O453=1,Returns!J453,"")</f>
        <v/>
      </c>
      <c r="T453" s="26" t="n">
        <f aca="false">IF(Returns!$O453=1,"",Returns!K453)</f>
        <v>-0.00506609048198639</v>
      </c>
    </row>
    <row r="454" customFormat="false" ht="15" hidden="false" customHeight="false" outlineLevel="0" collapsed="false">
      <c r="A454" s="25" t="n">
        <f aca="false">Returns!A454</f>
        <v>44378</v>
      </c>
      <c r="B454" s="26" t="n">
        <f aca="false">IF(Returns!$O454=1,"",Returns!B454)</f>
        <v>-0.0104761693121693</v>
      </c>
      <c r="C454" s="26" t="n">
        <f aca="false">IF(Returns!$O454=1,"",Returns!C454)</f>
        <v>-0.0297265160523187</v>
      </c>
      <c r="D454" s="26" t="n">
        <f aca="false">IF(Returns!$O454=1,"",Returns!D454)</f>
        <v>0.0056947608200455</v>
      </c>
      <c r="E454" s="26" t="n">
        <f aca="false">IF(Returns!$O454=1,"",Returns!E454)</f>
        <v>-0.0234375</v>
      </c>
      <c r="F454" s="26" t="n">
        <f aca="false">IF(Returns!$O454=1,"",Returns!F454)</f>
        <v>-0.0227062094531973</v>
      </c>
      <c r="G454" s="26" t="n">
        <f aca="false">IF(Returns!$O454=1,"",Returns!G454)</f>
        <v>-0.0310638297872341</v>
      </c>
      <c r="H454" s="26" t="n">
        <f aca="false">IF(Returns!$O454=1,"",Returns!H454)</f>
        <v>-0.0125722392116887</v>
      </c>
      <c r="I454" s="26" t="n">
        <f aca="false">IF(Returns!$O454=1,"",Returns!I454)</f>
        <v>-0.0124062319676861</v>
      </c>
      <c r="J454" s="26" t="n">
        <f aca="false">IF(Returns!$O454=1,"",Returns!J454)</f>
        <v>-0.0173951523178808</v>
      </c>
      <c r="K454" s="26" t="str">
        <f aca="false">IF(Returns!$O454=1,Returns!B454,"")</f>
        <v/>
      </c>
      <c r="L454" s="26" t="str">
        <f aca="false">IF(Returns!$O454=1,Returns!C454,"")</f>
        <v/>
      </c>
      <c r="M454" s="26" t="str">
        <f aca="false">IF(Returns!$O454=1,Returns!D454,"")</f>
        <v/>
      </c>
      <c r="N454" s="26" t="str">
        <f aca="false">IF(Returns!$O454=1,Returns!E454,"")</f>
        <v/>
      </c>
      <c r="O454" s="26" t="str">
        <f aca="false">IF(Returns!$O454=1,Returns!F454,"")</f>
        <v/>
      </c>
      <c r="P454" s="26" t="str">
        <f aca="false">IF(Returns!$O454=1,Returns!G454,"")</f>
        <v/>
      </c>
      <c r="Q454" s="26" t="str">
        <f aca="false">IF(Returns!$O454=1,Returns!H454,"")</f>
        <v/>
      </c>
      <c r="R454" s="26" t="str">
        <f aca="false">IF(Returns!$O454=1,Returns!I454,"")</f>
        <v/>
      </c>
      <c r="S454" s="26" t="str">
        <f aca="false">IF(Returns!$O454=1,Returns!J454,"")</f>
        <v/>
      </c>
      <c r="T454" s="26" t="n">
        <f aca="false">IF(Returns!$O454=1,"",Returns!K454)</f>
        <v>-0.0171210096980144</v>
      </c>
    </row>
    <row r="455" customFormat="false" ht="15" hidden="false" customHeight="false" outlineLevel="0" collapsed="false">
      <c r="A455" s="25" t="n">
        <f aca="false">Returns!A455</f>
        <v>44379</v>
      </c>
      <c r="B455" s="26" t="n">
        <f aca="false">IF(Returns!$O455=1,"",Returns!B455)</f>
        <v>0.0204255797149915</v>
      </c>
      <c r="C455" s="26" t="n">
        <f aca="false">IF(Returns!$O455=1,"",Returns!C455)</f>
        <v>0.00612745098039214</v>
      </c>
      <c r="D455" s="26" t="n">
        <f aca="false">IF(Returns!$O455=1,"",Returns!D455)</f>
        <v>0.00830498301245752</v>
      </c>
      <c r="E455" s="26" t="n">
        <f aca="false">IF(Returns!$O455=1,"",Returns!E455)</f>
        <v>0.0313599839999998</v>
      </c>
      <c r="F455" s="26" t="n">
        <f aca="false">IF(Returns!$O455=1,"",Returns!F455)</f>
        <v>0.0132764817449027</v>
      </c>
      <c r="G455" s="26" t="n">
        <f aca="false">IF(Returns!$O455=1,"",Returns!G455)</f>
        <v>0.0166886253842775</v>
      </c>
      <c r="H455" s="26" t="n">
        <f aca="false">IF(Returns!$O455=1,"",Returns!H455)</f>
        <v>0.00412942202785338</v>
      </c>
      <c r="I455" s="26" t="n">
        <f aca="false">IF(Returns!$O455=1,"",Returns!I455)</f>
        <v>-0.0035056675430909</v>
      </c>
      <c r="J455" s="26" t="n">
        <f aca="false">IF(Returns!$O455=1,"",Returns!J455)</f>
        <v>0.0206686108974532</v>
      </c>
      <c r="K455" s="26" t="str">
        <f aca="false">IF(Returns!$O455=1,Returns!B455,"")</f>
        <v/>
      </c>
      <c r="L455" s="26" t="str">
        <f aca="false">IF(Returns!$O455=1,Returns!C455,"")</f>
        <v/>
      </c>
      <c r="M455" s="26" t="str">
        <f aca="false">IF(Returns!$O455=1,Returns!D455,"")</f>
        <v/>
      </c>
      <c r="N455" s="26" t="str">
        <f aca="false">IF(Returns!$O455=1,Returns!E455,"")</f>
        <v/>
      </c>
      <c r="O455" s="26" t="str">
        <f aca="false">IF(Returns!$O455=1,Returns!F455,"")</f>
        <v/>
      </c>
      <c r="P455" s="26" t="str">
        <f aca="false">IF(Returns!$O455=1,Returns!G455,"")</f>
        <v/>
      </c>
      <c r="Q455" s="26" t="str">
        <f aca="false">IF(Returns!$O455=1,Returns!H455,"")</f>
        <v/>
      </c>
      <c r="R455" s="26" t="str">
        <f aca="false">IF(Returns!$O455=1,Returns!I455,"")</f>
        <v/>
      </c>
      <c r="S455" s="26" t="str">
        <f aca="false">IF(Returns!$O455=1,Returns!J455,"")</f>
        <v/>
      </c>
      <c r="T455" s="26" t="n">
        <f aca="false">IF(Returns!$O455=1,"",Returns!K455)</f>
        <v>0.0130528300243597</v>
      </c>
    </row>
    <row r="456" customFormat="false" ht="15" hidden="false" customHeight="false" outlineLevel="0" collapsed="false">
      <c r="A456" s="25" t="n">
        <f aca="false">Returns!A456</f>
        <v>44382</v>
      </c>
      <c r="B456" s="26" t="n">
        <f aca="false">IF(Returns!$O456=1,"",Returns!B456)</f>
        <v>0.0066024419744799</v>
      </c>
      <c r="C456" s="26" t="n">
        <f aca="false">IF(Returns!$O456=1,"",Returns!C456)</f>
        <v>-0.0188793544457979</v>
      </c>
      <c r="D456" s="26" t="n">
        <f aca="false">IF(Returns!$O456=1,"",Returns!D456)</f>
        <v>0.00823665324734746</v>
      </c>
      <c r="E456" s="26" t="n">
        <f aca="false">IF(Returns!$O456=1,"",Returns!E456)</f>
        <v>-0.00542969291699802</v>
      </c>
      <c r="F456" s="26" t="n">
        <f aca="false">IF(Returns!$O456=1,"",Returns!F456)</f>
        <v>-0.0121665881063833</v>
      </c>
      <c r="G456" s="26" t="n">
        <f aca="false">IF(Returns!$O456=1,"",Returns!G456)</f>
        <v>0.0107991360691144</v>
      </c>
      <c r="H456" s="26" t="n">
        <f aca="false">IF(Returns!$O456=1,"",Returns!H456)</f>
        <v>-0.0113091158327621</v>
      </c>
      <c r="I456" s="26" t="n">
        <f aca="false">IF(Returns!$O456=1,"",Returns!I456)</f>
        <v>-0.0149517146012396</v>
      </c>
      <c r="J456" s="26" t="n">
        <f aca="false">IF(Returns!$O456=1,"",Returns!J456)</f>
        <v>-0.00360982560996947</v>
      </c>
      <c r="K456" s="26" t="str">
        <f aca="false">IF(Returns!$O456=1,Returns!B456,"")</f>
        <v/>
      </c>
      <c r="L456" s="26" t="str">
        <f aca="false">IF(Returns!$O456=1,Returns!C456,"")</f>
        <v/>
      </c>
      <c r="M456" s="26" t="str">
        <f aca="false">IF(Returns!$O456=1,Returns!D456,"")</f>
        <v/>
      </c>
      <c r="N456" s="26" t="str">
        <f aca="false">IF(Returns!$O456=1,Returns!E456,"")</f>
        <v/>
      </c>
      <c r="O456" s="26" t="str">
        <f aca="false">IF(Returns!$O456=1,Returns!F456,"")</f>
        <v/>
      </c>
      <c r="P456" s="26" t="str">
        <f aca="false">IF(Returns!$O456=1,Returns!G456,"")</f>
        <v/>
      </c>
      <c r="Q456" s="26" t="str">
        <f aca="false">IF(Returns!$O456=1,Returns!H456,"")</f>
        <v/>
      </c>
      <c r="R456" s="26" t="str">
        <f aca="false">IF(Returns!$O456=1,Returns!I456,"")</f>
        <v/>
      </c>
      <c r="S456" s="26" t="str">
        <f aca="false">IF(Returns!$O456=1,Returns!J456,"")</f>
        <v/>
      </c>
      <c r="T456" s="26" t="n">
        <f aca="false">IF(Returns!$O456=1,"",Returns!K456)</f>
        <v>-0.00452311780246761</v>
      </c>
    </row>
    <row r="457" customFormat="false" ht="15" hidden="false" customHeight="false" outlineLevel="0" collapsed="false">
      <c r="A457" s="25" t="n">
        <f aca="false">Returns!A457</f>
        <v>44383</v>
      </c>
      <c r="B457" s="26" t="n">
        <f aca="false">IF(Returns!$O457=1,"",Returns!B457)</f>
        <v>-0.00249875057265758</v>
      </c>
      <c r="C457" s="26" t="n">
        <f aca="false">IF(Returns!$O457=1,"",Returns!C457)</f>
        <v>-0.0117939781630058</v>
      </c>
      <c r="D457" s="26" t="n">
        <f aca="false">IF(Returns!$O457=1,"",Returns!D457)</f>
        <v>-0.00891195692536206</v>
      </c>
      <c r="E457" s="26" t="n">
        <f aca="false">IF(Returns!$O457=1,"",Returns!E457)</f>
        <v>-0.018249913925286</v>
      </c>
      <c r="F457" s="26" t="n">
        <f aca="false">IF(Returns!$O457=1,"",Returns!F457)</f>
        <v>-0.597619251652333</v>
      </c>
      <c r="G457" s="26" t="n">
        <f aca="false">IF(Returns!$O457=1,"",Returns!G457)</f>
        <v>-0.0213675213675214</v>
      </c>
      <c r="H457" s="26" t="n">
        <f aca="false">IF(Returns!$O457=1,"",Returns!H457)</f>
        <v>-0.0409012131715771</v>
      </c>
      <c r="I457" s="26" t="n">
        <f aca="false">IF(Returns!$O457=1,"",Returns!I457)</f>
        <v>-0.0136904472434789</v>
      </c>
      <c r="J457" s="26" t="n">
        <f aca="false">IF(Returns!$O457=1,"",Returns!J457)</f>
        <v>0.00530174967397268</v>
      </c>
      <c r="K457" s="26" t="str">
        <f aca="false">IF(Returns!$O457=1,Returns!B457,"")</f>
        <v/>
      </c>
      <c r="L457" s="26" t="str">
        <f aca="false">IF(Returns!$O457=1,Returns!C457,"")</f>
        <v/>
      </c>
      <c r="M457" s="26" t="str">
        <f aca="false">IF(Returns!$O457=1,Returns!D457,"")</f>
        <v/>
      </c>
      <c r="N457" s="26" t="str">
        <f aca="false">IF(Returns!$O457=1,Returns!E457,"")</f>
        <v/>
      </c>
      <c r="O457" s="26" t="str">
        <f aca="false">IF(Returns!$O457=1,Returns!F457,"")</f>
        <v/>
      </c>
      <c r="P457" s="26" t="str">
        <f aca="false">IF(Returns!$O457=1,Returns!G457,"")</f>
        <v/>
      </c>
      <c r="Q457" s="26" t="str">
        <f aca="false">IF(Returns!$O457=1,Returns!H457,"")</f>
        <v/>
      </c>
      <c r="R457" s="26" t="str">
        <f aca="false">IF(Returns!$O457=1,Returns!I457,"")</f>
        <v/>
      </c>
      <c r="S457" s="26" t="str">
        <f aca="false">IF(Returns!$O457=1,Returns!J457,"")</f>
        <v/>
      </c>
      <c r="T457" s="26" t="n">
        <f aca="false">IF(Returns!$O457=1,"",Returns!K457)</f>
        <v>-0.0788590314830277</v>
      </c>
    </row>
    <row r="458" customFormat="false" ht="15" hidden="false" customHeight="false" outlineLevel="0" collapsed="false">
      <c r="A458" s="25" t="n">
        <f aca="false">Returns!A458</f>
        <v>44384</v>
      </c>
      <c r="B458" s="26" t="n">
        <f aca="false">IF(Returns!$O458=1,"",Returns!B458)</f>
        <v>0.00688866521007547</v>
      </c>
      <c r="C458" s="26" t="n">
        <f aca="false">IF(Returns!$O458=1,"",Returns!C458)</f>
        <v>0.0219849246231156</v>
      </c>
      <c r="D458" s="26" t="n">
        <f aca="false">IF(Returns!$O458=1,"",Returns!D458)</f>
        <v>0.0202322585150896</v>
      </c>
      <c r="E458" s="26" t="n">
        <f aca="false">IF(Returns!$O458=1,"",Returns!E458)</f>
        <v>0.0541785677498978</v>
      </c>
      <c r="F458" s="26" t="n">
        <f aca="false">IF(Returns!$O458=1,"",Returns!F458)</f>
        <v>0.0102438612060052</v>
      </c>
      <c r="G458" s="26" t="n">
        <f aca="false">IF(Returns!$O458=1,"",Returns!G458)</f>
        <v>0.00567689956331874</v>
      </c>
      <c r="H458" s="26" t="n">
        <f aca="false">IF(Returns!$O458=1,"",Returns!H458)</f>
        <v>0.0137332490061437</v>
      </c>
      <c r="I458" s="26" t="n">
        <f aca="false">IF(Returns!$O458=1,"",Returns!I458)</f>
        <v>0.0165962587989215</v>
      </c>
      <c r="J458" s="26" t="n">
        <f aca="false">IF(Returns!$O458=1,"",Returns!J458)</f>
        <v>0.00290059777359408</v>
      </c>
      <c r="K458" s="26" t="str">
        <f aca="false">IF(Returns!$O458=1,Returns!B458,"")</f>
        <v/>
      </c>
      <c r="L458" s="26" t="str">
        <f aca="false">IF(Returns!$O458=1,Returns!C458,"")</f>
        <v/>
      </c>
      <c r="M458" s="26" t="str">
        <f aca="false">IF(Returns!$O458=1,Returns!D458,"")</f>
        <v/>
      </c>
      <c r="N458" s="26" t="str">
        <f aca="false">IF(Returns!$O458=1,Returns!E458,"")</f>
        <v/>
      </c>
      <c r="O458" s="26" t="str">
        <f aca="false">IF(Returns!$O458=1,Returns!F458,"")</f>
        <v/>
      </c>
      <c r="P458" s="26" t="str">
        <f aca="false">IF(Returns!$O458=1,Returns!G458,"")</f>
        <v/>
      </c>
      <c r="Q458" s="26" t="str">
        <f aca="false">IF(Returns!$O458=1,Returns!H458,"")</f>
        <v/>
      </c>
      <c r="R458" s="26" t="str">
        <f aca="false">IF(Returns!$O458=1,Returns!I458,"")</f>
        <v/>
      </c>
      <c r="S458" s="26" t="str">
        <f aca="false">IF(Returns!$O458=1,Returns!J458,"")</f>
        <v/>
      </c>
      <c r="T458" s="26" t="n">
        <f aca="false">IF(Returns!$O458=1,"",Returns!K458)</f>
        <v>0.0169372536051291</v>
      </c>
    </row>
    <row r="459" customFormat="false" ht="15" hidden="false" customHeight="false" outlineLevel="0" collapsed="false">
      <c r="A459" s="25" t="n">
        <f aca="false">Returns!A459</f>
        <v>44385</v>
      </c>
      <c r="B459" s="26" t="n">
        <f aca="false">IF(Returns!$O459=1,"",Returns!B459)</f>
        <v>-0.00445734420589461</v>
      </c>
      <c r="C459" s="26" t="n">
        <f aca="false">IF(Returns!$O459=1,"",Returns!C459)</f>
        <v>-0.00737553779963129</v>
      </c>
      <c r="D459" s="26" t="n">
        <f aca="false">IF(Returns!$O459=1,"",Returns!D459)</f>
        <v>-0.00844656628718332</v>
      </c>
      <c r="E459" s="26" t="n">
        <f aca="false">IF(Returns!$O459=1,"",Returns!E459)</f>
        <v>-0.0126600757395652</v>
      </c>
      <c r="F459" s="26" t="n">
        <f aca="false">IF(Returns!$O459=1,"",Returns!F459)</f>
        <v>-0.00676007006886614</v>
      </c>
      <c r="G459" s="26" t="n">
        <f aca="false">IF(Returns!$O459=1,"",Returns!G459)</f>
        <v>0.00130256181925481</v>
      </c>
      <c r="H459" s="26" t="n">
        <f aca="false">IF(Returns!$O459=1,"",Returns!H459)</f>
        <v>-0.0199643144372305</v>
      </c>
      <c r="I459" s="26" t="n">
        <f aca="false">IF(Returns!$O459=1,"",Returns!I459)</f>
        <v>-0.0391807669688563</v>
      </c>
      <c r="J459" s="26" t="n">
        <f aca="false">IF(Returns!$O459=1,"",Returns!J459)</f>
        <v>-0.00385621391509572</v>
      </c>
      <c r="K459" s="26" t="str">
        <f aca="false">IF(Returns!$O459=1,Returns!B459,"")</f>
        <v/>
      </c>
      <c r="L459" s="26" t="str">
        <f aca="false">IF(Returns!$O459=1,Returns!C459,"")</f>
        <v/>
      </c>
      <c r="M459" s="26" t="str">
        <f aca="false">IF(Returns!$O459=1,Returns!D459,"")</f>
        <v/>
      </c>
      <c r="N459" s="26" t="str">
        <f aca="false">IF(Returns!$O459=1,Returns!E459,"")</f>
        <v/>
      </c>
      <c r="O459" s="26" t="str">
        <f aca="false">IF(Returns!$O459=1,Returns!F459,"")</f>
        <v/>
      </c>
      <c r="P459" s="26" t="str">
        <f aca="false">IF(Returns!$O459=1,Returns!G459,"")</f>
        <v/>
      </c>
      <c r="Q459" s="26" t="str">
        <f aca="false">IF(Returns!$O459=1,Returns!H459,"")</f>
        <v/>
      </c>
      <c r="R459" s="26" t="str">
        <f aca="false">IF(Returns!$O459=1,Returns!I459,"")</f>
        <v/>
      </c>
      <c r="S459" s="26" t="str">
        <f aca="false">IF(Returns!$O459=1,Returns!J459,"")</f>
        <v/>
      </c>
      <c r="T459" s="26" t="n">
        <f aca="false">IF(Returns!$O459=1,"",Returns!K459)</f>
        <v>-0.0112664808447854</v>
      </c>
    </row>
    <row r="460" customFormat="false" ht="15" hidden="false" customHeight="false" outlineLevel="0" collapsed="false">
      <c r="A460" s="25" t="n">
        <f aca="false">Returns!A460</f>
        <v>44389</v>
      </c>
      <c r="B460" s="26" t="n">
        <f aca="false">IF(Returns!$O460=1,"",Returns!B460)</f>
        <v>0.00603917111579366</v>
      </c>
      <c r="C460" s="26" t="n">
        <f aca="false">IF(Returns!$O460=1,"",Returns!C460)</f>
        <v>0.0346748606811147</v>
      </c>
      <c r="D460" s="26" t="n">
        <f aca="false">IF(Returns!$O460=1,"",Returns!D460)</f>
        <v>0.00555555555555554</v>
      </c>
      <c r="E460" s="26" t="n">
        <f aca="false">IF(Returns!$O460=1,"",Returns!E460)</f>
        <v>0.00915889149263038</v>
      </c>
      <c r="F460" s="26" t="n">
        <f aca="false">IF(Returns!$O460=1,"",Returns!F460)</f>
        <v>0.0170150817844152</v>
      </c>
      <c r="G460" s="26" t="n">
        <f aca="false">IF(Returns!$O460=1,"",Returns!G460)</f>
        <v>0.0320902008712143</v>
      </c>
      <c r="H460" s="26" t="n">
        <f aca="false">IF(Returns!$O460=1,"",Returns!H460)</f>
        <v>0.00873044743543106</v>
      </c>
      <c r="I460" s="26" t="n">
        <f aca="false">IF(Returns!$O460=1,"",Returns!I460)</f>
        <v>0.0256410882187548</v>
      </c>
      <c r="J460" s="26" t="n">
        <f aca="false">IF(Returns!$O460=1,"",Returns!J460)</f>
        <v>0.0124053840434495</v>
      </c>
      <c r="K460" s="26" t="str">
        <f aca="false">IF(Returns!$O460=1,Returns!B460,"")</f>
        <v/>
      </c>
      <c r="L460" s="26" t="str">
        <f aca="false">IF(Returns!$O460=1,Returns!C460,"")</f>
        <v/>
      </c>
      <c r="M460" s="26" t="str">
        <f aca="false">IF(Returns!$O460=1,Returns!D460,"")</f>
        <v/>
      </c>
      <c r="N460" s="26" t="str">
        <f aca="false">IF(Returns!$O460=1,Returns!E460,"")</f>
        <v/>
      </c>
      <c r="O460" s="26" t="str">
        <f aca="false">IF(Returns!$O460=1,Returns!F460,"")</f>
        <v/>
      </c>
      <c r="P460" s="26" t="str">
        <f aca="false">IF(Returns!$O460=1,Returns!G460,"")</f>
        <v/>
      </c>
      <c r="Q460" s="26" t="str">
        <f aca="false">IF(Returns!$O460=1,Returns!H460,"")</f>
        <v/>
      </c>
      <c r="R460" s="26" t="str">
        <f aca="false">IF(Returns!$O460=1,Returns!I460,"")</f>
        <v/>
      </c>
      <c r="S460" s="26" t="str">
        <f aca="false">IF(Returns!$O460=1,Returns!J460,"")</f>
        <v/>
      </c>
      <c r="T460" s="26" t="n">
        <f aca="false">IF(Returns!$O460=1,"",Returns!K460)</f>
        <v>0.0168122979109288</v>
      </c>
    </row>
    <row r="461" customFormat="false" ht="15" hidden="false" customHeight="false" outlineLevel="0" collapsed="false">
      <c r="A461" s="25" t="n">
        <f aca="false">Returns!A461</f>
        <v>44390</v>
      </c>
      <c r="B461" s="26" t="n">
        <f aca="false">IF(Returns!$O461=1,"",Returns!B461)</f>
        <v>0.00527834800419136</v>
      </c>
      <c r="C461" s="26" t="n">
        <f aca="false">IF(Returns!$O461=1,"",Returns!C461)</f>
        <v>0.0143627776399029</v>
      </c>
      <c r="D461" s="26" t="n">
        <f aca="false">IF(Returns!$O461=1,"",Returns!D461)</f>
        <v>-0.00220994475138114</v>
      </c>
      <c r="E461" s="26" t="n">
        <f aca="false">IF(Returns!$O461=1,"",Returns!E461)</f>
        <v>0.000907532885985107</v>
      </c>
      <c r="F461" s="26" t="n">
        <f aca="false">IF(Returns!$O461=1,"",Returns!F461)</f>
        <v>0.0205545825322329</v>
      </c>
      <c r="G461" s="26" t="n">
        <f aca="false">IF(Returns!$O461=1,"",Returns!G461)</f>
        <v>0.0285714717887173</v>
      </c>
      <c r="H461" s="26" t="n">
        <f aca="false">IF(Returns!$O461=1,"",Returns!H461)</f>
        <v>0.00613054453660289</v>
      </c>
      <c r="I461" s="26" t="n">
        <f aca="false">IF(Returns!$O461=1,"",Returns!I461)</f>
        <v>0.0162650898715333</v>
      </c>
      <c r="J461" s="26" t="n">
        <f aca="false">IF(Returns!$O461=1,"",Returns!J461)</f>
        <v>0.005909446423916</v>
      </c>
      <c r="K461" s="26" t="str">
        <f aca="false">IF(Returns!$O461=1,Returns!B461,"")</f>
        <v/>
      </c>
      <c r="L461" s="26" t="str">
        <f aca="false">IF(Returns!$O461=1,Returns!C461,"")</f>
        <v/>
      </c>
      <c r="M461" s="26" t="str">
        <f aca="false">IF(Returns!$O461=1,Returns!D461,"")</f>
        <v/>
      </c>
      <c r="N461" s="26" t="str">
        <f aca="false">IF(Returns!$O461=1,Returns!E461,"")</f>
        <v/>
      </c>
      <c r="O461" s="26" t="str">
        <f aca="false">IF(Returns!$O461=1,Returns!F461,"")</f>
        <v/>
      </c>
      <c r="P461" s="26" t="str">
        <f aca="false">IF(Returns!$O461=1,Returns!G461,"")</f>
        <v/>
      </c>
      <c r="Q461" s="26" t="str">
        <f aca="false">IF(Returns!$O461=1,Returns!H461,"")</f>
        <v/>
      </c>
      <c r="R461" s="26" t="str">
        <f aca="false">IF(Returns!$O461=1,Returns!I461,"")</f>
        <v/>
      </c>
      <c r="S461" s="26" t="str">
        <f aca="false">IF(Returns!$O461=1,Returns!J461,"")</f>
        <v/>
      </c>
      <c r="T461" s="26" t="n">
        <f aca="false">IF(Returns!$O461=1,"",Returns!K461)</f>
        <v>0.0106410943257445</v>
      </c>
    </row>
    <row r="462" customFormat="false" ht="15" hidden="false" customHeight="false" outlineLevel="0" collapsed="false">
      <c r="A462" s="25" t="n">
        <f aca="false">Returns!A462</f>
        <v>44391</v>
      </c>
      <c r="B462" s="26" t="n">
        <f aca="false">IF(Returns!$O462=1,"",Returns!B462)</f>
        <v>0.0239884903939613</v>
      </c>
      <c r="C462" s="26" t="n">
        <f aca="false">IF(Returns!$O462=1,"",Returns!C462)</f>
        <v>0.0100294979333628</v>
      </c>
      <c r="D462" s="26" t="n">
        <f aca="false">IF(Returns!$O462=1,"",Returns!D462)</f>
        <v>-0.0143964193429309</v>
      </c>
      <c r="E462" s="26" t="n">
        <f aca="false">IF(Returns!$O462=1,"",Returns!E462)</f>
        <v>0.0364214005265646</v>
      </c>
      <c r="F462" s="26" t="n">
        <f aca="false">IF(Returns!$O462=1,"",Returns!F462)</f>
        <v>-0.0112412209224052</v>
      </c>
      <c r="G462" s="26" t="n">
        <f aca="false">IF(Returns!$O462=1,"",Returns!G462)</f>
        <v>0.0187908905228757</v>
      </c>
      <c r="H462" s="26" t="n">
        <f aca="false">IF(Returns!$O462=1,"",Returns!H462)</f>
        <v>-0.00824372759856618</v>
      </c>
      <c r="I462" s="26" t="n">
        <f aca="false">IF(Returns!$O462=1,"",Returns!I462)</f>
        <v>0.00414934770898956</v>
      </c>
      <c r="J462" s="26" t="n">
        <f aca="false">IF(Returns!$O462=1,"",Returns!J462)</f>
        <v>-0.00544273866090717</v>
      </c>
      <c r="K462" s="26" t="str">
        <f aca="false">IF(Returns!$O462=1,Returns!B462,"")</f>
        <v/>
      </c>
      <c r="L462" s="26" t="str">
        <f aca="false">IF(Returns!$O462=1,Returns!C462,"")</f>
        <v/>
      </c>
      <c r="M462" s="26" t="str">
        <f aca="false">IF(Returns!$O462=1,Returns!D462,"")</f>
        <v/>
      </c>
      <c r="N462" s="26" t="str">
        <f aca="false">IF(Returns!$O462=1,Returns!E462,"")</f>
        <v/>
      </c>
      <c r="O462" s="26" t="str">
        <f aca="false">IF(Returns!$O462=1,Returns!F462,"")</f>
        <v/>
      </c>
      <c r="P462" s="26" t="str">
        <f aca="false">IF(Returns!$O462=1,Returns!G462,"")</f>
        <v/>
      </c>
      <c r="Q462" s="26" t="str">
        <f aca="false">IF(Returns!$O462=1,Returns!H462,"")</f>
        <v/>
      </c>
      <c r="R462" s="26" t="str">
        <f aca="false">IF(Returns!$O462=1,Returns!I462,"")</f>
        <v/>
      </c>
      <c r="S462" s="26" t="str">
        <f aca="false">IF(Returns!$O462=1,Returns!J462,"")</f>
        <v/>
      </c>
      <c r="T462" s="26" t="n">
        <f aca="false">IF(Returns!$O462=1,"",Returns!K462)</f>
        <v>0.00600616895121607</v>
      </c>
    </row>
    <row r="463" customFormat="false" ht="15" hidden="false" customHeight="false" outlineLevel="0" collapsed="false">
      <c r="A463" s="25" t="n">
        <f aca="false">Returns!A463</f>
        <v>44392</v>
      </c>
      <c r="B463" s="26" t="n">
        <f aca="false">IF(Returns!$O463=1,"",Returns!B463)</f>
        <v>0.0135732858794819</v>
      </c>
      <c r="C463" s="26" t="n">
        <f aca="false">IF(Returns!$O463=1,"",Returns!C463)</f>
        <v>-0.00700940379617965</v>
      </c>
      <c r="D463" s="26" t="n">
        <f aca="false">IF(Returns!$O463=1,"",Returns!D463)</f>
        <v>-0.015355804668322</v>
      </c>
      <c r="E463" s="26" t="n">
        <f aca="false">IF(Returns!$O463=1,"",Returns!E463)</f>
        <v>0.00189555258397345</v>
      </c>
      <c r="F463" s="26" t="n">
        <f aca="false">IF(Returns!$O463=1,"",Returns!F463)</f>
        <v>-0.02463297760813</v>
      </c>
      <c r="G463" s="26" t="n">
        <f aca="false">IF(Returns!$O463=1,"",Returns!G463)</f>
        <v>-0.0196471523798254</v>
      </c>
      <c r="H463" s="26" t="n">
        <f aca="false">IF(Returns!$O463=1,"",Returns!H463)</f>
        <v>-0.0213227322009397</v>
      </c>
      <c r="I463" s="26" t="n">
        <f aca="false">IF(Returns!$O463=1,"",Returns!I463)</f>
        <v>-0.028040170364812</v>
      </c>
      <c r="J463" s="26" t="n">
        <f aca="false">IF(Returns!$O463=1,"",Returns!J463)</f>
        <v>0.0031271715654837</v>
      </c>
      <c r="K463" s="26" t="str">
        <f aca="false">IF(Returns!$O463=1,Returns!B463,"")</f>
        <v/>
      </c>
      <c r="L463" s="26" t="str">
        <f aca="false">IF(Returns!$O463=1,Returns!C463,"")</f>
        <v/>
      </c>
      <c r="M463" s="26" t="str">
        <f aca="false">IF(Returns!$O463=1,Returns!D463,"")</f>
        <v/>
      </c>
      <c r="N463" s="26" t="str">
        <f aca="false">IF(Returns!$O463=1,Returns!E463,"")</f>
        <v/>
      </c>
      <c r="O463" s="26" t="str">
        <f aca="false">IF(Returns!$O463=1,Returns!F463,"")</f>
        <v/>
      </c>
      <c r="P463" s="26" t="str">
        <f aca="false">IF(Returns!$O463=1,Returns!G463,"")</f>
        <v/>
      </c>
      <c r="Q463" s="26" t="str">
        <f aca="false">IF(Returns!$O463=1,Returns!H463,"")</f>
        <v/>
      </c>
      <c r="R463" s="26" t="str">
        <f aca="false">IF(Returns!$O463=1,Returns!I463,"")</f>
        <v/>
      </c>
      <c r="S463" s="26" t="str">
        <f aca="false">IF(Returns!$O463=1,Returns!J463,"")</f>
        <v/>
      </c>
      <c r="T463" s="26" t="n">
        <f aca="false">IF(Returns!$O463=1,"",Returns!K463)</f>
        <v>-0.01082358122103</v>
      </c>
    </row>
    <row r="464" customFormat="false" ht="15" hidden="false" customHeight="false" outlineLevel="0" collapsed="false">
      <c r="A464" s="25" t="n">
        <f aca="false">Returns!A464</f>
        <v>44393</v>
      </c>
      <c r="B464" s="26" t="n">
        <f aca="false">IF(Returns!$O464=1,"",Returns!B464)</f>
        <v>-0.0123003474318093</v>
      </c>
      <c r="C464" s="26" t="n">
        <f aca="false">IF(Returns!$O464=1,"",Returns!C464)</f>
        <v>-0.0241176470588236</v>
      </c>
      <c r="D464" s="26" t="n">
        <f aca="false">IF(Returns!$O464=1,"",Returns!D464)</f>
        <v>-0.0110308478116833</v>
      </c>
      <c r="E464" s="26" t="n">
        <f aca="false">IF(Returns!$O464=1,"",Returns!E464)</f>
        <v>-0.0146994908266553</v>
      </c>
      <c r="F464" s="26" t="n">
        <f aca="false">IF(Returns!$O464=1,"",Returns!F464)</f>
        <v>0.0150558825835729</v>
      </c>
      <c r="G464" s="26" t="n">
        <f aca="false">IF(Returns!$O464=1,"",Returns!G464)</f>
        <v>-0.0114519831716979</v>
      </c>
      <c r="H464" s="26" t="n">
        <f aca="false">IF(Returns!$O464=1,"",Returns!H464)</f>
        <v>-0.0147710487444608</v>
      </c>
      <c r="I464" s="26" t="n">
        <f aca="false">IF(Returns!$O464=1,"",Returns!I464)</f>
        <v>-0.0215608563619798</v>
      </c>
      <c r="J464" s="26" t="n">
        <f aca="false">IF(Returns!$O464=1,"",Returns!J464)</f>
        <v>-0.0180117851226588</v>
      </c>
      <c r="K464" s="26" t="str">
        <f aca="false">IF(Returns!$O464=1,Returns!B464,"")</f>
        <v/>
      </c>
      <c r="L464" s="26" t="str">
        <f aca="false">IF(Returns!$O464=1,Returns!C464,"")</f>
        <v/>
      </c>
      <c r="M464" s="26" t="str">
        <f aca="false">IF(Returns!$O464=1,Returns!D464,"")</f>
        <v/>
      </c>
      <c r="N464" s="26" t="str">
        <f aca="false">IF(Returns!$O464=1,Returns!E464,"")</f>
        <v/>
      </c>
      <c r="O464" s="26" t="str">
        <f aca="false">IF(Returns!$O464=1,Returns!F464,"")</f>
        <v/>
      </c>
      <c r="P464" s="26" t="str">
        <f aca="false">IF(Returns!$O464=1,Returns!G464,"")</f>
        <v/>
      </c>
      <c r="Q464" s="26" t="str">
        <f aca="false">IF(Returns!$O464=1,Returns!H464,"")</f>
        <v/>
      </c>
      <c r="R464" s="26" t="str">
        <f aca="false">IF(Returns!$O464=1,Returns!I464,"")</f>
        <v/>
      </c>
      <c r="S464" s="26" t="str">
        <f aca="false">IF(Returns!$O464=1,Returns!J464,"")</f>
        <v/>
      </c>
      <c r="T464" s="26" t="n">
        <f aca="false">IF(Returns!$O464=1,"",Returns!K464)</f>
        <v>-0.0125431248829107</v>
      </c>
    </row>
    <row r="465" customFormat="false" ht="15" hidden="false" customHeight="false" outlineLevel="0" collapsed="false">
      <c r="A465" s="25" t="n">
        <f aca="false">Returns!A465</f>
        <v>44396</v>
      </c>
      <c r="B465" s="26" t="n">
        <f aca="false">IF(Returns!$O465=1,"",Returns!B465)</f>
        <v>-0.0141608516621472</v>
      </c>
      <c r="C465" s="26" t="n">
        <f aca="false">IF(Returns!$O465=1,"",Returns!C465)</f>
        <v>-0.0108499095840868</v>
      </c>
      <c r="D465" s="26" t="n">
        <f aca="false">IF(Returns!$O465=1,"",Returns!D465)</f>
        <v>-0.0123076923076924</v>
      </c>
      <c r="E465" s="26" t="n">
        <f aca="false">IF(Returns!$O465=1,"",Returns!E465)</f>
        <v>-0.00664692791640742</v>
      </c>
      <c r="F465" s="26" t="n">
        <f aca="false">IF(Returns!$O465=1,"",Returns!F465)</f>
        <v>-0.0877597099029687</v>
      </c>
      <c r="G465" s="26" t="n">
        <f aca="false">IF(Returns!$O465=1,"",Returns!G465)</f>
        <v>-0.011170872983037</v>
      </c>
      <c r="H465" s="26" t="n">
        <f aca="false">IF(Returns!$O465=1,"",Returns!H465)</f>
        <v>-0.0164917541229386</v>
      </c>
      <c r="I465" s="26" t="n">
        <f aca="false">IF(Returns!$O465=1,"",Returns!I465)</f>
        <v>-0.00869025423059433</v>
      </c>
      <c r="J465" s="26" t="n">
        <f aca="false">IF(Returns!$O465=1,"",Returns!J465)</f>
        <v>-0.010934726438541</v>
      </c>
      <c r="K465" s="26" t="str">
        <f aca="false">IF(Returns!$O465=1,Returns!B465,"")</f>
        <v/>
      </c>
      <c r="L465" s="26" t="str">
        <f aca="false">IF(Returns!$O465=1,Returns!C465,"")</f>
        <v/>
      </c>
      <c r="M465" s="26" t="str">
        <f aca="false">IF(Returns!$O465=1,Returns!D465,"")</f>
        <v/>
      </c>
      <c r="N465" s="26" t="str">
        <f aca="false">IF(Returns!$O465=1,Returns!E465,"")</f>
        <v/>
      </c>
      <c r="O465" s="26" t="str">
        <f aca="false">IF(Returns!$O465=1,Returns!F465,"")</f>
        <v/>
      </c>
      <c r="P465" s="26" t="str">
        <f aca="false">IF(Returns!$O465=1,Returns!G465,"")</f>
        <v/>
      </c>
      <c r="Q465" s="26" t="str">
        <f aca="false">IF(Returns!$O465=1,Returns!H465,"")</f>
        <v/>
      </c>
      <c r="R465" s="26" t="str">
        <f aca="false">IF(Returns!$O465=1,Returns!I465,"")</f>
        <v/>
      </c>
      <c r="S465" s="26" t="str">
        <f aca="false">IF(Returns!$O465=1,Returns!J465,"")</f>
        <v/>
      </c>
      <c r="T465" s="26" t="n">
        <f aca="false">IF(Returns!$O465=1,"",Returns!K465)</f>
        <v>-0.0198902999053793</v>
      </c>
    </row>
    <row r="466" customFormat="false" ht="15" hidden="false" customHeight="false" outlineLevel="0" collapsed="false">
      <c r="A466" s="25" t="n">
        <f aca="false">Returns!A466</f>
        <v>44397</v>
      </c>
      <c r="B466" s="26" t="n">
        <f aca="false">IF(Returns!$O466=1,"",Returns!B466)</f>
        <v>-0.00947433742973369</v>
      </c>
      <c r="C466" s="26" t="n">
        <f aca="false">IF(Returns!$O466=1,"",Returns!C466)</f>
        <v>0.000609384521633283</v>
      </c>
      <c r="D466" s="26" t="n">
        <f aca="false">IF(Returns!$O466=1,"",Returns!D466)</f>
        <v>0.0124610591900312</v>
      </c>
      <c r="E466" s="26" t="n">
        <f aca="false">IF(Returns!$O466=1,"",Returns!E466)</f>
        <v>0.00371747211895901</v>
      </c>
      <c r="F466" s="26" t="n">
        <f aca="false">IF(Returns!$O466=1,"",Returns!F466)</f>
        <v>0.0544303797468355</v>
      </c>
      <c r="G466" s="26" t="n">
        <f aca="false">IF(Returns!$O466=1,"",Returns!G466)</f>
        <v>0.0188284518828452</v>
      </c>
      <c r="H466" s="26" t="n">
        <f aca="false">IF(Returns!$O466=1,"",Returns!H466)</f>
        <v>0.0133384146341464</v>
      </c>
      <c r="I466" s="26" t="n">
        <f aca="false">IF(Returns!$O466=1,"",Returns!I466)</f>
        <v>0.0103318406283082</v>
      </c>
      <c r="J466" s="26" t="n">
        <f aca="false">IF(Returns!$O466=1,"",Returns!J466)</f>
        <v>0.0083808306568891</v>
      </c>
      <c r="K466" s="26" t="str">
        <f aca="false">IF(Returns!$O466=1,Returns!B466,"")</f>
        <v/>
      </c>
      <c r="L466" s="26" t="str">
        <f aca="false">IF(Returns!$O466=1,Returns!C466,"")</f>
        <v/>
      </c>
      <c r="M466" s="26" t="str">
        <f aca="false">IF(Returns!$O466=1,Returns!D466,"")</f>
        <v/>
      </c>
      <c r="N466" s="26" t="str">
        <f aca="false">IF(Returns!$O466=1,Returns!E466,"")</f>
        <v/>
      </c>
      <c r="O466" s="26" t="str">
        <f aca="false">IF(Returns!$O466=1,Returns!F466,"")</f>
        <v/>
      </c>
      <c r="P466" s="26" t="str">
        <f aca="false">IF(Returns!$O466=1,Returns!G466,"")</f>
        <v/>
      </c>
      <c r="Q466" s="26" t="str">
        <f aca="false">IF(Returns!$O466=1,Returns!H466,"")</f>
        <v/>
      </c>
      <c r="R466" s="26" t="str">
        <f aca="false">IF(Returns!$O466=1,Returns!I466,"")</f>
        <v/>
      </c>
      <c r="S466" s="26" t="str">
        <f aca="false">IF(Returns!$O466=1,Returns!J466,"")</f>
        <v/>
      </c>
      <c r="T466" s="26" t="n">
        <f aca="false">IF(Returns!$O466=1,"",Returns!K466)</f>
        <v>0.0125137217722127</v>
      </c>
    </row>
    <row r="467" customFormat="false" ht="15" hidden="false" customHeight="false" outlineLevel="0" collapsed="false">
      <c r="A467" s="25" t="n">
        <f aca="false">Returns!A467</f>
        <v>44398</v>
      </c>
      <c r="B467" s="26" t="n">
        <f aca="false">IF(Returns!$O467=1,"",Returns!B467)</f>
        <v>-0.00431970571882023</v>
      </c>
      <c r="C467" s="26" t="n">
        <f aca="false">IF(Returns!$O467=1,"",Returns!C467)</f>
        <v>-0.00426309378806333</v>
      </c>
      <c r="D467" s="26" t="n">
        <f aca="false">IF(Returns!$O467=1,"",Returns!D467)</f>
        <v>-0.0157692307692308</v>
      </c>
      <c r="E467" s="26" t="n">
        <f aca="false">IF(Returns!$O467=1,"",Returns!E467)</f>
        <v>-0.010222251851852</v>
      </c>
      <c r="F467" s="26" t="n">
        <f aca="false">IF(Returns!$O467=1,"",Returns!F467)</f>
        <v>-0.0516206482593037</v>
      </c>
      <c r="G467" s="26" t="n">
        <f aca="false">IF(Returns!$O467=1,"",Returns!G467)</f>
        <v>-0.00369609856262831</v>
      </c>
      <c r="H467" s="26" t="n">
        <f aca="false">IF(Returns!$O467=1,"",Returns!H467)</f>
        <v>0.0139149680330952</v>
      </c>
      <c r="I467" s="26" t="n">
        <f aca="false">IF(Returns!$O467=1,"",Returns!I467)</f>
        <v>-0.00743727920669368</v>
      </c>
      <c r="J467" s="26" t="n">
        <f aca="false">IF(Returns!$O467=1,"",Returns!J467)</f>
        <v>0.0114942884437541</v>
      </c>
      <c r="K467" s="26" t="str">
        <f aca="false">IF(Returns!$O467=1,Returns!B467,"")</f>
        <v/>
      </c>
      <c r="L467" s="26" t="str">
        <f aca="false">IF(Returns!$O467=1,Returns!C467,"")</f>
        <v/>
      </c>
      <c r="M467" s="26" t="str">
        <f aca="false">IF(Returns!$O467=1,Returns!D467,"")</f>
        <v/>
      </c>
      <c r="N467" s="26" t="str">
        <f aca="false">IF(Returns!$O467=1,Returns!E467,"")</f>
        <v/>
      </c>
      <c r="O467" s="26" t="str">
        <f aca="false">IF(Returns!$O467=1,Returns!F467,"")</f>
        <v/>
      </c>
      <c r="P467" s="26" t="str">
        <f aca="false">IF(Returns!$O467=1,Returns!G467,"")</f>
        <v/>
      </c>
      <c r="Q467" s="26" t="str">
        <f aca="false">IF(Returns!$O467=1,Returns!H467,"")</f>
        <v/>
      </c>
      <c r="R467" s="26" t="str">
        <f aca="false">IF(Returns!$O467=1,Returns!I467,"")</f>
        <v/>
      </c>
      <c r="S467" s="26" t="str">
        <f aca="false">IF(Returns!$O467=1,Returns!J467,"")</f>
        <v/>
      </c>
      <c r="T467" s="26" t="n">
        <f aca="false">IF(Returns!$O467=1,"",Returns!K467)</f>
        <v>-0.00799100574219363</v>
      </c>
    </row>
    <row r="468" customFormat="false" ht="15" hidden="false" customHeight="false" outlineLevel="0" collapsed="false">
      <c r="A468" s="25" t="n">
        <f aca="false">Returns!A468</f>
        <v>44399</v>
      </c>
      <c r="B468" s="26" t="n">
        <f aca="false">IF(Returns!$O468=1,"",Returns!B468)</f>
        <v>0.0135317118795932</v>
      </c>
      <c r="C468" s="26" t="n">
        <f aca="false">IF(Returns!$O468=1,"",Returns!C468)</f>
        <v>0.00917431192660545</v>
      </c>
      <c r="D468" s="26" t="n">
        <f aca="false">IF(Returns!$O468=1,"",Returns!D468)</f>
        <v>0.00703399765533419</v>
      </c>
      <c r="E468" s="26" t="n">
        <f aca="false">IF(Returns!$O468=1,"",Returns!E468)</f>
        <v>0.0223021260979535</v>
      </c>
      <c r="F468" s="26" t="n">
        <f aca="false">IF(Returns!$O468=1,"",Returns!F468)</f>
        <v>-0.0075949367088608</v>
      </c>
      <c r="G468" s="26" t="n">
        <f aca="false">IF(Returns!$O468=1,"",Returns!G468)</f>
        <v>0.000412201154163183</v>
      </c>
      <c r="H468" s="26" t="n">
        <f aca="false">IF(Returns!$O468=1,"",Returns!H468)</f>
        <v>-0.00222548227839325</v>
      </c>
      <c r="I468" s="26" t="n">
        <f aca="false">IF(Returns!$O468=1,"",Returns!I468)</f>
        <v>-0.00967842677734687</v>
      </c>
      <c r="J468" s="26" t="n">
        <f aca="false">IF(Returns!$O468=1,"",Returns!J468)</f>
        <v>0.00262233387023891</v>
      </c>
      <c r="K468" s="26" t="str">
        <f aca="false">IF(Returns!$O468=1,Returns!B468,"")</f>
        <v/>
      </c>
      <c r="L468" s="26" t="str">
        <f aca="false">IF(Returns!$O468=1,Returns!C468,"")</f>
        <v/>
      </c>
      <c r="M468" s="26" t="str">
        <f aca="false">IF(Returns!$O468=1,Returns!D468,"")</f>
        <v/>
      </c>
      <c r="N468" s="26" t="str">
        <f aca="false">IF(Returns!$O468=1,Returns!E468,"")</f>
        <v/>
      </c>
      <c r="O468" s="26" t="str">
        <f aca="false">IF(Returns!$O468=1,Returns!F468,"")</f>
        <v/>
      </c>
      <c r="P468" s="26" t="str">
        <f aca="false">IF(Returns!$O468=1,Returns!G468,"")</f>
        <v/>
      </c>
      <c r="Q468" s="26" t="str">
        <f aca="false">IF(Returns!$O468=1,Returns!H468,"")</f>
        <v/>
      </c>
      <c r="R468" s="26" t="str">
        <f aca="false">IF(Returns!$O468=1,Returns!I468,"")</f>
        <v/>
      </c>
      <c r="S468" s="26" t="str">
        <f aca="false">IF(Returns!$O468=1,Returns!J468,"")</f>
        <v/>
      </c>
      <c r="T468" s="26" t="n">
        <f aca="false">IF(Returns!$O468=1,"",Returns!K468)</f>
        <v>0.00395309297992083</v>
      </c>
    </row>
    <row r="469" customFormat="false" ht="15" hidden="false" customHeight="false" outlineLevel="0" collapsed="false">
      <c r="A469" s="25" t="n">
        <f aca="false">Returns!A469</f>
        <v>44400</v>
      </c>
      <c r="B469" s="26" t="n">
        <f aca="false">IF(Returns!$O469=1,"",Returns!B469)</f>
        <v>-0.00397472470521632</v>
      </c>
      <c r="C469" s="26" t="n">
        <f aca="false">IF(Returns!$O469=1,"",Returns!C469)</f>
        <v>-0.00909090909090904</v>
      </c>
      <c r="D469" s="26" t="n">
        <f aca="false">IF(Returns!$O469=1,"",Returns!D469)</f>
        <v>-0.00465657741559955</v>
      </c>
      <c r="E469" s="26" t="n">
        <f aca="false">IF(Returns!$O469=1,"",Returns!E469)</f>
        <v>0.000292781831942035</v>
      </c>
      <c r="F469" s="26" t="n">
        <f aca="false">IF(Returns!$O469=1,"",Returns!F469)</f>
        <v>-0.00255102040816324</v>
      </c>
      <c r="G469" s="26" t="n">
        <f aca="false">IF(Returns!$O469=1,"",Returns!G469)</f>
        <v>-0.0230737948084054</v>
      </c>
      <c r="H469" s="26" t="n">
        <f aca="false">IF(Returns!$O469=1,"",Returns!H469)</f>
        <v>-0.00594795539033455</v>
      </c>
      <c r="I469" s="26" t="n">
        <f aca="false">IF(Returns!$O469=1,"",Returns!I469)</f>
        <v>-0.00189151960565959</v>
      </c>
      <c r="J469" s="26" t="n">
        <f aca="false">IF(Returns!$O469=1,"",Returns!J469)</f>
        <v>-0.00505661739468044</v>
      </c>
      <c r="K469" s="26" t="str">
        <f aca="false">IF(Returns!$O469=1,Returns!B469,"")</f>
        <v/>
      </c>
      <c r="L469" s="26" t="str">
        <f aca="false">IF(Returns!$O469=1,Returns!C469,"")</f>
        <v/>
      </c>
      <c r="M469" s="26" t="str">
        <f aca="false">IF(Returns!$O469=1,Returns!D469,"")</f>
        <v/>
      </c>
      <c r="N469" s="26" t="str">
        <f aca="false">IF(Returns!$O469=1,Returns!E469,"")</f>
        <v/>
      </c>
      <c r="O469" s="26" t="str">
        <f aca="false">IF(Returns!$O469=1,Returns!F469,"")</f>
        <v/>
      </c>
      <c r="P469" s="26" t="str">
        <f aca="false">IF(Returns!$O469=1,Returns!G469,"")</f>
        <v/>
      </c>
      <c r="Q469" s="26" t="str">
        <f aca="false">IF(Returns!$O469=1,Returns!H469,"")</f>
        <v/>
      </c>
      <c r="R469" s="26" t="str">
        <f aca="false">IF(Returns!$O469=1,Returns!I469,"")</f>
        <v/>
      </c>
      <c r="S469" s="26" t="str">
        <f aca="false">IF(Returns!$O469=1,Returns!J469,"")</f>
        <v/>
      </c>
      <c r="T469" s="26" t="n">
        <f aca="false">IF(Returns!$O469=1,"",Returns!K469)</f>
        <v>-0.00621670410966957</v>
      </c>
    </row>
    <row r="470" customFormat="false" ht="15" hidden="false" customHeight="false" outlineLevel="0" collapsed="false">
      <c r="A470" s="25" t="n">
        <f aca="false">Returns!A470</f>
        <v>44403</v>
      </c>
      <c r="B470" s="26" t="n">
        <f aca="false">IF(Returns!$O470=1,"",Returns!B470)</f>
        <v>-0.0149391789131531</v>
      </c>
      <c r="C470" s="26" t="n">
        <f aca="false">IF(Returns!$O470=1,"",Returns!C470)</f>
        <v>0.00366972477064209</v>
      </c>
      <c r="D470" s="26" t="n">
        <f aca="false">IF(Returns!$O470=1,"",Returns!D470)</f>
        <v>0.0109161793372321</v>
      </c>
      <c r="E470" s="26" t="n">
        <f aca="false">IF(Returns!$O470=1,"",Returns!E470)</f>
        <v>-0.00439114461358303</v>
      </c>
      <c r="F470" s="26" t="n">
        <f aca="false">IF(Returns!$O470=1,"",Returns!F470)</f>
        <v>-0.0255754475703325</v>
      </c>
      <c r="G470" s="26" t="n">
        <f aca="false">IF(Returns!$O470=1,"",Returns!G470)</f>
        <v>-0.00337410389599757</v>
      </c>
      <c r="H470" s="26" t="n">
        <f aca="false">IF(Returns!$O470=1,"",Returns!H470)</f>
        <v>0.0272998878085267</v>
      </c>
      <c r="I470" s="26" t="n">
        <f aca="false">IF(Returns!$O470=1,"",Returns!I470)</f>
        <v>0.0015792482627921</v>
      </c>
      <c r="J470" s="26" t="n">
        <f aca="false">IF(Returns!$O470=1,"",Returns!J470)</f>
        <v>0.0217314663056922</v>
      </c>
      <c r="K470" s="26" t="str">
        <f aca="false">IF(Returns!$O470=1,Returns!B470,"")</f>
        <v/>
      </c>
      <c r="L470" s="26" t="str">
        <f aca="false">IF(Returns!$O470=1,Returns!C470,"")</f>
        <v/>
      </c>
      <c r="M470" s="26" t="str">
        <f aca="false">IF(Returns!$O470=1,Returns!D470,"")</f>
        <v/>
      </c>
      <c r="N470" s="26" t="str">
        <f aca="false">IF(Returns!$O470=1,Returns!E470,"")</f>
        <v/>
      </c>
      <c r="O470" s="26" t="str">
        <f aca="false">IF(Returns!$O470=1,Returns!F470,"")</f>
        <v/>
      </c>
      <c r="P470" s="26" t="str">
        <f aca="false">IF(Returns!$O470=1,Returns!G470,"")</f>
        <v/>
      </c>
      <c r="Q470" s="26" t="str">
        <f aca="false">IF(Returns!$O470=1,Returns!H470,"")</f>
        <v/>
      </c>
      <c r="R470" s="26" t="str">
        <f aca="false">IF(Returns!$O470=1,Returns!I470,"")</f>
        <v/>
      </c>
      <c r="S470" s="26" t="str">
        <f aca="false">IF(Returns!$O470=1,Returns!J470,"")</f>
        <v/>
      </c>
      <c r="T470" s="26" t="n">
        <f aca="false">IF(Returns!$O470=1,"",Returns!K470)</f>
        <v>0.00187962572131322</v>
      </c>
    </row>
    <row r="471" customFormat="false" ht="15" hidden="false" customHeight="false" outlineLevel="0" collapsed="false">
      <c r="A471" s="25" t="n">
        <f aca="false">Returns!A471</f>
        <v>44404</v>
      </c>
      <c r="B471" s="26" t="n">
        <f aca="false">IF(Returns!$O471=1,"",Returns!B471)</f>
        <v>-0.0250337184491655</v>
      </c>
      <c r="C471" s="26" t="n">
        <f aca="false">IF(Returns!$O471=1,"",Returns!C471)</f>
        <v>-0.0188909201706275</v>
      </c>
      <c r="D471" s="26" t="n">
        <f aca="false">IF(Returns!$O471=1,"",Returns!D471)</f>
        <v>-0.0196683378326262</v>
      </c>
      <c r="E471" s="26" t="n">
        <f aca="false">IF(Returns!$O471=1,"",Returns!E471)</f>
        <v>-0.0177888717048901</v>
      </c>
      <c r="F471" s="26" t="n">
        <f aca="false">IF(Returns!$O471=1,"",Returns!F471)</f>
        <v>-0.020997375328084</v>
      </c>
      <c r="G471" s="26" t="n">
        <f aca="false">IF(Returns!$O471=1,"",Returns!G471)</f>
        <v>-0.0283537887580952</v>
      </c>
      <c r="H471" s="26" t="n">
        <f aca="false">IF(Returns!$O471=1,"",Returns!H471)</f>
        <v>-0.0116490357353126</v>
      </c>
      <c r="I471" s="26" t="n">
        <f aca="false">IF(Returns!$O471=1,"",Returns!I471)</f>
        <v>-0.0239671404593863</v>
      </c>
      <c r="J471" s="26" t="n">
        <f aca="false">IF(Returns!$O471=1,"",Returns!J471)</f>
        <v>-0.0207547001844717</v>
      </c>
      <c r="K471" s="26" t="str">
        <f aca="false">IF(Returns!$O471=1,Returns!B471,"")</f>
        <v/>
      </c>
      <c r="L471" s="26" t="str">
        <f aca="false">IF(Returns!$O471=1,Returns!C471,"")</f>
        <v/>
      </c>
      <c r="M471" s="26" t="str">
        <f aca="false">IF(Returns!$O471=1,Returns!D471,"")</f>
        <v/>
      </c>
      <c r="N471" s="26" t="str">
        <f aca="false">IF(Returns!$O471=1,Returns!E471,"")</f>
        <v/>
      </c>
      <c r="O471" s="26" t="str">
        <f aca="false">IF(Returns!$O471=1,Returns!F471,"")</f>
        <v/>
      </c>
      <c r="P471" s="26" t="str">
        <f aca="false">IF(Returns!$O471=1,Returns!G471,"")</f>
        <v/>
      </c>
      <c r="Q471" s="26" t="str">
        <f aca="false">IF(Returns!$O471=1,Returns!H471,"")</f>
        <v/>
      </c>
      <c r="R471" s="26" t="str">
        <f aca="false">IF(Returns!$O471=1,Returns!I471,"")</f>
        <v/>
      </c>
      <c r="S471" s="26" t="str">
        <f aca="false">IF(Returns!$O471=1,Returns!J471,"")</f>
        <v/>
      </c>
      <c r="T471" s="26" t="n">
        <f aca="false">IF(Returns!$O471=1,"",Returns!K471)</f>
        <v>-0.0207893209580732</v>
      </c>
    </row>
    <row r="472" customFormat="false" ht="15" hidden="false" customHeight="false" outlineLevel="0" collapsed="false">
      <c r="A472" s="25" t="n">
        <f aca="false">Returns!A472</f>
        <v>44405</v>
      </c>
      <c r="B472" s="26" t="n">
        <f aca="false">IF(Returns!$O472=1,"",Returns!B472)</f>
        <v>-0.00554021941678862</v>
      </c>
      <c r="C472" s="26" t="n">
        <f aca="false">IF(Returns!$O472=1,"",Returns!C472)</f>
        <v>-0.0161490683229815</v>
      </c>
      <c r="D472" s="26" t="n">
        <f aca="false">IF(Returns!$O472=1,"",Returns!D472)</f>
        <v>-0.00354051927616061</v>
      </c>
      <c r="E472" s="26" t="n">
        <f aca="false">IF(Returns!$O472=1,"",Returns!E472)</f>
        <v>-0.0100284241888465</v>
      </c>
      <c r="F472" s="26" t="n">
        <f aca="false">IF(Returns!$O472=1,"",Returns!F472)</f>
        <v>0.00134048257372643</v>
      </c>
      <c r="G472" s="26" t="n">
        <f aca="false">IF(Returns!$O472=1,"",Returns!G472)</f>
        <v>-0.00130657671195888</v>
      </c>
      <c r="H472" s="26" t="n">
        <f aca="false">IF(Returns!$O472=1,"",Returns!H472)</f>
        <v>0.0206261141804789</v>
      </c>
      <c r="I472" s="26" t="n">
        <f aca="false">IF(Returns!$O472=1,"",Returns!I472)</f>
        <v>0.00516962826592482</v>
      </c>
      <c r="J472" s="26" t="n">
        <f aca="false">IF(Returns!$O472=1,"",Returns!J472)</f>
        <v>0.0273253021544928</v>
      </c>
      <c r="K472" s="26" t="str">
        <f aca="false">IF(Returns!$O472=1,Returns!B472,"")</f>
        <v/>
      </c>
      <c r="L472" s="26" t="str">
        <f aca="false">IF(Returns!$O472=1,Returns!C472,"")</f>
        <v/>
      </c>
      <c r="M472" s="26" t="str">
        <f aca="false">IF(Returns!$O472=1,Returns!D472,"")</f>
        <v/>
      </c>
      <c r="N472" s="26" t="str">
        <f aca="false">IF(Returns!$O472=1,Returns!E472,"")</f>
        <v/>
      </c>
      <c r="O472" s="26" t="str">
        <f aca="false">IF(Returns!$O472=1,Returns!F472,"")</f>
        <v/>
      </c>
      <c r="P472" s="26" t="str">
        <f aca="false">IF(Returns!$O472=1,Returns!G472,"")</f>
        <v/>
      </c>
      <c r="Q472" s="26" t="str">
        <f aca="false">IF(Returns!$O472=1,Returns!H472,"")</f>
        <v/>
      </c>
      <c r="R472" s="26" t="str">
        <f aca="false">IF(Returns!$O472=1,Returns!I472,"")</f>
        <v/>
      </c>
      <c r="S472" s="26" t="str">
        <f aca="false">IF(Returns!$O472=1,Returns!J472,"")</f>
        <v/>
      </c>
      <c r="T472" s="26" t="n">
        <f aca="false">IF(Returns!$O472=1,"",Returns!K472)</f>
        <v>0.00198852436198743</v>
      </c>
    </row>
    <row r="473" customFormat="false" ht="15" hidden="false" customHeight="false" outlineLevel="0" collapsed="false">
      <c r="A473" s="25" t="n">
        <f aca="false">Returns!A473</f>
        <v>44406</v>
      </c>
      <c r="B473" s="26" t="n">
        <f aca="false">IF(Returns!$O473=1,"",Returns!B473)</f>
        <v>-0.00846360653368783</v>
      </c>
      <c r="C473" s="26" t="n">
        <f aca="false">IF(Returns!$O473=1,"",Returns!C473)</f>
        <v>-0.00189393939393934</v>
      </c>
      <c r="D473" s="26" t="n">
        <f aca="false">IF(Returns!$O473=1,"",Returns!D473)</f>
        <v>-0.0055270035530991</v>
      </c>
      <c r="E473" s="26" t="n">
        <f aca="false">IF(Returns!$O473=1,"",Returns!E473)</f>
        <v>0.0143634262830876</v>
      </c>
      <c r="F473" s="26" t="n">
        <f aca="false">IF(Returns!$O473=1,"",Returns!F473)</f>
        <v>-0.00937081659973216</v>
      </c>
      <c r="G473" s="26" t="n">
        <f aca="false">IF(Returns!$O473=1,"",Returns!G473)</f>
        <v>0.053641517662451</v>
      </c>
      <c r="H473" s="26" t="n">
        <f aca="false">IF(Returns!$O473=1,"",Returns!H473)</f>
        <v>0.00360880561561916</v>
      </c>
      <c r="I473" s="26" t="n">
        <f aca="false">IF(Returns!$O473=1,"",Returns!I473)</f>
        <v>-0.0102860813151372</v>
      </c>
      <c r="J473" s="26" t="n">
        <f aca="false">IF(Returns!$O473=1,"",Returns!J473)</f>
        <v>-0.0147485332971391</v>
      </c>
      <c r="K473" s="26" t="str">
        <f aca="false">IF(Returns!$O473=1,Returns!B473,"")</f>
        <v/>
      </c>
      <c r="L473" s="26" t="str">
        <f aca="false">IF(Returns!$O473=1,Returns!C473,"")</f>
        <v/>
      </c>
      <c r="M473" s="26" t="str">
        <f aca="false">IF(Returns!$O473=1,Returns!D473,"")</f>
        <v/>
      </c>
      <c r="N473" s="26" t="str">
        <f aca="false">IF(Returns!$O473=1,Returns!E473,"")</f>
        <v/>
      </c>
      <c r="O473" s="26" t="str">
        <f aca="false">IF(Returns!$O473=1,Returns!F473,"")</f>
        <v/>
      </c>
      <c r="P473" s="26" t="str">
        <f aca="false">IF(Returns!$O473=1,Returns!G473,"")</f>
        <v/>
      </c>
      <c r="Q473" s="26" t="str">
        <f aca="false">IF(Returns!$O473=1,Returns!H473,"")</f>
        <v/>
      </c>
      <c r="R473" s="26" t="str">
        <f aca="false">IF(Returns!$O473=1,Returns!I473,"")</f>
        <v/>
      </c>
      <c r="S473" s="26" t="str">
        <f aca="false">IF(Returns!$O473=1,Returns!J473,"")</f>
        <v/>
      </c>
      <c r="T473" s="26" t="n">
        <f aca="false">IF(Returns!$O473=1,"",Returns!K473)</f>
        <v>0.002369307652047</v>
      </c>
    </row>
    <row r="474" customFormat="false" ht="15" hidden="false" customHeight="false" outlineLevel="0" collapsed="false">
      <c r="A474" s="25" t="n">
        <f aca="false">Returns!A474</f>
        <v>44407</v>
      </c>
      <c r="B474" s="26" t="n">
        <f aca="false">IF(Returns!$O474=1,"",Returns!B474)</f>
        <v>-0.0219341538000815</v>
      </c>
      <c r="C474" s="26" t="n">
        <f aca="false">IF(Returns!$O474=1,"",Returns!C474)</f>
        <v>-0.0354206198608475</v>
      </c>
      <c r="D474" s="26" t="n">
        <f aca="false">IF(Returns!$O474=1,"",Returns!D474)</f>
        <v>-0.0230250090105196</v>
      </c>
      <c r="E474" s="26" t="n">
        <f aca="false">IF(Returns!$O474=1,"",Returns!E474)</f>
        <v>-0.0736323490017796</v>
      </c>
      <c r="F474" s="26" t="n">
        <f aca="false">IF(Returns!$O474=1,"",Returns!F474)</f>
        <v>-0.0418918918918919</v>
      </c>
      <c r="G474" s="26" t="n">
        <f aca="false">IF(Returns!$O474=1,"",Returns!G474)</f>
        <v>-0.0335264900662251</v>
      </c>
      <c r="H474" s="26" t="n">
        <f aca="false">IF(Returns!$O474=1,"",Returns!H474)</f>
        <v>-0.0323624247523346</v>
      </c>
      <c r="I474" s="26" t="n">
        <f aca="false">IF(Returns!$O474=1,"",Returns!I474)</f>
        <v>-0.0227346858481752</v>
      </c>
      <c r="J474" s="26" t="n">
        <f aca="false">IF(Returns!$O474=1,"",Returns!J474)</f>
        <v>-0.0589253093363329</v>
      </c>
      <c r="K474" s="26" t="str">
        <f aca="false">IF(Returns!$O474=1,Returns!B474,"")</f>
        <v/>
      </c>
      <c r="L474" s="26" t="str">
        <f aca="false">IF(Returns!$O474=1,Returns!C474,"")</f>
        <v/>
      </c>
      <c r="M474" s="26" t="str">
        <f aca="false">IF(Returns!$O474=1,Returns!D474,"")</f>
        <v/>
      </c>
      <c r="N474" s="26" t="str">
        <f aca="false">IF(Returns!$O474=1,Returns!E474,"")</f>
        <v/>
      </c>
      <c r="O474" s="26" t="str">
        <f aca="false">IF(Returns!$O474=1,Returns!F474,"")</f>
        <v/>
      </c>
      <c r="P474" s="26" t="str">
        <f aca="false">IF(Returns!$O474=1,Returns!G474,"")</f>
        <v/>
      </c>
      <c r="Q474" s="26" t="str">
        <f aca="false">IF(Returns!$O474=1,Returns!H474,"")</f>
        <v/>
      </c>
      <c r="R474" s="26" t="str">
        <f aca="false">IF(Returns!$O474=1,Returns!I474,"")</f>
        <v/>
      </c>
      <c r="S474" s="26" t="str">
        <f aca="false">IF(Returns!$O474=1,Returns!J474,"")</f>
        <v/>
      </c>
      <c r="T474" s="26" t="n">
        <f aca="false">IF(Returns!$O474=1,"",Returns!K474)</f>
        <v>-0.038161437063132</v>
      </c>
    </row>
    <row r="475" customFormat="false" ht="15" hidden="false" customHeight="false" outlineLevel="0" collapsed="false">
      <c r="A475" s="25" t="n">
        <f aca="false">Returns!A475</f>
        <v>44410</v>
      </c>
      <c r="B475" s="26" t="n">
        <f aca="false">IF(Returns!$O475=1,"",Returns!B475)</f>
        <v>0.0172338163024905</v>
      </c>
      <c r="C475" s="26" t="n">
        <f aca="false">IF(Returns!$O475=1,"",Returns!C475)</f>
        <v>0.0242622950819671</v>
      </c>
      <c r="D475" s="26" t="n">
        <f aca="false">IF(Returns!$O475=1,"",Returns!D475)</f>
        <v>-0.00853315690641388</v>
      </c>
      <c r="E475" s="26" t="n">
        <f aca="false">IF(Returns!$O475=1,"",Returns!E475)</f>
        <v>-0.0157683663469552</v>
      </c>
      <c r="F475" s="26" t="n">
        <f aca="false">IF(Returns!$O475=1,"",Returns!F475)</f>
        <v>0.0253878702397743</v>
      </c>
      <c r="G475" s="26" t="n">
        <f aca="false">IF(Returns!$O475=1,"",Returns!G475)</f>
        <v>0.0286937901498929</v>
      </c>
      <c r="H475" s="26" t="n">
        <f aca="false">IF(Returns!$O475=1,"",Returns!H475)</f>
        <v>-0.018580453363062</v>
      </c>
      <c r="I475" s="26" t="n">
        <f aca="false">IF(Returns!$O475=1,"",Returns!I475)</f>
        <v>0.0199402126952475</v>
      </c>
      <c r="J475" s="26" t="n">
        <f aca="false">IF(Returns!$O475=1,"",Returns!J475)</f>
        <v>0.00156305624194464</v>
      </c>
      <c r="K475" s="26" t="str">
        <f aca="false">IF(Returns!$O475=1,Returns!B475,"")</f>
        <v/>
      </c>
      <c r="L475" s="26" t="str">
        <f aca="false">IF(Returns!$O475=1,Returns!C475,"")</f>
        <v/>
      </c>
      <c r="M475" s="26" t="str">
        <f aca="false">IF(Returns!$O475=1,Returns!D475,"")</f>
        <v/>
      </c>
      <c r="N475" s="26" t="str">
        <f aca="false">IF(Returns!$O475=1,Returns!E475,"")</f>
        <v/>
      </c>
      <c r="O475" s="26" t="str">
        <f aca="false">IF(Returns!$O475=1,Returns!F475,"")</f>
        <v/>
      </c>
      <c r="P475" s="26" t="str">
        <f aca="false">IF(Returns!$O475=1,Returns!G475,"")</f>
        <v/>
      </c>
      <c r="Q475" s="26" t="str">
        <f aca="false">IF(Returns!$O475=1,Returns!H475,"")</f>
        <v/>
      </c>
      <c r="R475" s="26" t="str">
        <f aca="false">IF(Returns!$O475=1,Returns!I475,"")</f>
        <v/>
      </c>
      <c r="S475" s="26" t="str">
        <f aca="false">IF(Returns!$O475=1,Returns!J475,"")</f>
        <v/>
      </c>
      <c r="T475" s="26" t="n">
        <f aca="false">IF(Returns!$O475=1,"",Returns!K475)</f>
        <v>0.00824434045498732</v>
      </c>
    </row>
    <row r="476" customFormat="false" ht="15" hidden="false" customHeight="false" outlineLevel="0" collapsed="false">
      <c r="A476" s="25" t="n">
        <f aca="false">Returns!A476</f>
        <v>44411</v>
      </c>
      <c r="B476" s="26" t="n">
        <f aca="false">IF(Returns!$O476=1,"",Returns!B476)</f>
        <v>-0.00054303865023797</v>
      </c>
      <c r="C476" s="26" t="n">
        <f aca="false">IF(Returns!$O476=1,"",Returns!C476)</f>
        <v>0.0249679897567223</v>
      </c>
      <c r="D476" s="26" t="n">
        <f aca="false">IF(Returns!$O476=1,"",Returns!D476)</f>
        <v>0.00368852459016389</v>
      </c>
      <c r="E476" s="26" t="n">
        <f aca="false">IF(Returns!$O476=1,"",Returns!E476)</f>
        <v>-0.000980823965369471</v>
      </c>
      <c r="F476" s="26" t="n">
        <f aca="false">IF(Returns!$O476=1,"",Returns!F476)</f>
        <v>-0.0330123796423658</v>
      </c>
      <c r="G476" s="26" t="n">
        <f aca="false">IF(Returns!$O476=1,"",Returns!G476)</f>
        <v>-0.00915907577019148</v>
      </c>
      <c r="H476" s="26" t="n">
        <f aca="false">IF(Returns!$O476=1,"",Returns!H476)</f>
        <v>0.0166603559257856</v>
      </c>
      <c r="I476" s="26" t="n">
        <f aca="false">IF(Returns!$O476=1,"",Returns!I476)</f>
        <v>-0.0289997383838468</v>
      </c>
      <c r="J476" s="26" t="n">
        <f aca="false">IF(Returns!$O476=1,"",Returns!J476)</f>
        <v>0.0340585605434682</v>
      </c>
      <c r="K476" s="26" t="str">
        <f aca="false">IF(Returns!$O476=1,Returns!B476,"")</f>
        <v/>
      </c>
      <c r="L476" s="26" t="str">
        <f aca="false">IF(Returns!$O476=1,Returns!C476,"")</f>
        <v/>
      </c>
      <c r="M476" s="26" t="str">
        <f aca="false">IF(Returns!$O476=1,Returns!D476,"")</f>
        <v/>
      </c>
      <c r="N476" s="26" t="str">
        <f aca="false">IF(Returns!$O476=1,Returns!E476,"")</f>
        <v/>
      </c>
      <c r="O476" s="26" t="str">
        <f aca="false">IF(Returns!$O476=1,Returns!F476,"")</f>
        <v/>
      </c>
      <c r="P476" s="26" t="str">
        <f aca="false">IF(Returns!$O476=1,Returns!G476,"")</f>
        <v/>
      </c>
      <c r="Q476" s="26" t="str">
        <f aca="false">IF(Returns!$O476=1,Returns!H476,"")</f>
        <v/>
      </c>
      <c r="R476" s="26" t="str">
        <f aca="false">IF(Returns!$O476=1,Returns!I476,"")</f>
        <v/>
      </c>
      <c r="S476" s="26" t="str">
        <f aca="false">IF(Returns!$O476=1,Returns!J476,"")</f>
        <v/>
      </c>
      <c r="T476" s="26" t="n">
        <f aca="false">IF(Returns!$O476=1,"",Returns!K476)</f>
        <v>0.000742263822680944</v>
      </c>
    </row>
    <row r="477" customFormat="false" ht="15" hidden="false" customHeight="false" outlineLevel="0" collapsed="false">
      <c r="A477" s="25" t="n">
        <f aca="false">Returns!A477</f>
        <v>44412</v>
      </c>
      <c r="B477" s="26" t="n">
        <f aca="false">IF(Returns!$O477=1,"",Returns!B477)</f>
        <v>-0.00260782356414024</v>
      </c>
      <c r="C477" s="26" t="n">
        <f aca="false">IF(Returns!$O477=1,"",Returns!C477)</f>
        <v>-0.00437226733291707</v>
      </c>
      <c r="D477" s="26" t="n">
        <f aca="false">IF(Returns!$O477=1,"",Returns!D477)</f>
        <v>0.0208248264597797</v>
      </c>
      <c r="E477" s="26" t="n">
        <f aca="false">IF(Returns!$O477=1,"",Returns!E477)</f>
        <v>-0.0319096869266947</v>
      </c>
      <c r="F477" s="26" t="n">
        <f aca="false">IF(Returns!$O477=1,"",Returns!F477)</f>
        <v>-0.0270270270270271</v>
      </c>
      <c r="G477" s="26" t="n">
        <f aca="false">IF(Returns!$O477=1,"",Returns!G477)</f>
        <v>-0.0121848324447408</v>
      </c>
      <c r="H477" s="26" t="n">
        <f aca="false">IF(Returns!$O477=1,"",Returns!H477)</f>
        <v>-0.0212290130353818</v>
      </c>
      <c r="I477" s="26" t="n">
        <f aca="false">IF(Returns!$O477=1,"",Returns!I477)</f>
        <v>-0.0258388599274786</v>
      </c>
      <c r="J477" s="26" t="n">
        <f aca="false">IF(Returns!$O477=1,"",Returns!J477)</f>
        <v>-0.00106535867423085</v>
      </c>
      <c r="K477" s="26" t="str">
        <f aca="false">IF(Returns!$O477=1,Returns!B477,"")</f>
        <v/>
      </c>
      <c r="L477" s="26" t="str">
        <f aca="false">IF(Returns!$O477=1,Returns!C477,"")</f>
        <v/>
      </c>
      <c r="M477" s="26" t="str">
        <f aca="false">IF(Returns!$O477=1,Returns!D477,"")</f>
        <v/>
      </c>
      <c r="N477" s="26" t="str">
        <f aca="false">IF(Returns!$O477=1,Returns!E477,"")</f>
        <v/>
      </c>
      <c r="O477" s="26" t="str">
        <f aca="false">IF(Returns!$O477=1,Returns!F477,"")</f>
        <v/>
      </c>
      <c r="P477" s="26" t="str">
        <f aca="false">IF(Returns!$O477=1,Returns!G477,"")</f>
        <v/>
      </c>
      <c r="Q477" s="26" t="str">
        <f aca="false">IF(Returns!$O477=1,Returns!H477,"")</f>
        <v/>
      </c>
      <c r="R477" s="26" t="str">
        <f aca="false">IF(Returns!$O477=1,Returns!I477,"")</f>
        <v/>
      </c>
      <c r="S477" s="26" t="str">
        <f aca="false">IF(Returns!$O477=1,Returns!J477,"")</f>
        <v/>
      </c>
      <c r="T477" s="26" t="n">
        <f aca="false">IF(Returns!$O477=1,"",Returns!K477)</f>
        <v>-0.0117122269414257</v>
      </c>
    </row>
    <row r="478" customFormat="false" ht="15" hidden="false" customHeight="false" outlineLevel="0" collapsed="false">
      <c r="A478" s="25" t="n">
        <f aca="false">Returns!A478</f>
        <v>44413</v>
      </c>
      <c r="B478" s="26" t="n">
        <f aca="false">IF(Returns!$O478=1,"",Returns!B478)</f>
        <v>0.00228781999904326</v>
      </c>
      <c r="C478" s="26" t="n">
        <f aca="false">IF(Returns!$O478=1,"",Returns!C478)</f>
        <v>-0.0144291091593475</v>
      </c>
      <c r="D478" s="26" t="n">
        <f aca="false">IF(Returns!$O478=1,"",Returns!D478)</f>
        <v>-0.01199996</v>
      </c>
      <c r="E478" s="26" t="n">
        <f aca="false">IF(Returns!$O478=1,"",Returns!E478)</f>
        <v>-0.011156186612576</v>
      </c>
      <c r="F478" s="26" t="n">
        <f aca="false">IF(Returns!$O478=1,"",Returns!F478)</f>
        <v>-0.0175438596491229</v>
      </c>
      <c r="G478" s="26" t="n">
        <f aca="false">IF(Returns!$O478=1,"",Returns!G478)</f>
        <v>-0.0119098256061251</v>
      </c>
      <c r="H478" s="26" t="n">
        <f aca="false">IF(Returns!$O478=1,"",Returns!H478)</f>
        <v>0.0787670822386957</v>
      </c>
      <c r="I478" s="26" t="n">
        <f aca="false">IF(Returns!$O478=1,"",Returns!I478)</f>
        <v>-0.00172239057105095</v>
      </c>
      <c r="J478" s="26" t="n">
        <f aca="false">IF(Returns!$O478=1,"",Returns!J478)</f>
        <v>-0.0305722990732039</v>
      </c>
      <c r="K478" s="26" t="str">
        <f aca="false">IF(Returns!$O478=1,Returns!B478,"")</f>
        <v/>
      </c>
      <c r="L478" s="26" t="str">
        <f aca="false">IF(Returns!$O478=1,Returns!C478,"")</f>
        <v/>
      </c>
      <c r="M478" s="26" t="str">
        <f aca="false">IF(Returns!$O478=1,Returns!D478,"")</f>
        <v/>
      </c>
      <c r="N478" s="26" t="str">
        <f aca="false">IF(Returns!$O478=1,Returns!E478,"")</f>
        <v/>
      </c>
      <c r="O478" s="26" t="str">
        <f aca="false">IF(Returns!$O478=1,Returns!F478,"")</f>
        <v/>
      </c>
      <c r="P478" s="26" t="str">
        <f aca="false">IF(Returns!$O478=1,Returns!G478,"")</f>
        <v/>
      </c>
      <c r="Q478" s="26" t="str">
        <f aca="false">IF(Returns!$O478=1,Returns!H478,"")</f>
        <v/>
      </c>
      <c r="R478" s="26" t="str">
        <f aca="false">IF(Returns!$O478=1,Returns!I478,"")</f>
        <v/>
      </c>
      <c r="S478" s="26" t="str">
        <f aca="false">IF(Returns!$O478=1,Returns!J478,"")</f>
        <v/>
      </c>
      <c r="T478" s="26" t="n">
        <f aca="false">IF(Returns!$O478=1,"",Returns!K478)</f>
        <v>-0.00203096982596527</v>
      </c>
    </row>
    <row r="479" customFormat="false" ht="15" hidden="false" customHeight="false" outlineLevel="0" collapsed="false">
      <c r="A479" s="25" t="n">
        <f aca="false">Returns!A479</f>
        <v>44414</v>
      </c>
      <c r="B479" s="26" t="n">
        <f aca="false">IF(Returns!$O479=1,"",Returns!B479)</f>
        <v>0.0173912826086957</v>
      </c>
      <c r="C479" s="26" t="n">
        <f aca="false">IF(Returns!$O479=1,"",Returns!C479)</f>
        <v>0.0120942075111394</v>
      </c>
      <c r="D479" s="26" t="n">
        <f aca="false">IF(Returns!$O479=1,"",Returns!D479)</f>
        <v>-0.0105263153633072</v>
      </c>
      <c r="E479" s="26" t="n">
        <f aca="false">IF(Returns!$O479=1,"",Returns!E479)</f>
        <v>-0.00427350427350426</v>
      </c>
      <c r="F479" s="26" t="n">
        <f aca="false">IF(Returns!$O479=1,"",Returns!F479)</f>
        <v>0</v>
      </c>
      <c r="G479" s="26" t="n">
        <f aca="false">IF(Returns!$O479=1,"",Returns!G479)</f>
        <v>-0.00129139044339222</v>
      </c>
      <c r="H479" s="26" t="n">
        <f aca="false">IF(Returns!$O479=1,"",Returns!H479)</f>
        <v>0.00141089947089945</v>
      </c>
      <c r="I479" s="26" t="n">
        <f aca="false">IF(Returns!$O479=1,"",Returns!I479)</f>
        <v>0.00586611456176667</v>
      </c>
      <c r="J479" s="26" t="n">
        <f aca="false">IF(Returns!$O479=1,"",Returns!J479)</f>
        <v>0.00568385578137409</v>
      </c>
      <c r="K479" s="26" t="str">
        <f aca="false">IF(Returns!$O479=1,Returns!B479,"")</f>
        <v/>
      </c>
      <c r="L479" s="26" t="str">
        <f aca="false">IF(Returns!$O479=1,Returns!C479,"")</f>
        <v/>
      </c>
      <c r="M479" s="26" t="str">
        <f aca="false">IF(Returns!$O479=1,Returns!D479,"")</f>
        <v/>
      </c>
      <c r="N479" s="26" t="str">
        <f aca="false">IF(Returns!$O479=1,Returns!E479,"")</f>
        <v/>
      </c>
      <c r="O479" s="26" t="str">
        <f aca="false">IF(Returns!$O479=1,Returns!F479,"")</f>
        <v/>
      </c>
      <c r="P479" s="26" t="str">
        <f aca="false">IF(Returns!$O479=1,Returns!G479,"")</f>
        <v/>
      </c>
      <c r="Q479" s="26" t="str">
        <f aca="false">IF(Returns!$O479=1,Returns!H479,"")</f>
        <v/>
      </c>
      <c r="R479" s="26" t="str">
        <f aca="false">IF(Returns!$O479=1,Returns!I479,"")</f>
        <v/>
      </c>
      <c r="S479" s="26" t="str">
        <f aca="false">IF(Returns!$O479=1,Returns!J479,"")</f>
        <v/>
      </c>
      <c r="T479" s="26" t="n">
        <f aca="false">IF(Returns!$O479=1,"",Returns!K479)</f>
        <v>0.0029283499837413</v>
      </c>
    </row>
    <row r="480" customFormat="false" ht="15" hidden="false" customHeight="false" outlineLevel="0" collapsed="false">
      <c r="A480" s="25" t="n">
        <f aca="false">Returns!A480</f>
        <v>44417</v>
      </c>
      <c r="B480" s="26" t="n">
        <f aca="false">IF(Returns!$O480=1,"",Returns!B480)</f>
        <v>-0.00747858990338868</v>
      </c>
      <c r="C480" s="26" t="n">
        <f aca="false">IF(Returns!$O480=1,"",Returns!C480)</f>
        <v>-0.00817610062893082</v>
      </c>
      <c r="D480" s="26" t="n">
        <f aca="false">IF(Returns!$O480=1,"",Returns!D480)</f>
        <v>0.0274140741647271</v>
      </c>
      <c r="E480" s="26" t="n">
        <f aca="false">IF(Returns!$O480=1,"",Returns!E480)</f>
        <v>0.00600854935622319</v>
      </c>
      <c r="F480" s="26" t="n">
        <f aca="false">IF(Returns!$O480=1,"",Returns!F480)</f>
        <v>-0.0178571428571429</v>
      </c>
      <c r="G480" s="26" t="n">
        <f aca="false">IF(Returns!$O480=1,"",Returns!G480)</f>
        <v>0.0155171545035711</v>
      </c>
      <c r="H480" s="26" t="n">
        <f aca="false">IF(Returns!$O480=1,"",Returns!H480)</f>
        <v>-0.00704466386208746</v>
      </c>
      <c r="I480" s="26" t="n">
        <f aca="false">IF(Returns!$O480=1,"",Returns!I480)</f>
        <v>-0.00274442538593478</v>
      </c>
      <c r="J480" s="26" t="n">
        <f aca="false">IF(Returns!$O480=1,"",Returns!J480)</f>
        <v>-0.00628983608814493</v>
      </c>
      <c r="K480" s="26" t="str">
        <f aca="false">IF(Returns!$O480=1,Returns!B480,"")</f>
        <v/>
      </c>
      <c r="L480" s="26" t="str">
        <f aca="false">IF(Returns!$O480=1,Returns!C480,"")</f>
        <v/>
      </c>
      <c r="M480" s="26" t="str">
        <f aca="false">IF(Returns!$O480=1,Returns!D480,"")</f>
        <v/>
      </c>
      <c r="N480" s="26" t="str">
        <f aca="false">IF(Returns!$O480=1,Returns!E480,"")</f>
        <v/>
      </c>
      <c r="O480" s="26" t="str">
        <f aca="false">IF(Returns!$O480=1,Returns!F480,"")</f>
        <v/>
      </c>
      <c r="P480" s="26" t="str">
        <f aca="false">IF(Returns!$O480=1,Returns!G480,"")</f>
        <v/>
      </c>
      <c r="Q480" s="26" t="str">
        <f aca="false">IF(Returns!$O480=1,Returns!H480,"")</f>
        <v/>
      </c>
      <c r="R480" s="26" t="str">
        <f aca="false">IF(Returns!$O480=1,Returns!I480,"")</f>
        <v/>
      </c>
      <c r="S480" s="26" t="str">
        <f aca="false">IF(Returns!$O480=1,Returns!J480,"")</f>
        <v/>
      </c>
      <c r="T480" s="26" t="n">
        <f aca="false">IF(Returns!$O480=1,"",Returns!K480)</f>
        <v>-7.23311890120275E-005</v>
      </c>
    </row>
    <row r="481" customFormat="false" ht="15" hidden="false" customHeight="false" outlineLevel="0" collapsed="false">
      <c r="A481" s="25" t="n">
        <f aca="false">Returns!A481</f>
        <v>44418</v>
      </c>
      <c r="B481" s="26" t="n">
        <f aca="false">IF(Returns!$O481=1,"",Returns!B481)</f>
        <v>-0.0086114529900656</v>
      </c>
      <c r="C481" s="26" t="n">
        <f aca="false">IF(Returns!$O481=1,"",Returns!C481)</f>
        <v>-0.0164870006341153</v>
      </c>
      <c r="D481" s="26" t="n">
        <f aca="false">IF(Returns!$O481=1,"",Returns!D481)</f>
        <v>-0.00119478290741615</v>
      </c>
      <c r="E481" s="26" t="n">
        <f aca="false">IF(Returns!$O481=1,"",Returns!E481)</f>
        <v>-0.0199658368589023</v>
      </c>
      <c r="F481" s="26" t="n">
        <f aca="false">IF(Returns!$O481=1,"",Returns!F481)</f>
        <v>-0.0272727272727272</v>
      </c>
      <c r="G481" s="26" t="n">
        <f aca="false">IF(Returns!$O481=1,"",Returns!G481)</f>
        <v>-0.019949024615833</v>
      </c>
      <c r="H481" s="26" t="n">
        <f aca="false">IF(Returns!$O481=1,"",Returns!H481)</f>
        <v>0.003192621383731</v>
      </c>
      <c r="I481" s="26" t="n">
        <f aca="false">IF(Returns!$O481=1,"",Returns!I481)</f>
        <v>-0.0196078431372549</v>
      </c>
      <c r="J481" s="26" t="n">
        <f aca="false">IF(Returns!$O481=1,"",Returns!J481)</f>
        <v>0.00963210696941363</v>
      </c>
      <c r="K481" s="26" t="str">
        <f aca="false">IF(Returns!$O481=1,Returns!B481,"")</f>
        <v/>
      </c>
      <c r="L481" s="26" t="str">
        <f aca="false">IF(Returns!$O481=1,Returns!C481,"")</f>
        <v/>
      </c>
      <c r="M481" s="26" t="str">
        <f aca="false">IF(Returns!$O481=1,Returns!D481,"")</f>
        <v/>
      </c>
      <c r="N481" s="26" t="str">
        <f aca="false">IF(Returns!$O481=1,Returns!E481,"")</f>
        <v/>
      </c>
      <c r="O481" s="26" t="str">
        <f aca="false">IF(Returns!$O481=1,Returns!F481,"")</f>
        <v/>
      </c>
      <c r="P481" s="26" t="str">
        <f aca="false">IF(Returns!$O481=1,Returns!G481,"")</f>
        <v/>
      </c>
      <c r="Q481" s="26" t="str">
        <f aca="false">IF(Returns!$O481=1,Returns!H481,"")</f>
        <v/>
      </c>
      <c r="R481" s="26" t="str">
        <f aca="false">IF(Returns!$O481=1,Returns!I481,"")</f>
        <v/>
      </c>
      <c r="S481" s="26" t="str">
        <f aca="false">IF(Returns!$O481=1,Returns!J481,"")</f>
        <v/>
      </c>
      <c r="T481" s="26" t="n">
        <f aca="false">IF(Returns!$O481=1,"",Returns!K481)</f>
        <v>-0.0111404377847967</v>
      </c>
    </row>
    <row r="482" customFormat="false" ht="15" hidden="false" customHeight="false" outlineLevel="0" collapsed="false">
      <c r="A482" s="25" t="n">
        <f aca="false">Returns!A482</f>
        <v>44419</v>
      </c>
      <c r="B482" s="26" t="n">
        <f aca="false">IF(Returns!$O482=1,"",Returns!B482)</f>
        <v>-0.00130287733556744</v>
      </c>
      <c r="C482" s="26" t="n">
        <f aca="false">IF(Returns!$O482=1,"",Returns!C482)</f>
        <v>-0.0296582849774338</v>
      </c>
      <c r="D482" s="26" t="n">
        <f aca="false">IF(Returns!$O482=1,"",Returns!D482)</f>
        <v>-0.00598086124401909</v>
      </c>
      <c r="E482" s="26" t="n">
        <f aca="false">IF(Returns!$O482=1,"",Returns!E482)</f>
        <v>-0.000696517499564675</v>
      </c>
      <c r="F482" s="26" t="n">
        <f aca="false">IF(Returns!$O482=1,"",Returns!F482)</f>
        <v>0.00467289719626174</v>
      </c>
      <c r="G482" s="26" t="n">
        <f aca="false">IF(Returns!$O482=1,"",Returns!G482)</f>
        <v>-0.00346470333477689</v>
      </c>
      <c r="H482" s="26" t="n">
        <f aca="false">IF(Returns!$O482=1,"",Returns!H482)</f>
        <v>0.013790628932439</v>
      </c>
      <c r="I482" s="26" t="n">
        <f aca="false">IF(Returns!$O482=1,"",Returns!I482)</f>
        <v>-0.0094736842105263</v>
      </c>
      <c r="J482" s="26" t="n">
        <f aca="false">IF(Returns!$O482=1,"",Returns!J482)</f>
        <v>-0.00717791217841013</v>
      </c>
      <c r="K482" s="26" t="str">
        <f aca="false">IF(Returns!$O482=1,Returns!B482,"")</f>
        <v/>
      </c>
      <c r="L482" s="26" t="str">
        <f aca="false">IF(Returns!$O482=1,Returns!C482,"")</f>
        <v/>
      </c>
      <c r="M482" s="26" t="str">
        <f aca="false">IF(Returns!$O482=1,Returns!D482,"")</f>
        <v/>
      </c>
      <c r="N482" s="26" t="str">
        <f aca="false">IF(Returns!$O482=1,Returns!E482,"")</f>
        <v/>
      </c>
      <c r="O482" s="26" t="str">
        <f aca="false">IF(Returns!$O482=1,Returns!F482,"")</f>
        <v/>
      </c>
      <c r="P482" s="26" t="str">
        <f aca="false">IF(Returns!$O482=1,Returns!G482,"")</f>
        <v/>
      </c>
      <c r="Q482" s="26" t="str">
        <f aca="false">IF(Returns!$O482=1,Returns!H482,"")</f>
        <v/>
      </c>
      <c r="R482" s="26" t="str">
        <f aca="false">IF(Returns!$O482=1,Returns!I482,"")</f>
        <v/>
      </c>
      <c r="S482" s="26" t="str">
        <f aca="false">IF(Returns!$O482=1,Returns!J482,"")</f>
        <v/>
      </c>
      <c r="T482" s="26" t="n">
        <f aca="false">IF(Returns!$O482=1,"",Returns!K482)</f>
        <v>-0.00436570162795529</v>
      </c>
    </row>
    <row r="483" customFormat="false" ht="15" hidden="false" customHeight="false" outlineLevel="0" collapsed="false">
      <c r="A483" s="25" t="n">
        <f aca="false">Returns!A483</f>
        <v>44420</v>
      </c>
      <c r="B483" s="26" t="n">
        <f aca="false">IF(Returns!$O483=1,"",Returns!B483)</f>
        <v>0.00869749917272777</v>
      </c>
      <c r="C483" s="26" t="n">
        <f aca="false">IF(Returns!$O483=1,"",Returns!C483)</f>
        <v>-0.0770764119601329</v>
      </c>
      <c r="D483" s="26" t="n">
        <f aca="false">IF(Returns!$O483=1,"",Returns!D483)</f>
        <v>-0.0116326113116727</v>
      </c>
      <c r="E483" s="26" t="n">
        <f aca="false">IF(Returns!$O483=1,"",Returns!E483)</f>
        <v>0.0118487717694507</v>
      </c>
      <c r="F483" s="26" t="n">
        <f aca="false">IF(Returns!$O483=1,"",Returns!F483)</f>
        <v>0.0186046511627906</v>
      </c>
      <c r="G483" s="26" t="n">
        <f aca="false">IF(Returns!$O483=1,"",Returns!G483)</f>
        <v>-0.0195567579313343</v>
      </c>
      <c r="H483" s="26" t="n">
        <f aca="false">IF(Returns!$O483=1,"",Returns!H483)</f>
        <v>0.0149982560167423</v>
      </c>
      <c r="I483" s="26" t="n">
        <f aca="false">IF(Returns!$O483=1,"",Returns!I483)</f>
        <v>0.0279844137442438</v>
      </c>
      <c r="J483" s="26" t="n">
        <f aca="false">IF(Returns!$O483=1,"",Returns!J483)</f>
        <v>-0.000640615007978851</v>
      </c>
      <c r="K483" s="26" t="str">
        <f aca="false">IF(Returns!$O483=1,Returns!B483,"")</f>
        <v/>
      </c>
      <c r="L483" s="26" t="str">
        <f aca="false">IF(Returns!$O483=1,Returns!C483,"")</f>
        <v/>
      </c>
      <c r="M483" s="26" t="str">
        <f aca="false">IF(Returns!$O483=1,Returns!D483,"")</f>
        <v/>
      </c>
      <c r="N483" s="26" t="str">
        <f aca="false">IF(Returns!$O483=1,Returns!E483,"")</f>
        <v/>
      </c>
      <c r="O483" s="26" t="str">
        <f aca="false">IF(Returns!$O483=1,Returns!F483,"")</f>
        <v/>
      </c>
      <c r="P483" s="26" t="str">
        <f aca="false">IF(Returns!$O483=1,Returns!G483,"")</f>
        <v/>
      </c>
      <c r="Q483" s="26" t="str">
        <f aca="false">IF(Returns!$O483=1,Returns!H483,"")</f>
        <v/>
      </c>
      <c r="R483" s="26" t="str">
        <f aca="false">IF(Returns!$O483=1,Returns!I483,"")</f>
        <v/>
      </c>
      <c r="S483" s="26" t="str">
        <f aca="false">IF(Returns!$O483=1,Returns!J483,"")</f>
        <v/>
      </c>
      <c r="T483" s="26" t="n">
        <f aca="false">IF(Returns!$O483=1,"",Returns!K483)</f>
        <v>-0.00297475603835151</v>
      </c>
    </row>
    <row r="484" customFormat="false" ht="15" hidden="false" customHeight="false" outlineLevel="0" collapsed="false">
      <c r="A484" s="25" t="n">
        <f aca="false">Returns!A484</f>
        <v>44421</v>
      </c>
      <c r="B484" s="26" t="n">
        <f aca="false">IF(Returns!$O484=1,"",Returns!B484)</f>
        <v>-0.0144427356590077</v>
      </c>
      <c r="C484" s="26" t="n">
        <f aca="false">IF(Returns!$O484=1,"",Returns!C484)</f>
        <v>0.0539956803455723</v>
      </c>
      <c r="D484" s="26" t="n">
        <f aca="false">IF(Returns!$O484=1,"",Returns!D484)</f>
        <v>0.0231331178219609</v>
      </c>
      <c r="E484" s="26" t="n">
        <f aca="false">IF(Returns!$O484=1,"",Returns!E484)</f>
        <v>-0.0106767521956259</v>
      </c>
      <c r="F484" s="26" t="n">
        <f aca="false">IF(Returns!$O484=1,"",Returns!F484)</f>
        <v>-0.0913242009132421</v>
      </c>
      <c r="G484" s="26" t="n">
        <f aca="false">IF(Returns!$O484=1,"",Returns!G484)</f>
        <v>-0.00354605512172235</v>
      </c>
      <c r="H484" s="26" t="n">
        <f aca="false">IF(Returns!$O484=1,"",Returns!H484)</f>
        <v>0.00859106529209619</v>
      </c>
      <c r="I484" s="26" t="n">
        <f aca="false">IF(Returns!$O484=1,"",Returns!I484)</f>
        <v>0.0227429359062716</v>
      </c>
      <c r="J484" s="26" t="n">
        <f aca="false">IF(Returns!$O484=1,"",Returns!J484)</f>
        <v>-0.0082417035231237</v>
      </c>
      <c r="K484" s="26" t="str">
        <f aca="false">IF(Returns!$O484=1,Returns!B484,"")</f>
        <v/>
      </c>
      <c r="L484" s="26" t="str">
        <f aca="false">IF(Returns!$O484=1,Returns!C484,"")</f>
        <v/>
      </c>
      <c r="M484" s="26" t="str">
        <f aca="false">IF(Returns!$O484=1,Returns!D484,"")</f>
        <v/>
      </c>
      <c r="N484" s="26" t="str">
        <f aca="false">IF(Returns!$O484=1,Returns!E484,"")</f>
        <v/>
      </c>
      <c r="O484" s="26" t="str">
        <f aca="false">IF(Returns!$O484=1,Returns!F484,"")</f>
        <v/>
      </c>
      <c r="P484" s="26" t="str">
        <f aca="false">IF(Returns!$O484=1,Returns!G484,"")</f>
        <v/>
      </c>
      <c r="Q484" s="26" t="str">
        <f aca="false">IF(Returns!$O484=1,Returns!H484,"")</f>
        <v/>
      </c>
      <c r="R484" s="26" t="str">
        <f aca="false">IF(Returns!$O484=1,Returns!I484,"")</f>
        <v/>
      </c>
      <c r="S484" s="26" t="str">
        <f aca="false">IF(Returns!$O484=1,Returns!J484,"")</f>
        <v/>
      </c>
      <c r="T484" s="26" t="n">
        <f aca="false">IF(Returns!$O484=1,"",Returns!K484)</f>
        <v>-0.00219651644964674</v>
      </c>
    </row>
    <row r="485" customFormat="false" ht="15" hidden="false" customHeight="false" outlineLevel="0" collapsed="false">
      <c r="A485" s="25" t="n">
        <f aca="false">Returns!A485</f>
        <v>44424</v>
      </c>
      <c r="B485" s="26" t="n">
        <f aca="false">IF(Returns!$O485=1,"",Returns!B485)</f>
        <v>-0.0190289256555354</v>
      </c>
      <c r="C485" s="26" t="n">
        <f aca="false">IF(Returns!$O485=1,"",Returns!C485)</f>
        <v>-0.0450819672131148</v>
      </c>
      <c r="D485" s="26" t="n">
        <f aca="false">IF(Returns!$O485=1,"",Returns!D485)</f>
        <v>0.00476005572233462</v>
      </c>
      <c r="E485" s="26" t="n">
        <f aca="false">IF(Returns!$O485=1,"",Returns!E485)</f>
        <v>-0.0234987463272629</v>
      </c>
      <c r="F485" s="26" t="n">
        <f aca="false">IF(Returns!$O485=1,"",Returns!F485)</f>
        <v>-0.0569514237855946</v>
      </c>
      <c r="G485" s="26" t="n">
        <f aca="false">IF(Returns!$O485=1,"",Returns!G485)</f>
        <v>-0.0173487544483986</v>
      </c>
      <c r="H485" s="26" t="n">
        <f aca="false">IF(Returns!$O485=1,"",Returns!H485)</f>
        <v>-0.0241908347529813</v>
      </c>
      <c r="I485" s="26" t="n">
        <f aca="false">IF(Returns!$O485=1,"",Returns!I485)</f>
        <v>-0.022911051212938</v>
      </c>
      <c r="J485" s="26" t="n">
        <f aca="false">IF(Returns!$O485=1,"",Returns!J485)</f>
        <v>0.00461680504293249</v>
      </c>
      <c r="K485" s="26" t="str">
        <f aca="false">IF(Returns!$O485=1,Returns!B485,"")</f>
        <v/>
      </c>
      <c r="L485" s="26" t="str">
        <f aca="false">IF(Returns!$O485=1,Returns!C485,"")</f>
        <v/>
      </c>
      <c r="M485" s="26" t="str">
        <f aca="false">IF(Returns!$O485=1,Returns!D485,"")</f>
        <v/>
      </c>
      <c r="N485" s="26" t="str">
        <f aca="false">IF(Returns!$O485=1,Returns!E485,"")</f>
        <v/>
      </c>
      <c r="O485" s="26" t="str">
        <f aca="false">IF(Returns!$O485=1,Returns!F485,"")</f>
        <v/>
      </c>
      <c r="P485" s="26" t="str">
        <f aca="false">IF(Returns!$O485=1,Returns!G485,"")</f>
        <v/>
      </c>
      <c r="Q485" s="26" t="str">
        <f aca="false">IF(Returns!$O485=1,Returns!H485,"")</f>
        <v/>
      </c>
      <c r="R485" s="26" t="str">
        <f aca="false">IF(Returns!$O485=1,Returns!I485,"")</f>
        <v/>
      </c>
      <c r="S485" s="26" t="str">
        <f aca="false">IF(Returns!$O485=1,Returns!J485,"")</f>
        <v/>
      </c>
      <c r="T485" s="26" t="n">
        <f aca="false">IF(Returns!$O485=1,"",Returns!K485)</f>
        <v>-0.0221816491811732</v>
      </c>
    </row>
    <row r="486" customFormat="false" ht="15" hidden="false" customHeight="false" outlineLevel="0" collapsed="false">
      <c r="A486" s="25" t="n">
        <f aca="false">Returns!A486</f>
        <v>44425</v>
      </c>
      <c r="B486" s="26" t="n">
        <f aca="false">IF(Returns!$O486=1,"",Returns!B486)</f>
        <v>-0.0236342817268991</v>
      </c>
      <c r="C486" s="26" t="n">
        <f aca="false">IF(Returns!$O486=1,"",Returns!C486)</f>
        <v>-0.0114449213161659</v>
      </c>
      <c r="D486" s="26" t="n">
        <f aca="false">IF(Returns!$O486=1,"",Returns!D486)</f>
        <v>-0.0055270035530991</v>
      </c>
      <c r="E486" s="26" t="n">
        <f aca="false">IF(Returns!$O486=1,"",Returns!E486)</f>
        <v>-0.0267379688676638</v>
      </c>
      <c r="F486" s="26" t="n">
        <f aca="false">IF(Returns!$O486=1,"",Returns!F486)</f>
        <v>-0.0390763765541741</v>
      </c>
      <c r="G486" s="26" t="n">
        <f aca="false">IF(Returns!$O486=1,"",Returns!G486)</f>
        <v>-0.0226346763241285</v>
      </c>
      <c r="H486" s="26" t="n">
        <f aca="false">IF(Returns!$O486=1,"",Returns!H486)</f>
        <v>-0.0562150159292952</v>
      </c>
      <c r="I486" s="26" t="n">
        <f aca="false">IF(Returns!$O486=1,"",Returns!I486)</f>
        <v>-0.0206896551724138</v>
      </c>
      <c r="J486" s="26" t="n">
        <f aca="false">IF(Returns!$O486=1,"",Returns!J486)</f>
        <v>-0.0165441447644078</v>
      </c>
      <c r="K486" s="26" t="str">
        <f aca="false">IF(Returns!$O486=1,Returns!B486,"")</f>
        <v/>
      </c>
      <c r="L486" s="26" t="str">
        <f aca="false">IF(Returns!$O486=1,Returns!C486,"")</f>
        <v/>
      </c>
      <c r="M486" s="26" t="str">
        <f aca="false">IF(Returns!$O486=1,Returns!D486,"")</f>
        <v/>
      </c>
      <c r="N486" s="26" t="str">
        <f aca="false">IF(Returns!$O486=1,Returns!E486,"")</f>
        <v/>
      </c>
      <c r="O486" s="26" t="str">
        <f aca="false">IF(Returns!$O486=1,Returns!F486,"")</f>
        <v/>
      </c>
      <c r="P486" s="26" t="str">
        <f aca="false">IF(Returns!$O486=1,Returns!G486,"")</f>
        <v/>
      </c>
      <c r="Q486" s="26" t="str">
        <f aca="false">IF(Returns!$O486=1,Returns!H486,"")</f>
        <v/>
      </c>
      <c r="R486" s="26" t="str">
        <f aca="false">IF(Returns!$O486=1,Returns!I486,"")</f>
        <v/>
      </c>
      <c r="S486" s="26" t="str">
        <f aca="false">IF(Returns!$O486=1,Returns!J486,"")</f>
        <v/>
      </c>
      <c r="T486" s="26" t="n">
        <f aca="false">IF(Returns!$O486=1,"",Returns!K486)</f>
        <v>-0.0247226715786941</v>
      </c>
    </row>
    <row r="487" customFormat="false" ht="15" hidden="false" customHeight="false" outlineLevel="0" collapsed="false">
      <c r="A487" s="25" t="n">
        <f aca="false">Returns!A487</f>
        <v>44426</v>
      </c>
      <c r="B487" s="26" t="n">
        <f aca="false">IF(Returns!$O487=1,"",Returns!B487)</f>
        <v>0.00251200039936061</v>
      </c>
      <c r="C487" s="26" t="n">
        <f aca="false">IF(Returns!$O487=1,"",Returns!C487)</f>
        <v>-0.0202604920405211</v>
      </c>
      <c r="D487" s="26" t="n">
        <f aca="false">IF(Returns!$O487=1,"",Returns!D487)</f>
        <v>-0.038507422052107</v>
      </c>
      <c r="E487" s="26" t="n">
        <f aca="false">IF(Returns!$O487=1,"",Returns!E487)</f>
        <v>0.0111721798964168</v>
      </c>
      <c r="F487" s="26" t="n">
        <f aca="false">IF(Returns!$O487=1,"",Returns!F487)</f>
        <v>0</v>
      </c>
      <c r="G487" s="26" t="n">
        <f aca="false">IF(Returns!$O487=1,"",Returns!G487)</f>
        <v>-0.0125057897174617</v>
      </c>
      <c r="H487" s="26" t="n">
        <f aca="false">IF(Returns!$O487=1,"",Returns!H487)</f>
        <v>-0.00887902297894838</v>
      </c>
      <c r="I487" s="26" t="n">
        <f aca="false">IF(Returns!$O487=1,"",Returns!I487)</f>
        <v>-0.00704221830985907</v>
      </c>
      <c r="J487" s="26" t="n">
        <f aca="false">IF(Returns!$O487=1,"",Returns!J487)</f>
        <v>-0.0335513644859813</v>
      </c>
      <c r="K487" s="26" t="str">
        <f aca="false">IF(Returns!$O487=1,Returns!B487,"")</f>
        <v/>
      </c>
      <c r="L487" s="26" t="str">
        <f aca="false">IF(Returns!$O487=1,Returns!C487,"")</f>
        <v/>
      </c>
      <c r="M487" s="26" t="str">
        <f aca="false">IF(Returns!$O487=1,Returns!D487,"")</f>
        <v/>
      </c>
      <c r="N487" s="26" t="str">
        <f aca="false">IF(Returns!$O487=1,Returns!E487,"")</f>
        <v/>
      </c>
      <c r="O487" s="26" t="str">
        <f aca="false">IF(Returns!$O487=1,Returns!F487,"")</f>
        <v/>
      </c>
      <c r="P487" s="26" t="str">
        <f aca="false">IF(Returns!$O487=1,Returns!G487,"")</f>
        <v/>
      </c>
      <c r="Q487" s="26" t="str">
        <f aca="false">IF(Returns!$O487=1,Returns!H487,"")</f>
        <v/>
      </c>
      <c r="R487" s="26" t="str">
        <f aca="false">IF(Returns!$O487=1,Returns!I487,"")</f>
        <v/>
      </c>
      <c r="S487" s="26" t="str">
        <f aca="false">IF(Returns!$O487=1,Returns!J487,"")</f>
        <v/>
      </c>
      <c r="T487" s="26" t="n">
        <f aca="false">IF(Returns!$O487=1,"",Returns!K487)</f>
        <v>-0.0118957921432335</v>
      </c>
    </row>
    <row r="488" customFormat="false" ht="15" hidden="false" customHeight="false" outlineLevel="0" collapsed="false">
      <c r="A488" s="25" t="n">
        <f aca="false">Returns!A488</f>
        <v>44427</v>
      </c>
      <c r="B488" s="26" t="n">
        <f aca="false">IF(Returns!$O488=1,"",Returns!B488)</f>
        <v>0.0159452614141709</v>
      </c>
      <c r="C488" s="26" t="n">
        <f aca="false">IF(Returns!$O488=1,"",Returns!C488)</f>
        <v>0.0472673559822747</v>
      </c>
      <c r="D488" s="26" t="n">
        <f aca="false">IF(Returns!$O488=1,"",Returns!D488)</f>
        <v>-0.0132121805620224</v>
      </c>
      <c r="E488" s="26" t="n">
        <f aca="false">IF(Returns!$O488=1,"",Returns!E488)</f>
        <v>0.0530700969583426</v>
      </c>
      <c r="F488" s="26" t="n">
        <f aca="false">IF(Returns!$O488=1,"",Returns!F488)</f>
        <v>0.0369685767097967</v>
      </c>
      <c r="G488" s="26" t="n">
        <f aca="false">IF(Returns!$O488=1,"",Returns!G488)</f>
        <v>0.00891181988742962</v>
      </c>
      <c r="H488" s="26" t="n">
        <f aca="false">IF(Returns!$O488=1,"",Returns!H488)</f>
        <v>-0.00559917858905645</v>
      </c>
      <c r="I488" s="26" t="n">
        <f aca="false">IF(Returns!$O488=1,"",Returns!I488)</f>
        <v>0.0106382620341041</v>
      </c>
      <c r="J488" s="26" t="n">
        <f aca="false">IF(Returns!$O488=1,"",Returns!J488)</f>
        <v>-0.057054460610987</v>
      </c>
      <c r="K488" s="26" t="str">
        <f aca="false">IF(Returns!$O488=1,Returns!B488,"")</f>
        <v/>
      </c>
      <c r="L488" s="26" t="str">
        <f aca="false">IF(Returns!$O488=1,Returns!C488,"")</f>
        <v/>
      </c>
      <c r="M488" s="26" t="str">
        <f aca="false">IF(Returns!$O488=1,Returns!D488,"")</f>
        <v/>
      </c>
      <c r="N488" s="26" t="str">
        <f aca="false">IF(Returns!$O488=1,Returns!E488,"")</f>
        <v/>
      </c>
      <c r="O488" s="26" t="str">
        <f aca="false">IF(Returns!$O488=1,Returns!F488,"")</f>
        <v/>
      </c>
      <c r="P488" s="26" t="str">
        <f aca="false">IF(Returns!$O488=1,Returns!G488,"")</f>
        <v/>
      </c>
      <c r="Q488" s="26" t="str">
        <f aca="false">IF(Returns!$O488=1,Returns!H488,"")</f>
        <v/>
      </c>
      <c r="R488" s="26" t="str">
        <f aca="false">IF(Returns!$O488=1,Returns!I488,"")</f>
        <v/>
      </c>
      <c r="S488" s="26" t="str">
        <f aca="false">IF(Returns!$O488=1,Returns!J488,"")</f>
        <v/>
      </c>
      <c r="T488" s="26" t="n">
        <f aca="false">IF(Returns!$O488=1,"",Returns!K488)</f>
        <v>0.0107706170248948</v>
      </c>
    </row>
    <row r="489" customFormat="false" ht="15" hidden="false" customHeight="false" outlineLevel="0" collapsed="false">
      <c r="A489" s="25" t="n">
        <f aca="false">Returns!A489</f>
        <v>44428</v>
      </c>
      <c r="B489" s="26" t="n">
        <f aca="false">IF(Returns!$O489=1,"",Returns!B489)</f>
        <v>0.0134529713044722</v>
      </c>
      <c r="C489" s="26" t="n">
        <f aca="false">IF(Returns!$O489=1,"",Returns!C489)</f>
        <v>0.00141043723554302</v>
      </c>
      <c r="D489" s="26" t="n">
        <f aca="false">IF(Returns!$O489=1,"",Returns!D489)</f>
        <v>0.0297071548117156</v>
      </c>
      <c r="E489" s="26" t="n">
        <f aca="false">IF(Returns!$O489=1,"",Returns!E489)</f>
        <v>0.0101479361910548</v>
      </c>
      <c r="F489" s="26" t="n">
        <f aca="false">IF(Returns!$O489=1,"",Returns!F489)</f>
        <v>-0.00356506238859189</v>
      </c>
      <c r="G489" s="26" t="n">
        <f aca="false">IF(Returns!$O489=1,"",Returns!G489)</f>
        <v>0.00883314737331475</v>
      </c>
      <c r="H489" s="26" t="n">
        <f aca="false">IF(Returns!$O489=1,"",Returns!H489)</f>
        <v>-0.00150146402032514</v>
      </c>
      <c r="I489" s="26" t="n">
        <f aca="false">IF(Returns!$O489=1,"",Returns!I489)</f>
        <v>0.0403508771929824</v>
      </c>
      <c r="J489" s="26" t="n">
        <f aca="false">IF(Returns!$O489=1,"",Returns!J489)</f>
        <v>0.00041022458393547</v>
      </c>
      <c r="K489" s="26" t="str">
        <f aca="false">IF(Returns!$O489=1,Returns!B489,"")</f>
        <v/>
      </c>
      <c r="L489" s="26" t="str">
        <f aca="false">IF(Returns!$O489=1,Returns!C489,"")</f>
        <v/>
      </c>
      <c r="M489" s="26" t="str">
        <f aca="false">IF(Returns!$O489=1,Returns!D489,"")</f>
        <v/>
      </c>
      <c r="N489" s="26" t="str">
        <f aca="false">IF(Returns!$O489=1,Returns!E489,"")</f>
        <v/>
      </c>
      <c r="O489" s="26" t="str">
        <f aca="false">IF(Returns!$O489=1,Returns!F489,"")</f>
        <v/>
      </c>
      <c r="P489" s="26" t="str">
        <f aca="false">IF(Returns!$O489=1,Returns!G489,"")</f>
        <v/>
      </c>
      <c r="Q489" s="26" t="str">
        <f aca="false">IF(Returns!$O489=1,Returns!H489,"")</f>
        <v/>
      </c>
      <c r="R489" s="26" t="str">
        <f aca="false">IF(Returns!$O489=1,Returns!I489,"")</f>
        <v/>
      </c>
      <c r="S489" s="26" t="str">
        <f aca="false">IF(Returns!$O489=1,Returns!J489,"")</f>
        <v/>
      </c>
      <c r="T489" s="26" t="n">
        <f aca="false">IF(Returns!$O489=1,"",Returns!K489)</f>
        <v>0.0110273580315668</v>
      </c>
    </row>
    <row r="490" customFormat="false" ht="15" hidden="false" customHeight="false" outlineLevel="0" collapsed="false">
      <c r="A490" s="25" t="n">
        <f aca="false">Returns!A490</f>
        <v>44431</v>
      </c>
      <c r="B490" s="26" t="n">
        <f aca="false">IF(Returns!$O490=1,"",Returns!B490)</f>
        <v>-0.00165931412258158</v>
      </c>
      <c r="C490" s="26" t="n">
        <f aca="false">IF(Returns!$O490=1,"",Returns!C490)</f>
        <v>-0.0387323943661971</v>
      </c>
      <c r="D490" s="26" t="n">
        <f aca="false">IF(Returns!$O490=1,"",Returns!D490)</f>
        <v>0.0227549360928512</v>
      </c>
      <c r="E490" s="26" t="n">
        <f aca="false">IF(Returns!$O490=1,"",Returns!E490)</f>
        <v>-0.0391622680061297</v>
      </c>
      <c r="F490" s="26" t="n">
        <f aca="false">IF(Returns!$O490=1,"",Returns!F490)</f>
        <v>-0.0608228980322003</v>
      </c>
      <c r="G490" s="26" t="n">
        <f aca="false">IF(Returns!$O490=1,"",Returns!G490)</f>
        <v>-0.0202765428443988</v>
      </c>
      <c r="H490" s="26" t="n">
        <f aca="false">IF(Returns!$O490=1,"",Returns!H490)</f>
        <v>0.0157894736842104</v>
      </c>
      <c r="I490" s="26" t="n">
        <f aca="false">IF(Returns!$O490=1,"",Returns!I490)</f>
        <v>-0.0111298482293423</v>
      </c>
      <c r="J490" s="26" t="n">
        <f aca="false">IF(Returns!$O490=1,"",Returns!J490)</f>
        <v>-0.0138391179752194</v>
      </c>
      <c r="K490" s="26" t="str">
        <f aca="false">IF(Returns!$O490=1,Returns!B490,"")</f>
        <v/>
      </c>
      <c r="L490" s="26" t="str">
        <f aca="false">IF(Returns!$O490=1,Returns!C490,"")</f>
        <v/>
      </c>
      <c r="M490" s="26" t="str">
        <f aca="false">IF(Returns!$O490=1,Returns!D490,"")</f>
        <v/>
      </c>
      <c r="N490" s="26" t="str">
        <f aca="false">IF(Returns!$O490=1,Returns!E490,"")</f>
        <v/>
      </c>
      <c r="O490" s="26" t="str">
        <f aca="false">IF(Returns!$O490=1,Returns!F490,"")</f>
        <v/>
      </c>
      <c r="P490" s="26" t="str">
        <f aca="false">IF(Returns!$O490=1,Returns!G490,"")</f>
        <v/>
      </c>
      <c r="Q490" s="26" t="str">
        <f aca="false">IF(Returns!$O490=1,Returns!H490,"")</f>
        <v/>
      </c>
      <c r="R490" s="26" t="str">
        <f aca="false">IF(Returns!$O490=1,Returns!I490,"")</f>
        <v/>
      </c>
      <c r="S490" s="26" t="str">
        <f aca="false">IF(Returns!$O490=1,Returns!J490,"")</f>
        <v/>
      </c>
      <c r="T490" s="26" t="n">
        <f aca="false">IF(Returns!$O490=1,"",Returns!K490)</f>
        <v>-0.0163419970887786</v>
      </c>
    </row>
    <row r="491" customFormat="false" ht="15" hidden="false" customHeight="false" outlineLevel="0" collapsed="false">
      <c r="A491" s="25" t="n">
        <f aca="false">Returns!A491</f>
        <v>44432</v>
      </c>
      <c r="B491" s="26" t="n">
        <f aca="false">IF(Returns!$O491=1,"",Returns!B491)</f>
        <v>0.0165096731301939</v>
      </c>
      <c r="C491" s="26" t="n">
        <f aca="false">IF(Returns!$O491=1,"",Returns!C491)</f>
        <v>0.0183150183150183</v>
      </c>
      <c r="D491" s="26" t="n">
        <f aca="false">IF(Returns!$O491=1,"",Returns!D491)</f>
        <v>0.019864918553834</v>
      </c>
      <c r="E491" s="26" t="n">
        <f aca="false">IF(Returns!$O491=1,"",Returns!E491)</f>
        <v>0.0109870458975723</v>
      </c>
      <c r="F491" s="26" t="n">
        <f aca="false">IF(Returns!$O491=1,"",Returns!F491)</f>
        <v>0.118095238095238</v>
      </c>
      <c r="G491" s="26" t="n">
        <f aca="false">IF(Returns!$O491=1,"",Returns!G491)</f>
        <v>0.0315145813734712</v>
      </c>
      <c r="H491" s="26" t="n">
        <f aca="false">IF(Returns!$O491=1,"",Returns!H491)</f>
        <v>0.0207253886010361</v>
      </c>
      <c r="I491" s="26" t="n">
        <f aca="false">IF(Returns!$O491=1,"",Returns!I491)</f>
        <v>0.0320600272851297</v>
      </c>
      <c r="J491" s="26" t="n">
        <f aca="false">IF(Returns!$O491=1,"",Returns!J491)</f>
        <v>0.0364865084143402</v>
      </c>
      <c r="K491" s="26" t="str">
        <f aca="false">IF(Returns!$O491=1,Returns!B491,"")</f>
        <v/>
      </c>
      <c r="L491" s="26" t="str">
        <f aca="false">IF(Returns!$O491=1,Returns!C491,"")</f>
        <v/>
      </c>
      <c r="M491" s="26" t="str">
        <f aca="false">IF(Returns!$O491=1,Returns!D491,"")</f>
        <v/>
      </c>
      <c r="N491" s="26" t="str">
        <f aca="false">IF(Returns!$O491=1,Returns!E491,"")</f>
        <v/>
      </c>
      <c r="O491" s="26" t="str">
        <f aca="false">IF(Returns!$O491=1,Returns!F491,"")</f>
        <v/>
      </c>
      <c r="P491" s="26" t="str">
        <f aca="false">IF(Returns!$O491=1,Returns!G491,"")</f>
        <v/>
      </c>
      <c r="Q491" s="26" t="str">
        <f aca="false">IF(Returns!$O491=1,Returns!H491,"")</f>
        <v/>
      </c>
      <c r="R491" s="26" t="str">
        <f aca="false">IF(Returns!$O491=1,Returns!I491,"")</f>
        <v/>
      </c>
      <c r="S491" s="26" t="str">
        <f aca="false">IF(Returns!$O491=1,Returns!J491,"")</f>
        <v/>
      </c>
      <c r="T491" s="26" t="n">
        <f aca="false">IF(Returns!$O491=1,"",Returns!K491)</f>
        <v>0.0338398221850926</v>
      </c>
    </row>
    <row r="492" customFormat="false" ht="15" hidden="false" customHeight="false" outlineLevel="0" collapsed="false">
      <c r="A492" s="25" t="n">
        <f aca="false">Returns!A492</f>
        <v>44433</v>
      </c>
      <c r="B492" s="26" t="n">
        <f aca="false">IF(Returns!$O492=1,"",Returns!B492)</f>
        <v>0.00970131915634021</v>
      </c>
      <c r="C492" s="26" t="n">
        <f aca="false">IF(Returns!$O492=1,"",Returns!C492)</f>
        <v>0.0064748201438849</v>
      </c>
      <c r="D492" s="26" t="n">
        <f aca="false">IF(Returns!$O492=1,"",Returns!D492)</f>
        <v>0.0389559797428904</v>
      </c>
      <c r="E492" s="26" t="n">
        <f aca="false">IF(Returns!$O492=1,"",Returns!E492)</f>
        <v>0.00841367236483204</v>
      </c>
      <c r="F492" s="26" t="n">
        <f aca="false">IF(Returns!$O492=1,"",Returns!F492)</f>
        <v>-0.0102214650766611</v>
      </c>
      <c r="G492" s="26" t="n">
        <f aca="false">IF(Returns!$O492=1,"",Returns!G492)</f>
        <v>-0.00592799817601464</v>
      </c>
      <c r="H492" s="26" t="n">
        <f aca="false">IF(Returns!$O492=1,"",Returns!H492)</f>
        <v>0.00543872371283549</v>
      </c>
      <c r="I492" s="26" t="n">
        <f aca="false">IF(Returns!$O492=1,"",Returns!I492)</f>
        <v>-0.00859220092531399</v>
      </c>
      <c r="J492" s="26" t="n">
        <f aca="false">IF(Returns!$O492=1,"",Returns!J492)</f>
        <v>-0.00210609770440373</v>
      </c>
      <c r="K492" s="26" t="str">
        <f aca="false">IF(Returns!$O492=1,Returns!B492,"")</f>
        <v/>
      </c>
      <c r="L492" s="26" t="str">
        <f aca="false">IF(Returns!$O492=1,Returns!C492,"")</f>
        <v/>
      </c>
      <c r="M492" s="26" t="str">
        <f aca="false">IF(Returns!$O492=1,Returns!D492,"")</f>
        <v/>
      </c>
      <c r="N492" s="26" t="str">
        <f aca="false">IF(Returns!$O492=1,Returns!E492,"")</f>
        <v/>
      </c>
      <c r="O492" s="26" t="str">
        <f aca="false">IF(Returns!$O492=1,Returns!F492,"")</f>
        <v/>
      </c>
      <c r="P492" s="26" t="str">
        <f aca="false">IF(Returns!$O492=1,Returns!G492,"")</f>
        <v/>
      </c>
      <c r="Q492" s="26" t="str">
        <f aca="false">IF(Returns!$O492=1,Returns!H492,"")</f>
        <v/>
      </c>
      <c r="R492" s="26" t="str">
        <f aca="false">IF(Returns!$O492=1,Returns!I492,"")</f>
        <v/>
      </c>
      <c r="S492" s="26" t="str">
        <f aca="false">IF(Returns!$O492=1,Returns!J492,"")</f>
        <v/>
      </c>
      <c r="T492" s="26" t="n">
        <f aca="false">IF(Returns!$O492=1,"",Returns!K492)</f>
        <v>0.00468186147093218</v>
      </c>
    </row>
    <row r="493" customFormat="false" ht="15" hidden="false" customHeight="false" outlineLevel="0" collapsed="false">
      <c r="A493" s="25" t="n">
        <f aca="false">Returns!A493</f>
        <v>44434</v>
      </c>
      <c r="B493" s="26" t="n">
        <f aca="false">IF(Returns!$O493=1,"",Returns!B493)</f>
        <v>-0.0141422545873559</v>
      </c>
      <c r="C493" s="26" t="n">
        <f aca="false">IF(Returns!$O493=1,"",Returns!C493)</f>
        <v>-0.0235882773409578</v>
      </c>
      <c r="D493" s="26" t="n">
        <f aca="false">IF(Returns!$O493=1,"",Returns!D493)</f>
        <v>-0.0112485564304463</v>
      </c>
      <c r="E493" s="26" t="n">
        <f aca="false">IF(Returns!$O493=1,"",Returns!E493)</f>
        <v>-0.0272901099824457</v>
      </c>
      <c r="F493" s="26" t="n">
        <f aca="false">IF(Returns!$O493=1,"",Returns!F493)</f>
        <v>0.0240963855421688</v>
      </c>
      <c r="G493" s="26" t="n">
        <f aca="false">IF(Returns!$O493=1,"",Returns!G493)</f>
        <v>-0.0334861941966144</v>
      </c>
      <c r="H493" s="26" t="n">
        <f aca="false">IF(Returns!$O493=1,"",Returns!H493)</f>
        <v>-0.00865488640461598</v>
      </c>
      <c r="I493" s="26" t="n">
        <f aca="false">IF(Returns!$O493=1,"",Returns!I493)</f>
        <v>-0.0239999666666667</v>
      </c>
      <c r="J493" s="26" t="n">
        <f aca="false">IF(Returns!$O493=1,"",Returns!J493)</f>
        <v>-0.0127637889447236</v>
      </c>
      <c r="K493" s="26" t="str">
        <f aca="false">IF(Returns!$O493=1,Returns!B493,"")</f>
        <v/>
      </c>
      <c r="L493" s="26" t="str">
        <f aca="false">IF(Returns!$O493=1,Returns!C493,"")</f>
        <v/>
      </c>
      <c r="M493" s="26" t="str">
        <f aca="false">IF(Returns!$O493=1,Returns!D493,"")</f>
        <v/>
      </c>
      <c r="N493" s="26" t="str">
        <f aca="false">IF(Returns!$O493=1,Returns!E493,"")</f>
        <v/>
      </c>
      <c r="O493" s="26" t="str">
        <f aca="false">IF(Returns!$O493=1,Returns!F493,"")</f>
        <v/>
      </c>
      <c r="P493" s="26" t="str">
        <f aca="false">IF(Returns!$O493=1,Returns!G493,"")</f>
        <v/>
      </c>
      <c r="Q493" s="26" t="str">
        <f aca="false">IF(Returns!$O493=1,Returns!H493,"")</f>
        <v/>
      </c>
      <c r="R493" s="26" t="str">
        <f aca="false">IF(Returns!$O493=1,Returns!I493,"")</f>
        <v/>
      </c>
      <c r="S493" s="26" t="str">
        <f aca="false">IF(Returns!$O493=1,Returns!J493,"")</f>
        <v/>
      </c>
      <c r="T493" s="26" t="n">
        <f aca="false">IF(Returns!$O493=1,"",Returns!K493)</f>
        <v>-0.0145641832235175</v>
      </c>
    </row>
    <row r="494" customFormat="false" ht="15" hidden="false" customHeight="false" outlineLevel="0" collapsed="false">
      <c r="A494" s="25" t="n">
        <f aca="false">Returns!A494</f>
        <v>44435</v>
      </c>
      <c r="B494" s="26" t="n">
        <f aca="false">IF(Returns!$O494=1,"",Returns!B494)</f>
        <v>0.0117170280332897</v>
      </c>
      <c r="C494" s="26" t="n">
        <f aca="false">IF(Returns!$O494=1,"",Returns!C494)</f>
        <v>0.0204978038067349</v>
      </c>
      <c r="D494" s="26" t="n">
        <f aca="false">IF(Returns!$O494=1,"",Returns!D494)</f>
        <v>0.0132725819767698</v>
      </c>
      <c r="E494" s="26" t="n">
        <f aca="false">IF(Returns!$O494=1,"",Returns!E494)</f>
        <v>0.0418155833062113</v>
      </c>
      <c r="F494" s="26" t="n">
        <f aca="false">IF(Returns!$O494=1,"",Returns!F494)</f>
        <v>0</v>
      </c>
      <c r="G494" s="26" t="n">
        <f aca="false">IF(Returns!$O494=1,"",Returns!G494)</f>
        <v>0.0194589463692454</v>
      </c>
      <c r="H494" s="26" t="n">
        <f aca="false">IF(Returns!$O494=1,"",Returns!H494)</f>
        <v>0.0363768643142961</v>
      </c>
      <c r="I494" s="26" t="n">
        <f aca="false">IF(Returns!$O494=1,"",Returns!I494)</f>
        <v>0.0102458671364116</v>
      </c>
      <c r="J494" s="26" t="n">
        <f aca="false">IF(Returns!$O494=1,"",Returns!J494)</f>
        <v>0.0250432548597195</v>
      </c>
      <c r="K494" s="26" t="str">
        <f aca="false">IF(Returns!$O494=1,Returns!B494,"")</f>
        <v/>
      </c>
      <c r="L494" s="26" t="str">
        <f aca="false">IF(Returns!$O494=1,Returns!C494,"")</f>
        <v/>
      </c>
      <c r="M494" s="26" t="str">
        <f aca="false">IF(Returns!$O494=1,Returns!D494,"")</f>
        <v/>
      </c>
      <c r="N494" s="26" t="str">
        <f aca="false">IF(Returns!$O494=1,Returns!E494,"")</f>
        <v/>
      </c>
      <c r="O494" s="26" t="str">
        <f aca="false">IF(Returns!$O494=1,Returns!F494,"")</f>
        <v/>
      </c>
      <c r="P494" s="26" t="str">
        <f aca="false">IF(Returns!$O494=1,Returns!G494,"")</f>
        <v/>
      </c>
      <c r="Q494" s="26" t="str">
        <f aca="false">IF(Returns!$O494=1,Returns!H494,"")</f>
        <v/>
      </c>
      <c r="R494" s="26" t="str">
        <f aca="false">IF(Returns!$O494=1,Returns!I494,"")</f>
        <v/>
      </c>
      <c r="S494" s="26" t="str">
        <f aca="false">IF(Returns!$O494=1,Returns!J494,"")</f>
        <v/>
      </c>
      <c r="T494" s="26" t="n">
        <f aca="false">IF(Returns!$O494=1,"",Returns!K494)</f>
        <v>0.0198253255336309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3" customFormat="false" ht="15" hidden="false" customHeight="false" outlineLevel="0" collapsed="false">
      <c r="B3" s="12" t="s">
        <v>125</v>
      </c>
      <c r="C3" s="13"/>
      <c r="D3" s="13"/>
    </row>
    <row r="5" customFormat="false" ht="15" hidden="false" customHeight="false" outlineLevel="0" collapsed="false">
      <c r="B5" s="4" t="s">
        <v>126</v>
      </c>
      <c r="C5" s="26" t="n">
        <f aca="false">STDEV(Returns!$K$4:$K$494)</f>
        <v>0.0236007398241233</v>
      </c>
      <c r="D5" s="6" t="s">
        <v>127</v>
      </c>
    </row>
    <row r="6" customFormat="false" ht="15" hidden="false" customHeight="false" outlineLevel="0" collapsed="false">
      <c r="B6" s="4" t="s">
        <v>128</v>
      </c>
      <c r="C6" s="30" t="n">
        <f aca="false">C5*SQRT(Inputs!$C$8)</f>
        <v>0.374650129990612</v>
      </c>
      <c r="D6" s="6"/>
    </row>
    <row r="7" customFormat="false" ht="15" hidden="false" customHeight="false" outlineLevel="0" collapsed="false">
      <c r="B7" s="4" t="s">
        <v>10</v>
      </c>
      <c r="C7" s="26" t="n">
        <f aca="false">PERCENTILE(Returns!$K$4:$K$494,Inputs!$C$5)</f>
        <v>-0.0255950792039459</v>
      </c>
      <c r="D7" s="6" t="s">
        <v>129</v>
      </c>
    </row>
    <row r="8" customFormat="false" ht="15" hidden="false" customHeight="false" outlineLevel="0" collapsed="false">
      <c r="B8" s="4" t="s">
        <v>12</v>
      </c>
      <c r="C8" s="26" t="n">
        <f aca="false">AVERAGEIF(Returns!$K$4:$K$494,"&lt;="&amp;C7)</f>
        <v>-0.0608115591806127</v>
      </c>
      <c r="D8" s="6" t="s">
        <v>130</v>
      </c>
    </row>
    <row r="9" customFormat="false" ht="15" hidden="false" customHeight="false" outlineLevel="0" collapsed="false">
      <c r="B9" s="4" t="s">
        <v>11</v>
      </c>
      <c r="C9" s="31" t="n">
        <f aca="false">C7*Inputs!$C$4</f>
        <v>-25595.0792039459</v>
      </c>
      <c r="D9" s="6"/>
    </row>
    <row r="10" customFormat="false" ht="15" hidden="false" customHeight="false" outlineLevel="0" collapsed="false">
      <c r="B10" s="4" t="s">
        <v>13</v>
      </c>
      <c r="C10" s="31" t="n">
        <f aca="false">C8*Inputs!$C$4</f>
        <v>-60811.5591806127</v>
      </c>
      <c r="D10" s="6"/>
    </row>
    <row r="11" customFormat="false" ht="15" hidden="false" customHeight="false" outlineLevel="0" collapsed="false">
      <c r="B11" s="4" t="s">
        <v>131</v>
      </c>
      <c r="C11" s="27" t="n">
        <f aca="false">COUNT(Returns!$K$4:$K$494)</f>
        <v>491</v>
      </c>
      <c r="D11" s="6"/>
    </row>
    <row r="12" customFormat="false" ht="15" hidden="false" customHeight="false" outlineLevel="0" collapsed="false">
      <c r="B12" s="4" t="s">
        <v>132</v>
      </c>
      <c r="C12" s="27" t="n">
        <f aca="false">COUNTIF(Returns!$K$4:$K$494,"&lt;="&amp;C7)</f>
        <v>25</v>
      </c>
      <c r="D12" s="6"/>
    </row>
    <row r="14" customFormat="false" ht="15" hidden="false" customHeight="false" outlineLevel="0" collapsed="false">
      <c r="B14" s="12" t="s">
        <v>133</v>
      </c>
      <c r="C14" s="13"/>
      <c r="D14" s="13"/>
    </row>
    <row r="16" customFormat="false" ht="15" hidden="false" customHeight="false" outlineLevel="0" collapsed="false">
      <c r="B16" s="4" t="s">
        <v>134</v>
      </c>
      <c r="C16" s="27" t="n">
        <f aca="false">SUM(Returns!$O$4:$O$494)</f>
        <v>46</v>
      </c>
      <c r="D16" s="6"/>
    </row>
    <row r="17" customFormat="false" ht="15" hidden="false" customHeight="false" outlineLevel="0" collapsed="false">
      <c r="B17" s="4" t="s">
        <v>135</v>
      </c>
      <c r="C17" s="32" t="n">
        <f aca="false">C16/C11</f>
        <v>0.0936863543788187</v>
      </c>
      <c r="D17" s="6"/>
    </row>
    <row r="18" customFormat="false" ht="15" hidden="false" customHeight="false" outlineLevel="0" collapsed="false">
      <c r="B18" s="4" t="s">
        <v>136</v>
      </c>
      <c r="C18" s="27" t="n">
        <f aca="false">COUNTIFS(Returns!$K$4:$K$494,"&lt;="&amp;C7,Returns!$O$4:$O$494,1)</f>
        <v>14</v>
      </c>
      <c r="D18" s="6"/>
    </row>
    <row r="19" customFormat="false" ht="15" hidden="false" customHeight="false" outlineLevel="0" collapsed="false">
      <c r="B19" s="4" t="s">
        <v>137</v>
      </c>
      <c r="C19" s="32" t="n">
        <f aca="false">C18/C12</f>
        <v>0.56</v>
      </c>
      <c r="D19" s="6" t="s">
        <v>138</v>
      </c>
    </row>
    <row r="20" customFormat="false" ht="15" hidden="false" customHeight="false" outlineLevel="0" collapsed="false">
      <c r="B20" s="4" t="s">
        <v>14</v>
      </c>
      <c r="C20" s="26" t="n">
        <f aca="false">PERCENTILE(Returns_Helper!$T$4:$T$494,Inputs!$C$5)</f>
        <v>-0.0199743506694271</v>
      </c>
      <c r="D20" s="6"/>
    </row>
    <row r="21" customFormat="false" ht="15" hidden="false" customHeight="false" outlineLevel="0" collapsed="false">
      <c r="B21" s="4" t="s">
        <v>15</v>
      </c>
      <c r="C21" s="26" t="n">
        <f aca="false">AVERAGEIF(Returns_Helper!$T$4:$T$494,"&lt;="&amp;C20)</f>
        <v>-0.0299531009128765</v>
      </c>
      <c r="D21" s="6"/>
    </row>
    <row r="22" customFormat="false" ht="15" hidden="false" customHeight="false" outlineLevel="0" collapsed="false">
      <c r="B22" s="4" t="s">
        <v>139</v>
      </c>
      <c r="C22" s="27" t="n">
        <f aca="false">COUNT(Returns_Helper!$T$4:$T$494)</f>
        <v>445</v>
      </c>
      <c r="D22" s="6"/>
    </row>
    <row r="23" customFormat="false" ht="15" hidden="false" customHeight="false" outlineLevel="0" collapsed="false">
      <c r="B23" s="4" t="s">
        <v>140</v>
      </c>
      <c r="C23" s="32" t="n">
        <f aca="false">C21/C8-1</f>
        <v>-0.507443957752922</v>
      </c>
      <c r="D23" s="6"/>
    </row>
    <row r="25" customFormat="false" ht="15" hidden="false" customHeight="false" outlineLevel="0" collapsed="false">
      <c r="B25" s="12" t="s">
        <v>141</v>
      </c>
      <c r="C25" s="13"/>
      <c r="D25" s="13"/>
    </row>
    <row r="27" customFormat="false" ht="15" hidden="false" customHeight="false" outlineLevel="0" collapsed="false">
      <c r="B27" s="4" t="s">
        <v>142</v>
      </c>
      <c r="C27" s="30" t="n">
        <f aca="false">MIN(Returns!$R$4:$R$494)</f>
        <v>-0.472346632289662</v>
      </c>
      <c r="D27" s="6"/>
    </row>
    <row r="28" customFormat="false" ht="15" hidden="false" customHeight="false" outlineLevel="0" collapsed="false">
      <c r="B28" s="4" t="s">
        <v>143</v>
      </c>
      <c r="C28" s="25" t="n">
        <f aca="false">INDEX(Returns!$A$4:$A$494,E28)</f>
        <v>43908</v>
      </c>
      <c r="D28" s="6"/>
      <c r="E28" s="33" t="n">
        <f aca="false">MATCH(C27,Returns!$R$4:$R$494,0)</f>
        <v>134</v>
      </c>
      <c r="F28" s="6" t="s">
        <v>144</v>
      </c>
    </row>
    <row r="29" customFormat="false" ht="15" hidden="false" customHeight="false" outlineLevel="0" collapsed="false">
      <c r="B29" s="4" t="s">
        <v>145</v>
      </c>
      <c r="C29" s="34" t="n">
        <f aca="false">INDEX(Returns!$P$4:$P$494,MATCH(C28,Returns!$A$4:$A$494,0))</f>
        <v>68.6218355063817</v>
      </c>
      <c r="D29" s="6"/>
    </row>
    <row r="30" customFormat="false" ht="15" hidden="false" customHeight="false" outlineLevel="0" collapsed="false">
      <c r="B30" s="4" t="s">
        <v>146</v>
      </c>
      <c r="C30" s="34" t="n">
        <f aca="false">INDEX(Returns!$Q$4:$Q$494,MATCH(C28,Returns!$A$4:$A$494,0))</f>
        <v>130.050976087113</v>
      </c>
      <c r="D30" s="6"/>
    </row>
    <row r="31" customFormat="false" ht="15" hidden="false" customHeight="false" outlineLevel="0" collapsed="false">
      <c r="B31" s="4" t="s">
        <v>147</v>
      </c>
      <c r="C31" s="25" t="n">
        <f aca="false">INDEX(Returns!$A$4:$A$494,MATCH(C30,Returns!$P$4:$P$494,0))</f>
        <v>43853</v>
      </c>
      <c r="D31" s="6"/>
    </row>
    <row r="32" customFormat="false" ht="15" hidden="false" customHeight="false" outlineLevel="0" collapsed="false">
      <c r="B32" s="4" t="s">
        <v>148</v>
      </c>
      <c r="C32" s="25" t="n">
        <f aca="false">INDEX(Returns!$A$4:$A$494,MATCH(1,Returns!$T$4:$T$494,0))</f>
        <v>44158</v>
      </c>
      <c r="D32" s="6"/>
    </row>
    <row r="34" customFormat="false" ht="15" hidden="false" customHeight="false" outlineLevel="0" collapsed="false">
      <c r="B34" s="12" t="s">
        <v>149</v>
      </c>
      <c r="C34" s="13"/>
      <c r="D34" s="13"/>
    </row>
    <row r="35" customFormat="false" ht="31.5" hidden="false" customHeight="true" outlineLevel="0" collapsed="false">
      <c r="B35" s="3" t="s">
        <v>150</v>
      </c>
      <c r="C35" s="3" t="s">
        <v>151</v>
      </c>
      <c r="D35" s="3" t="s">
        <v>152</v>
      </c>
      <c r="E35" s="3" t="s">
        <v>128</v>
      </c>
      <c r="F35" s="3" t="s">
        <v>153</v>
      </c>
      <c r="G35" s="3" t="s">
        <v>12</v>
      </c>
    </row>
    <row r="36" customFormat="false" ht="15" hidden="false" customHeight="false" outlineLevel="0" collapsed="false">
      <c r="B36" s="4" t="s">
        <v>80</v>
      </c>
      <c r="C36" s="30" t="n">
        <f aca="false">Optimization!C7</f>
        <v>0.111111111111111</v>
      </c>
      <c r="D36" s="26" t="n">
        <f aca="false">STDEV(Returns!$B$4:$B$494)</f>
        <v>0.0300459823561592</v>
      </c>
      <c r="E36" s="30" t="n">
        <f aca="false">D36*SQRT(Inputs!$C$8)</f>
        <v>0.47696518326619</v>
      </c>
      <c r="F36" s="26" t="n">
        <f aca="false">PERCENTILE(Returns!$B$4:$B$494,Inputs!$C$5)</f>
        <v>-0.0379869399793676</v>
      </c>
      <c r="G36" s="26" t="n">
        <f aca="false">AVERAGEIF(Returns!$B$4:$B$494,"&lt;="&amp;F36)</f>
        <v>-0.0685646283029505</v>
      </c>
    </row>
    <row r="37" customFormat="false" ht="15" hidden="false" customHeight="false" outlineLevel="0" collapsed="false">
      <c r="B37" s="4" t="s">
        <v>81</v>
      </c>
      <c r="C37" s="30" t="n">
        <f aca="false">Optimization!D7</f>
        <v>0.111111111111111</v>
      </c>
      <c r="D37" s="26" t="n">
        <f aca="false">STDEV(Returns!$C$4:$C$494)</f>
        <v>0.0293213092829641</v>
      </c>
      <c r="E37" s="30" t="n">
        <f aca="false">D37*SQRT(Inputs!$C$8)</f>
        <v>0.465461354865196</v>
      </c>
      <c r="F37" s="26" t="n">
        <f aca="false">PERCENTILE(Returns!$C$4:$C$494,Inputs!$C$5)</f>
        <v>-0.0388873816133233</v>
      </c>
      <c r="G37" s="26" t="n">
        <f aca="false">AVERAGEIF(Returns!$C$4:$C$494,"&lt;="&amp;F37)</f>
        <v>-0.0666062748229734</v>
      </c>
    </row>
    <row r="38" customFormat="false" ht="15" hidden="false" customHeight="false" outlineLevel="0" collapsed="false">
      <c r="B38" s="4" t="s">
        <v>82</v>
      </c>
      <c r="C38" s="30" t="n">
        <f aca="false">Optimization!E7</f>
        <v>0.111111111111111</v>
      </c>
      <c r="D38" s="26" t="n">
        <f aca="false">STDEV(Returns!$D$4:$D$494)</f>
        <v>0.0244505490849058</v>
      </c>
      <c r="E38" s="30" t="n">
        <f aca="false">D38*SQRT(Inputs!$C$8)</f>
        <v>0.388140433785831</v>
      </c>
      <c r="F38" s="26" t="n">
        <f aca="false">PERCENTILE(Returns!$D$4:$D$494,Inputs!$C$5)</f>
        <v>-0.0285843446518015</v>
      </c>
      <c r="G38" s="26" t="n">
        <f aca="false">AVERAGEIF(Returns!$D$4:$D$494,"&lt;="&amp;F38)</f>
        <v>-0.0552754232662486</v>
      </c>
    </row>
    <row r="39" customFormat="false" ht="15" hidden="false" customHeight="false" outlineLevel="0" collapsed="false">
      <c r="B39" s="4" t="s">
        <v>83</v>
      </c>
      <c r="C39" s="30" t="n">
        <f aca="false">Optimization!F7</f>
        <v>0.111111111111111</v>
      </c>
      <c r="D39" s="26" t="n">
        <f aca="false">STDEV(Returns!$E$4:$E$494)</f>
        <v>0.0372415157004676</v>
      </c>
      <c r="E39" s="30" t="n">
        <f aca="false">D39*SQRT(Inputs!$C$8)</f>
        <v>0.591190733943267</v>
      </c>
      <c r="F39" s="26" t="n">
        <f aca="false">PERCENTILE(Returns!$E$4:$E$494,Inputs!$C$5)</f>
        <v>-0.0512366957809403</v>
      </c>
      <c r="G39" s="26" t="n">
        <f aca="false">AVERAGEIF(Returns!$E$4:$E$494,"&lt;="&amp;F39)</f>
        <v>-0.0899221454046985</v>
      </c>
    </row>
    <row r="40" customFormat="false" ht="15" hidden="false" customHeight="false" outlineLevel="0" collapsed="false">
      <c r="B40" s="4" t="s">
        <v>84</v>
      </c>
      <c r="C40" s="30" t="n">
        <f aca="false">Optimization!G7</f>
        <v>0.111111111111111</v>
      </c>
      <c r="D40" s="26" t="n">
        <f aca="false">STDEV(Returns!$F$4:$F$494)</f>
        <v>0.0441369923859064</v>
      </c>
      <c r="E40" s="30" t="n">
        <f aca="false">D40*SQRT(Inputs!$C$8)</f>
        <v>0.700653032828759</v>
      </c>
      <c r="F40" s="26" t="n">
        <f aca="false">PERCENTILE(Returns!$F$4:$F$494,Inputs!$C$5)</f>
        <v>-0.0519563183832019</v>
      </c>
      <c r="G40" s="26" t="n">
        <f aca="false">AVERAGEIF(Returns!$F$4:$F$494,"&lt;="&amp;F40)</f>
        <v>-0.101457791387967</v>
      </c>
    </row>
    <row r="41" customFormat="false" ht="15" hidden="false" customHeight="false" outlineLevel="0" collapsed="false">
      <c r="B41" s="4" t="s">
        <v>85</v>
      </c>
      <c r="C41" s="30" t="n">
        <f aca="false">Optimization!H7</f>
        <v>0.111111111111111</v>
      </c>
      <c r="D41" s="26" t="n">
        <f aca="false">STDEV(Returns!$G$4:$G$494)</f>
        <v>0.0335497169898152</v>
      </c>
      <c r="E41" s="30" t="n">
        <f aca="false">D41*SQRT(Inputs!$C$8)</f>
        <v>0.532585246269897</v>
      </c>
      <c r="F41" s="26" t="n">
        <f aca="false">PERCENTILE(Returns!$G$4:$G$494,Inputs!$C$5)</f>
        <v>-0.0422624703906346</v>
      </c>
      <c r="G41" s="26" t="n">
        <f aca="false">AVERAGEIF(Returns!$G$4:$G$494,"&lt;="&amp;F41)</f>
        <v>-0.0751698204045297</v>
      </c>
    </row>
    <row r="42" customFormat="false" ht="15" hidden="false" customHeight="false" outlineLevel="0" collapsed="false">
      <c r="B42" s="4" t="s">
        <v>86</v>
      </c>
      <c r="C42" s="30" t="n">
        <f aca="false">Optimization!I7</f>
        <v>0.111111111111111</v>
      </c>
      <c r="D42" s="26" t="n">
        <f aca="false">STDEV(Returns!$H$4:$H$494)</f>
        <v>0.0357368857010665</v>
      </c>
      <c r="E42" s="30" t="n">
        <f aca="false">D42*SQRT(Inputs!$C$8)</f>
        <v>0.567305473181773</v>
      </c>
      <c r="F42" s="26" t="n">
        <f aca="false">PERCENTILE(Returns!$H$4:$H$494,Inputs!$C$5)</f>
        <v>-0.0405970974372227</v>
      </c>
      <c r="G42" s="26" t="n">
        <f aca="false">AVERAGEIF(Returns!$H$4:$H$494,"&lt;="&amp;F42)</f>
        <v>-0.087928579796522</v>
      </c>
    </row>
    <row r="43" customFormat="false" ht="15" hidden="false" customHeight="false" outlineLevel="0" collapsed="false">
      <c r="B43" s="4" t="s">
        <v>87</v>
      </c>
      <c r="C43" s="30" t="n">
        <f aca="false">Optimization!J7</f>
        <v>0.111111111111111</v>
      </c>
      <c r="D43" s="26" t="n">
        <f aca="false">STDEV(Returns!$I$4:$I$494)</f>
        <v>0.0288716424143671</v>
      </c>
      <c r="E43" s="30" t="n">
        <f aca="false">D43*SQRT(Inputs!$C$8)</f>
        <v>0.458323114622399</v>
      </c>
      <c r="F43" s="26" t="n">
        <f aca="false">PERCENTILE(Returns!$I$4:$I$494,Inputs!$C$5)</f>
        <v>-0.0375836925727455</v>
      </c>
      <c r="G43" s="26" t="n">
        <f aca="false">AVERAGEIF(Returns!$I$4:$I$494,"&lt;="&amp;F43)</f>
        <v>-0.0662436470100477</v>
      </c>
    </row>
    <row r="44" customFormat="false" ht="15" hidden="false" customHeight="false" outlineLevel="0" collapsed="false">
      <c r="B44" s="4" t="s">
        <v>88</v>
      </c>
      <c r="C44" s="30" t="n">
        <f aca="false">Optimization!K7</f>
        <v>0.111111111111111</v>
      </c>
      <c r="D44" s="26" t="n">
        <f aca="false">STDEV(Returns!$J$4:$J$494)</f>
        <v>0.0285691646322218</v>
      </c>
      <c r="E44" s="30" t="n">
        <f aca="false">D44*SQRT(Inputs!$C$8)</f>
        <v>0.453521428690326</v>
      </c>
      <c r="F44" s="26" t="n">
        <f aca="false">PERCENTILE(Returns!$J$4:$J$494,Inputs!$C$5)</f>
        <v>-0.0340643818541586</v>
      </c>
      <c r="G44" s="26" t="n">
        <f aca="false">AVERAGEIF(Returns!$J$4:$J$494,"&lt;="&amp;F44)</f>
        <v>-0.05989628230757</v>
      </c>
    </row>
    <row r="45" customFormat="false" ht="15" hidden="false" customHeight="false" outlineLevel="0" collapsed="false">
      <c r="B45" s="14" t="s">
        <v>154</v>
      </c>
      <c r="D45" s="35" t="n">
        <f aca="false">AVERAGE(D36:D44)</f>
        <v>0.032435973171986</v>
      </c>
    </row>
    <row r="46" customFormat="false" ht="15" hidden="false" customHeight="false" outlineLevel="0" collapsed="false">
      <c r="B46" s="14" t="s">
        <v>155</v>
      </c>
      <c r="D46" s="35" t="n">
        <f aca="false">C5</f>
        <v>0.0236007398241233</v>
      </c>
    </row>
    <row r="47" customFormat="false" ht="15" hidden="false" customHeight="false" outlineLevel="0" collapsed="false">
      <c r="B47" s="4" t="s">
        <v>156</v>
      </c>
      <c r="D47" s="32" t="n">
        <f aca="false">D46/D45-1</f>
        <v>-0.272389957317309</v>
      </c>
    </row>
    <row r="49" customFormat="false" ht="15" hidden="false" customHeight="false" outlineLevel="0" collapsed="false">
      <c r="B49" s="12" t="s">
        <v>157</v>
      </c>
      <c r="C49" s="13"/>
      <c r="D49" s="13"/>
    </row>
    <row r="51" customFormat="false" ht="15" hidden="false" customHeight="false" outlineLevel="0" collapsed="false">
      <c r="B51" s="4" t="s">
        <v>158</v>
      </c>
      <c r="C51" s="26" t="n">
        <f aca="false">STDEV(Returns!$S$4:$S$494)</f>
        <v>0.034969344274079</v>
      </c>
    </row>
    <row r="52" customFormat="false" ht="15" hidden="false" customHeight="false" outlineLevel="0" collapsed="false">
      <c r="B52" s="4" t="s">
        <v>159</v>
      </c>
      <c r="C52" s="26" t="n">
        <f aca="false">PERCENTILE(Returns!$U$4:$U$494,Inputs!$C$5)</f>
        <v>-0.0250795223651747</v>
      </c>
    </row>
    <row r="53" customFormat="false" ht="15" hidden="false" customHeight="false" outlineLevel="0" collapsed="false">
      <c r="B53" s="4" t="s">
        <v>160</v>
      </c>
      <c r="C53" s="26" t="n">
        <f aca="false">AVERAGEIF(Returns!$U$4:$U$494,"&lt;="&amp;C52)</f>
        <v>-0.0586720575689107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B3" s="12" t="s">
        <v>163</v>
      </c>
    </row>
    <row r="4" customFormat="false" ht="33.75" hidden="false" customHeight="true" outlineLevel="0" collapsed="false"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</row>
    <row r="5" customFormat="false" ht="15" hidden="false" customHeight="false" outlineLevel="0" collapsed="false">
      <c r="B5" s="14" t="s">
        <v>80</v>
      </c>
      <c r="C5" s="36" t="n">
        <f aca="false">CORREL(Returns!$B$4:$B$494,Returns!$B$4:$B$494)</f>
        <v>1</v>
      </c>
      <c r="D5" s="36" t="n">
        <f aca="false">CORREL(Returns!$B$4:$B$494,Returns!$C$4:$C$494)</f>
        <v>0.515369656271524</v>
      </c>
      <c r="E5" s="36" t="n">
        <f aca="false">CORREL(Returns!$B$4:$B$494,Returns!$D$4:$D$494)</f>
        <v>0.267351868241974</v>
      </c>
      <c r="F5" s="36" t="n">
        <f aca="false">CORREL(Returns!$B$4:$B$494,Returns!$E$4:$E$494)</f>
        <v>0.60912983765333</v>
      </c>
      <c r="G5" s="36" t="n">
        <f aca="false">CORREL(Returns!$B$4:$B$494,Returns!$F$4:$F$494)</f>
        <v>0.419462426335059</v>
      </c>
      <c r="H5" s="36" t="n">
        <f aca="false">CORREL(Returns!$B$4:$B$494,Returns!$G$4:$G$494)</f>
        <v>0.573727088827252</v>
      </c>
      <c r="I5" s="36" t="n">
        <f aca="false">CORREL(Returns!$B$4:$B$494,Returns!$H$4:$H$494)</f>
        <v>0.46475221315092</v>
      </c>
      <c r="J5" s="36" t="n">
        <f aca="false">CORREL(Returns!$B$4:$B$494,Returns!$I$4:$I$494)</f>
        <v>0.587813745443537</v>
      </c>
      <c r="K5" s="36" t="n">
        <f aca="false">CORREL(Returns!$B$4:$B$494,Returns!$J$4:$J$494)</f>
        <v>0.366364252421468</v>
      </c>
    </row>
    <row r="6" customFormat="false" ht="15" hidden="false" customHeight="false" outlineLevel="0" collapsed="false">
      <c r="B6" s="14" t="s">
        <v>81</v>
      </c>
      <c r="C6" s="36" t="n">
        <f aca="false">CORREL(Returns!$C$4:$C$494,Returns!$B$4:$B$494)</f>
        <v>0.515369656271524</v>
      </c>
      <c r="D6" s="36" t="n">
        <f aca="false">CORREL(Returns!$C$4:$C$494,Returns!$C$4:$C$494)</f>
        <v>1</v>
      </c>
      <c r="E6" s="36" t="n">
        <f aca="false">CORREL(Returns!$C$4:$C$494,Returns!$D$4:$D$494)</f>
        <v>0.279602015268267</v>
      </c>
      <c r="F6" s="36" t="n">
        <f aca="false">CORREL(Returns!$C$4:$C$494,Returns!$E$4:$E$494)</f>
        <v>0.614778607880479</v>
      </c>
      <c r="G6" s="36" t="n">
        <f aca="false">CORREL(Returns!$C$4:$C$494,Returns!$F$4:$F$494)</f>
        <v>0.401074321966781</v>
      </c>
      <c r="H6" s="36" t="n">
        <f aca="false">CORREL(Returns!$C$4:$C$494,Returns!$G$4:$G$494)</f>
        <v>0.591271586025966</v>
      </c>
      <c r="I6" s="36" t="n">
        <f aca="false">CORREL(Returns!$C$4:$C$494,Returns!$H$4:$H$494)</f>
        <v>0.586539791455267</v>
      </c>
      <c r="J6" s="36" t="n">
        <f aca="false">CORREL(Returns!$C$4:$C$494,Returns!$I$4:$I$494)</f>
        <v>0.590379500525425</v>
      </c>
      <c r="K6" s="36" t="n">
        <f aca="false">CORREL(Returns!$C$4:$C$494,Returns!$J$4:$J$494)</f>
        <v>0.496535246658855</v>
      </c>
    </row>
    <row r="7" customFormat="false" ht="15" hidden="false" customHeight="false" outlineLevel="0" collapsed="false">
      <c r="B7" s="14" t="s">
        <v>82</v>
      </c>
      <c r="C7" s="36" t="n">
        <f aca="false">CORREL(Returns!$D$4:$D$494,Returns!$B$4:$B$494)</f>
        <v>0.267351868241974</v>
      </c>
      <c r="D7" s="36" t="n">
        <f aca="false">CORREL(Returns!$D$4:$D$494,Returns!$C$4:$C$494)</f>
        <v>0.279602015268267</v>
      </c>
      <c r="E7" s="36" t="n">
        <f aca="false">CORREL(Returns!$D$4:$D$494,Returns!$D$4:$D$494)</f>
        <v>1</v>
      </c>
      <c r="F7" s="36" t="n">
        <f aca="false">CORREL(Returns!$D$4:$D$494,Returns!$E$4:$E$494)</f>
        <v>0.241915237121711</v>
      </c>
      <c r="G7" s="36" t="n">
        <f aca="false">CORREL(Returns!$D$4:$D$494,Returns!$F$4:$F$494)</f>
        <v>0.265941608327123</v>
      </c>
      <c r="H7" s="36" t="n">
        <f aca="false">CORREL(Returns!$D$4:$D$494,Returns!$G$4:$G$494)</f>
        <v>0.299808584062613</v>
      </c>
      <c r="I7" s="36" t="n">
        <f aca="false">CORREL(Returns!$D$4:$D$494,Returns!$H$4:$H$494)</f>
        <v>0.350582105260711</v>
      </c>
      <c r="J7" s="36" t="n">
        <f aca="false">CORREL(Returns!$D$4:$D$494,Returns!$I$4:$I$494)</f>
        <v>0.329072639158241</v>
      </c>
      <c r="K7" s="36" t="n">
        <f aca="false">CORREL(Returns!$D$4:$D$494,Returns!$J$4:$J$494)</f>
        <v>0.37429531964195</v>
      </c>
    </row>
    <row r="8" customFormat="false" ht="15" hidden="false" customHeight="false" outlineLevel="0" collapsed="false">
      <c r="B8" s="14" t="s">
        <v>83</v>
      </c>
      <c r="C8" s="36" t="n">
        <f aca="false">CORREL(Returns!$E$4:$E$494,Returns!$B$4:$B$494)</f>
        <v>0.60912983765333</v>
      </c>
      <c r="D8" s="36" t="n">
        <f aca="false">CORREL(Returns!$E$4:$E$494,Returns!$C$4:$C$494)</f>
        <v>0.614778607880479</v>
      </c>
      <c r="E8" s="36" t="n">
        <f aca="false">CORREL(Returns!$E$4:$E$494,Returns!$D$4:$D$494)</f>
        <v>0.241915237121711</v>
      </c>
      <c r="F8" s="36" t="n">
        <f aca="false">CORREL(Returns!$E$4:$E$494,Returns!$E$4:$E$494)</f>
        <v>1</v>
      </c>
      <c r="G8" s="36" t="n">
        <f aca="false">CORREL(Returns!$E$4:$E$494,Returns!$F$4:$F$494)</f>
        <v>0.43966320858146</v>
      </c>
      <c r="H8" s="36" t="n">
        <f aca="false">CORREL(Returns!$E$4:$E$494,Returns!$G$4:$G$494)</f>
        <v>0.657677336994096</v>
      </c>
      <c r="I8" s="36" t="n">
        <f aca="false">CORREL(Returns!$E$4:$E$494,Returns!$H$4:$H$494)</f>
        <v>0.555831607181323</v>
      </c>
      <c r="J8" s="36" t="n">
        <f aca="false">CORREL(Returns!$E$4:$E$494,Returns!$I$4:$I$494)</f>
        <v>0.632891407399802</v>
      </c>
      <c r="K8" s="36" t="n">
        <f aca="false">CORREL(Returns!$E$4:$E$494,Returns!$J$4:$J$494)</f>
        <v>0.419288927002369</v>
      </c>
    </row>
    <row r="9" customFormat="false" ht="15" hidden="false" customHeight="false" outlineLevel="0" collapsed="false">
      <c r="B9" s="14" t="s">
        <v>84</v>
      </c>
      <c r="C9" s="36" t="n">
        <f aca="false">CORREL(Returns!$F$4:$F$494,Returns!$B$4:$B$494)</f>
        <v>0.419462426335059</v>
      </c>
      <c r="D9" s="36" t="n">
        <f aca="false">CORREL(Returns!$F$4:$F$494,Returns!$C$4:$C$494)</f>
        <v>0.401074321966781</v>
      </c>
      <c r="E9" s="36" t="n">
        <f aca="false">CORREL(Returns!$F$4:$F$494,Returns!$D$4:$D$494)</f>
        <v>0.265941608327123</v>
      </c>
      <c r="F9" s="36" t="n">
        <f aca="false">CORREL(Returns!$F$4:$F$494,Returns!$E$4:$E$494)</f>
        <v>0.43966320858146</v>
      </c>
      <c r="G9" s="36" t="n">
        <f aca="false">CORREL(Returns!$F$4:$F$494,Returns!$F$4:$F$494)</f>
        <v>1</v>
      </c>
      <c r="H9" s="36" t="n">
        <f aca="false">CORREL(Returns!$F$4:$F$494,Returns!$G$4:$G$494)</f>
        <v>0.426791419587417</v>
      </c>
      <c r="I9" s="36" t="n">
        <f aca="false">CORREL(Returns!$F$4:$F$494,Returns!$H$4:$H$494)</f>
        <v>0.351530642537918</v>
      </c>
      <c r="J9" s="36" t="n">
        <f aca="false">CORREL(Returns!$F$4:$F$494,Returns!$I$4:$I$494)</f>
        <v>0.460985750776216</v>
      </c>
      <c r="K9" s="36" t="n">
        <f aca="false">CORREL(Returns!$F$4:$F$494,Returns!$J$4:$J$494)</f>
        <v>0.298565585552599</v>
      </c>
    </row>
    <row r="10" customFormat="false" ht="15" hidden="false" customHeight="false" outlineLevel="0" collapsed="false">
      <c r="B10" s="14" t="s">
        <v>85</v>
      </c>
      <c r="C10" s="36" t="n">
        <f aca="false">CORREL(Returns!$G$4:$G$494,Returns!$B$4:$B$494)</f>
        <v>0.573727088827252</v>
      </c>
      <c r="D10" s="36" t="n">
        <f aca="false">CORREL(Returns!$G$4:$G$494,Returns!$C$4:$C$494)</f>
        <v>0.591271586025966</v>
      </c>
      <c r="E10" s="36" t="n">
        <f aca="false">CORREL(Returns!$G$4:$G$494,Returns!$D$4:$D$494)</f>
        <v>0.299808584062613</v>
      </c>
      <c r="F10" s="36" t="n">
        <f aca="false">CORREL(Returns!$G$4:$G$494,Returns!$E$4:$E$494)</f>
        <v>0.657677336994096</v>
      </c>
      <c r="G10" s="36" t="n">
        <f aca="false">CORREL(Returns!$G$4:$G$494,Returns!$F$4:$F$494)</f>
        <v>0.426791419587417</v>
      </c>
      <c r="H10" s="36" t="n">
        <f aca="false">CORREL(Returns!$G$4:$G$494,Returns!$G$4:$G$494)</f>
        <v>1</v>
      </c>
      <c r="I10" s="36" t="n">
        <f aca="false">CORREL(Returns!$G$4:$G$494,Returns!$H$4:$H$494)</f>
        <v>0.573844694217035</v>
      </c>
      <c r="J10" s="36" t="n">
        <f aca="false">CORREL(Returns!$G$4:$G$494,Returns!$I$4:$I$494)</f>
        <v>0.633996935903649</v>
      </c>
      <c r="K10" s="36" t="n">
        <f aca="false">CORREL(Returns!$G$4:$G$494,Returns!$J$4:$J$494)</f>
        <v>0.400763285897286</v>
      </c>
    </row>
    <row r="11" customFormat="false" ht="15" hidden="false" customHeight="false" outlineLevel="0" collapsed="false">
      <c r="B11" s="14" t="s">
        <v>86</v>
      </c>
      <c r="C11" s="36" t="n">
        <f aca="false">CORREL(Returns!$H$4:$H$494,Returns!$B$4:$B$494)</f>
        <v>0.46475221315092</v>
      </c>
      <c r="D11" s="36" t="n">
        <f aca="false">CORREL(Returns!$H$4:$H$494,Returns!$C$4:$C$494)</f>
        <v>0.586539791455267</v>
      </c>
      <c r="E11" s="36" t="n">
        <f aca="false">CORREL(Returns!$H$4:$H$494,Returns!$D$4:$D$494)</f>
        <v>0.350582105260711</v>
      </c>
      <c r="F11" s="36" t="n">
        <f aca="false">CORREL(Returns!$H$4:$H$494,Returns!$E$4:$E$494)</f>
        <v>0.555831607181323</v>
      </c>
      <c r="G11" s="36" t="n">
        <f aca="false">CORREL(Returns!$H$4:$H$494,Returns!$F$4:$F$494)</f>
        <v>0.351530642537918</v>
      </c>
      <c r="H11" s="36" t="n">
        <f aca="false">CORREL(Returns!$H$4:$H$494,Returns!$G$4:$G$494)</f>
        <v>0.573844694217035</v>
      </c>
      <c r="I11" s="36" t="n">
        <f aca="false">CORREL(Returns!$H$4:$H$494,Returns!$H$4:$H$494)</f>
        <v>1</v>
      </c>
      <c r="J11" s="36" t="n">
        <f aca="false">CORREL(Returns!$H$4:$H$494,Returns!$I$4:$I$494)</f>
        <v>0.572866588275488</v>
      </c>
      <c r="K11" s="36" t="n">
        <f aca="false">CORREL(Returns!$H$4:$H$494,Returns!$J$4:$J$494)</f>
        <v>0.626441892712189</v>
      </c>
    </row>
    <row r="12" customFormat="false" ht="15" hidden="false" customHeight="false" outlineLevel="0" collapsed="false">
      <c r="B12" s="14" t="s">
        <v>87</v>
      </c>
      <c r="C12" s="36" t="n">
        <f aca="false">CORREL(Returns!$I$4:$I$494,Returns!$B$4:$B$494)</f>
        <v>0.587813745443537</v>
      </c>
      <c r="D12" s="36" t="n">
        <f aca="false">CORREL(Returns!$I$4:$I$494,Returns!$C$4:$C$494)</f>
        <v>0.590379500525425</v>
      </c>
      <c r="E12" s="36" t="n">
        <f aca="false">CORREL(Returns!$I$4:$I$494,Returns!$D$4:$D$494)</f>
        <v>0.329072639158241</v>
      </c>
      <c r="F12" s="36" t="n">
        <f aca="false">CORREL(Returns!$I$4:$I$494,Returns!$E$4:$E$494)</f>
        <v>0.632891407399802</v>
      </c>
      <c r="G12" s="36" t="n">
        <f aca="false">CORREL(Returns!$I$4:$I$494,Returns!$F$4:$F$494)</f>
        <v>0.460985750776216</v>
      </c>
      <c r="H12" s="36" t="n">
        <f aca="false">CORREL(Returns!$I$4:$I$494,Returns!$G$4:$G$494)</f>
        <v>0.633996935903649</v>
      </c>
      <c r="I12" s="36" t="n">
        <f aca="false">CORREL(Returns!$I$4:$I$494,Returns!$H$4:$H$494)</f>
        <v>0.572866588275488</v>
      </c>
      <c r="J12" s="36" t="n">
        <f aca="false">CORREL(Returns!$I$4:$I$494,Returns!$I$4:$I$494)</f>
        <v>1</v>
      </c>
      <c r="K12" s="36" t="n">
        <f aca="false">CORREL(Returns!$I$4:$I$494,Returns!$J$4:$J$494)</f>
        <v>0.436629494820149</v>
      </c>
    </row>
    <row r="13" customFormat="false" ht="15" hidden="false" customHeight="false" outlineLevel="0" collapsed="false">
      <c r="B13" s="14" t="s">
        <v>88</v>
      </c>
      <c r="C13" s="36" t="n">
        <f aca="false">CORREL(Returns!$J$4:$J$494,Returns!$B$4:$B$494)</f>
        <v>0.366364252421468</v>
      </c>
      <c r="D13" s="36" t="n">
        <f aca="false">CORREL(Returns!$J$4:$J$494,Returns!$C$4:$C$494)</f>
        <v>0.496535246658855</v>
      </c>
      <c r="E13" s="36" t="n">
        <f aca="false">CORREL(Returns!$J$4:$J$494,Returns!$D$4:$D$494)</f>
        <v>0.37429531964195</v>
      </c>
      <c r="F13" s="36" t="n">
        <f aca="false">CORREL(Returns!$J$4:$J$494,Returns!$E$4:$E$494)</f>
        <v>0.419288927002369</v>
      </c>
      <c r="G13" s="36" t="n">
        <f aca="false">CORREL(Returns!$J$4:$J$494,Returns!$F$4:$F$494)</f>
        <v>0.298565585552599</v>
      </c>
      <c r="H13" s="36" t="n">
        <f aca="false">CORREL(Returns!$J$4:$J$494,Returns!$G$4:$G$494)</f>
        <v>0.400763285897286</v>
      </c>
      <c r="I13" s="36" t="n">
        <f aca="false">CORREL(Returns!$J$4:$J$494,Returns!$H$4:$H$494)</f>
        <v>0.626441892712189</v>
      </c>
      <c r="J13" s="36" t="n">
        <f aca="false">CORREL(Returns!$J$4:$J$494,Returns!$I$4:$I$494)</f>
        <v>0.436629494820149</v>
      </c>
      <c r="K13" s="36" t="n">
        <f aca="false">CORREL(Returns!$J$4:$J$494,Returns!$J$4:$J$494)</f>
        <v>1</v>
      </c>
    </row>
    <row r="14" customFormat="false" ht="15" hidden="false" customHeight="false" outlineLevel="0" collapsed="false">
      <c r="B14" s="14" t="s">
        <v>164</v>
      </c>
      <c r="C14" s="37" t="n">
        <f aca="false">(SUM(C5:K13)-9)/(9*(9-1))</f>
        <v>0.464264900809374</v>
      </c>
    </row>
    <row r="17" customFormat="false" ht="15" hidden="false" customHeight="false" outlineLevel="0" collapsed="false">
      <c r="B17" s="12" t="s">
        <v>165</v>
      </c>
    </row>
    <row r="18" customFormat="false" ht="33.75" hidden="false" customHeight="true" outlineLevel="0" collapsed="false">
      <c r="C18" s="3" t="s">
        <v>80</v>
      </c>
      <c r="D18" s="3" t="s">
        <v>81</v>
      </c>
      <c r="E18" s="3" t="s">
        <v>82</v>
      </c>
      <c r="F18" s="3" t="s">
        <v>83</v>
      </c>
      <c r="G18" s="3" t="s">
        <v>84</v>
      </c>
      <c r="H18" s="3" t="s">
        <v>85</v>
      </c>
      <c r="I18" s="3" t="s">
        <v>86</v>
      </c>
      <c r="J18" s="3" t="s">
        <v>87</v>
      </c>
      <c r="K18" s="3" t="s">
        <v>88</v>
      </c>
    </row>
    <row r="19" customFormat="false" ht="15" hidden="false" customHeight="false" outlineLevel="0" collapsed="false">
      <c r="B19" s="14" t="s">
        <v>80</v>
      </c>
      <c r="C19" s="36" t="n">
        <f aca="false">CORREL(Returns_Helper!$B$4:$B$494,Returns_Helper!$B$4:$B$494)</f>
        <v>1</v>
      </c>
      <c r="D19" s="36" t="n">
        <f aca="false">CORREL(Returns_Helper!$B$4:$B$494,Returns_Helper!$C$4:$C$494)</f>
        <v>0.333335593698983</v>
      </c>
      <c r="E19" s="36" t="n">
        <f aca="false">CORREL(Returns_Helper!$B$4:$B$494,Returns_Helper!$D$4:$D$494)</f>
        <v>0.0683601946726319</v>
      </c>
      <c r="F19" s="36" t="n">
        <f aca="false">CORREL(Returns_Helper!$B$4:$B$494,Returns_Helper!$E$4:$E$494)</f>
        <v>0.309566115607277</v>
      </c>
      <c r="G19" s="36" t="n">
        <f aca="false">CORREL(Returns_Helper!$B$4:$B$494,Returns_Helper!$F$4:$F$494)</f>
        <v>0.24296866761594</v>
      </c>
      <c r="H19" s="36" t="n">
        <f aca="false">CORREL(Returns_Helper!$B$4:$B$494,Returns_Helper!$G$4:$G$494)</f>
        <v>0.342689943454414</v>
      </c>
      <c r="I19" s="36" t="n">
        <f aca="false">CORREL(Returns_Helper!$B$4:$B$494,Returns_Helper!$H$4:$H$494)</f>
        <v>0.214663090703358</v>
      </c>
      <c r="J19" s="36" t="n">
        <f aca="false">CORREL(Returns_Helper!$B$4:$B$494,Returns_Helper!$I$4:$I$494)</f>
        <v>0.324375657082604</v>
      </c>
      <c r="K19" s="36" t="n">
        <f aca="false">CORREL(Returns_Helper!$B$4:$B$494,Returns_Helper!$J$4:$J$494)</f>
        <v>0.0812253507616728</v>
      </c>
    </row>
    <row r="20" customFormat="false" ht="15" hidden="false" customHeight="false" outlineLevel="0" collapsed="false">
      <c r="B20" s="14" t="s">
        <v>81</v>
      </c>
      <c r="C20" s="36" t="n">
        <f aca="false">CORREL(Returns_Helper!$C$4:$C$494,Returns_Helper!$B$4:$B$494)</f>
        <v>0.333335593698983</v>
      </c>
      <c r="D20" s="36" t="n">
        <f aca="false">CORREL(Returns_Helper!$C$4:$C$494,Returns_Helper!$C$4:$C$494)</f>
        <v>1</v>
      </c>
      <c r="E20" s="36" t="n">
        <f aca="false">CORREL(Returns_Helper!$C$4:$C$494,Returns_Helper!$D$4:$D$494)</f>
        <v>0.0547081703698842</v>
      </c>
      <c r="F20" s="36" t="n">
        <f aca="false">CORREL(Returns_Helper!$C$4:$C$494,Returns_Helper!$E$4:$E$494)</f>
        <v>0.446492102078666</v>
      </c>
      <c r="G20" s="36" t="n">
        <f aca="false">CORREL(Returns_Helper!$C$4:$C$494,Returns_Helper!$F$4:$F$494)</f>
        <v>0.167473229690168</v>
      </c>
      <c r="H20" s="36" t="n">
        <f aca="false">CORREL(Returns_Helper!$C$4:$C$494,Returns_Helper!$G$4:$G$494)</f>
        <v>0.384154269035384</v>
      </c>
      <c r="I20" s="36" t="n">
        <f aca="false">CORREL(Returns_Helper!$C$4:$C$494,Returns_Helper!$H$4:$H$494)</f>
        <v>0.319468331410469</v>
      </c>
      <c r="J20" s="36" t="n">
        <f aca="false">CORREL(Returns_Helper!$C$4:$C$494,Returns_Helper!$I$4:$I$494)</f>
        <v>0.372053444865089</v>
      </c>
      <c r="K20" s="36" t="n">
        <f aca="false">CORREL(Returns_Helper!$C$4:$C$494,Returns_Helper!$J$4:$J$494)</f>
        <v>0.196014480997651</v>
      </c>
    </row>
    <row r="21" customFormat="false" ht="15" hidden="false" customHeight="false" outlineLevel="0" collapsed="false">
      <c r="B21" s="14" t="s">
        <v>82</v>
      </c>
      <c r="C21" s="36" t="n">
        <f aca="false">CORREL(Returns_Helper!$D$4:$D$494,Returns_Helper!$B$4:$B$494)</f>
        <v>0.0683601946726319</v>
      </c>
      <c r="D21" s="36" t="n">
        <f aca="false">CORREL(Returns_Helper!$D$4:$D$494,Returns_Helper!$C$4:$C$494)</f>
        <v>0.0547081703698842</v>
      </c>
      <c r="E21" s="36" t="n">
        <f aca="false">CORREL(Returns_Helper!$D$4:$D$494,Returns_Helper!$D$4:$D$494)</f>
        <v>1</v>
      </c>
      <c r="F21" s="36" t="n">
        <f aca="false">CORREL(Returns_Helper!$D$4:$D$494,Returns_Helper!$E$4:$E$494)</f>
        <v>-0.00435964089170444</v>
      </c>
      <c r="G21" s="36" t="n">
        <f aca="false">CORREL(Returns_Helper!$D$4:$D$494,Returns_Helper!$F$4:$F$494)</f>
        <v>0.125514100502369</v>
      </c>
      <c r="H21" s="36" t="n">
        <f aca="false">CORREL(Returns_Helper!$D$4:$D$494,Returns_Helper!$G$4:$G$494)</f>
        <v>0.050302954105628</v>
      </c>
      <c r="I21" s="36" t="n">
        <f aca="false">CORREL(Returns_Helper!$D$4:$D$494,Returns_Helper!$H$4:$H$494)</f>
        <v>0.071938523935074</v>
      </c>
      <c r="J21" s="36" t="n">
        <f aca="false">CORREL(Returns_Helper!$D$4:$D$494,Returns_Helper!$I$4:$I$494)</f>
        <v>0.113409020222499</v>
      </c>
      <c r="K21" s="36" t="n">
        <f aca="false">CORREL(Returns_Helper!$D$4:$D$494,Returns_Helper!$J$4:$J$494)</f>
        <v>0.265202406504205</v>
      </c>
    </row>
    <row r="22" customFormat="false" ht="15" hidden="false" customHeight="false" outlineLevel="0" collapsed="false">
      <c r="B22" s="14" t="s">
        <v>83</v>
      </c>
      <c r="C22" s="36" t="n">
        <f aca="false">CORREL(Returns_Helper!$E$4:$E$494,Returns_Helper!$B$4:$B$494)</f>
        <v>0.309566115607277</v>
      </c>
      <c r="D22" s="36" t="n">
        <f aca="false">CORREL(Returns_Helper!$E$4:$E$494,Returns_Helper!$C$4:$C$494)</f>
        <v>0.446492102078666</v>
      </c>
      <c r="E22" s="36" t="n">
        <f aca="false">CORREL(Returns_Helper!$E$4:$E$494,Returns_Helper!$D$4:$D$494)</f>
        <v>-0.00435964089170444</v>
      </c>
      <c r="F22" s="36" t="n">
        <f aca="false">CORREL(Returns_Helper!$E$4:$E$494,Returns_Helper!$E$4:$E$494)</f>
        <v>1</v>
      </c>
      <c r="G22" s="36" t="n">
        <f aca="false">CORREL(Returns_Helper!$E$4:$E$494,Returns_Helper!$F$4:$F$494)</f>
        <v>0.234357895624131</v>
      </c>
      <c r="H22" s="36" t="n">
        <f aca="false">CORREL(Returns_Helper!$E$4:$E$494,Returns_Helper!$G$4:$G$494)</f>
        <v>0.428992889337077</v>
      </c>
      <c r="I22" s="36" t="n">
        <f aca="false">CORREL(Returns_Helper!$E$4:$E$494,Returns_Helper!$H$4:$H$494)</f>
        <v>0.342715865885513</v>
      </c>
      <c r="J22" s="36" t="n">
        <f aca="false">CORREL(Returns_Helper!$E$4:$E$494,Returns_Helper!$I$4:$I$494)</f>
        <v>0.332359426281947</v>
      </c>
      <c r="K22" s="36" t="n">
        <f aca="false">CORREL(Returns_Helper!$E$4:$E$494,Returns_Helper!$J$4:$J$494)</f>
        <v>0.188718102032355</v>
      </c>
    </row>
    <row r="23" customFormat="false" ht="15" hidden="false" customHeight="false" outlineLevel="0" collapsed="false">
      <c r="B23" s="14" t="s">
        <v>84</v>
      </c>
      <c r="C23" s="36" t="n">
        <f aca="false">CORREL(Returns_Helper!$F$4:$F$494,Returns_Helper!$B$4:$B$494)</f>
        <v>0.24296866761594</v>
      </c>
      <c r="D23" s="36" t="n">
        <f aca="false">CORREL(Returns_Helper!$F$4:$F$494,Returns_Helper!$C$4:$C$494)</f>
        <v>0.167473229690168</v>
      </c>
      <c r="E23" s="36" t="n">
        <f aca="false">CORREL(Returns_Helper!$F$4:$F$494,Returns_Helper!$D$4:$D$494)</f>
        <v>0.125514100502369</v>
      </c>
      <c r="F23" s="36" t="n">
        <f aca="false">CORREL(Returns_Helper!$F$4:$F$494,Returns_Helper!$E$4:$E$494)</f>
        <v>0.234357895624131</v>
      </c>
      <c r="G23" s="36" t="n">
        <f aca="false">CORREL(Returns_Helper!$F$4:$F$494,Returns_Helper!$F$4:$F$494)</f>
        <v>1</v>
      </c>
      <c r="H23" s="36" t="n">
        <f aca="false">CORREL(Returns_Helper!$F$4:$F$494,Returns_Helper!$G$4:$G$494)</f>
        <v>0.25324335086505</v>
      </c>
      <c r="I23" s="36" t="n">
        <f aca="false">CORREL(Returns_Helper!$F$4:$F$494,Returns_Helper!$H$4:$H$494)</f>
        <v>0.0784800899413425</v>
      </c>
      <c r="J23" s="36" t="n">
        <f aca="false">CORREL(Returns_Helper!$F$4:$F$494,Returns_Helper!$I$4:$I$494)</f>
        <v>0.24055805988658</v>
      </c>
      <c r="K23" s="36" t="n">
        <f aca="false">CORREL(Returns_Helper!$F$4:$F$494,Returns_Helper!$J$4:$J$494)</f>
        <v>0.0391416181154199</v>
      </c>
    </row>
    <row r="24" customFormat="false" ht="15" hidden="false" customHeight="false" outlineLevel="0" collapsed="false">
      <c r="B24" s="14" t="s">
        <v>85</v>
      </c>
      <c r="C24" s="36" t="n">
        <f aca="false">CORREL(Returns_Helper!$G$4:$G$494,Returns_Helper!$B$4:$B$494)</f>
        <v>0.342689943454414</v>
      </c>
      <c r="D24" s="36" t="n">
        <f aca="false">CORREL(Returns_Helper!$G$4:$G$494,Returns_Helper!$C$4:$C$494)</f>
        <v>0.384154269035384</v>
      </c>
      <c r="E24" s="36" t="n">
        <f aca="false">CORREL(Returns_Helper!$G$4:$G$494,Returns_Helper!$D$4:$D$494)</f>
        <v>0.050302954105628</v>
      </c>
      <c r="F24" s="36" t="n">
        <f aca="false">CORREL(Returns_Helper!$G$4:$G$494,Returns_Helper!$E$4:$E$494)</f>
        <v>0.428992889337077</v>
      </c>
      <c r="G24" s="36" t="n">
        <f aca="false">CORREL(Returns_Helper!$G$4:$G$494,Returns_Helper!$F$4:$F$494)</f>
        <v>0.25324335086505</v>
      </c>
      <c r="H24" s="36" t="n">
        <f aca="false">CORREL(Returns_Helper!$G$4:$G$494,Returns_Helper!$G$4:$G$494)</f>
        <v>1</v>
      </c>
      <c r="I24" s="36" t="n">
        <f aca="false">CORREL(Returns_Helper!$G$4:$G$494,Returns_Helper!$H$4:$H$494)</f>
        <v>0.38458507570049</v>
      </c>
      <c r="J24" s="36" t="n">
        <f aca="false">CORREL(Returns_Helper!$G$4:$G$494,Returns_Helper!$I$4:$I$494)</f>
        <v>0.420071705613232</v>
      </c>
      <c r="K24" s="36" t="n">
        <f aca="false">CORREL(Returns_Helper!$G$4:$G$494,Returns_Helper!$J$4:$J$494)</f>
        <v>0.171561123120686</v>
      </c>
    </row>
    <row r="25" customFormat="false" ht="15" hidden="false" customHeight="false" outlineLevel="0" collapsed="false">
      <c r="B25" s="14" t="s">
        <v>86</v>
      </c>
      <c r="C25" s="36" t="n">
        <f aca="false">CORREL(Returns_Helper!$H$4:$H$494,Returns_Helper!$B$4:$B$494)</f>
        <v>0.214663090703358</v>
      </c>
      <c r="D25" s="36" t="n">
        <f aca="false">CORREL(Returns_Helper!$H$4:$H$494,Returns_Helper!$C$4:$C$494)</f>
        <v>0.319468331410469</v>
      </c>
      <c r="E25" s="36" t="n">
        <f aca="false">CORREL(Returns_Helper!$H$4:$H$494,Returns_Helper!$D$4:$D$494)</f>
        <v>0.071938523935074</v>
      </c>
      <c r="F25" s="36" t="n">
        <f aca="false">CORREL(Returns_Helper!$H$4:$H$494,Returns_Helper!$E$4:$E$494)</f>
        <v>0.342715865885513</v>
      </c>
      <c r="G25" s="36" t="n">
        <f aca="false">CORREL(Returns_Helper!$H$4:$H$494,Returns_Helper!$F$4:$F$494)</f>
        <v>0.0784800899413425</v>
      </c>
      <c r="H25" s="36" t="n">
        <f aca="false">CORREL(Returns_Helper!$H$4:$H$494,Returns_Helper!$G$4:$G$494)</f>
        <v>0.38458507570049</v>
      </c>
      <c r="I25" s="36" t="n">
        <f aca="false">CORREL(Returns_Helper!$H$4:$H$494,Returns_Helper!$H$4:$H$494)</f>
        <v>1</v>
      </c>
      <c r="J25" s="36" t="n">
        <f aca="false">CORREL(Returns_Helper!$H$4:$H$494,Returns_Helper!$I$4:$I$494)</f>
        <v>0.283971466303007</v>
      </c>
      <c r="K25" s="36" t="n">
        <f aca="false">CORREL(Returns_Helper!$H$4:$H$494,Returns_Helper!$J$4:$J$494)</f>
        <v>0.372696087853726</v>
      </c>
    </row>
    <row r="26" customFormat="false" ht="15" hidden="false" customHeight="false" outlineLevel="0" collapsed="false">
      <c r="B26" s="14" t="s">
        <v>87</v>
      </c>
      <c r="C26" s="36" t="n">
        <f aca="false">CORREL(Returns_Helper!$I$4:$I$494,Returns_Helper!$B$4:$B$494)</f>
        <v>0.324375657082604</v>
      </c>
      <c r="D26" s="36" t="n">
        <f aca="false">CORREL(Returns_Helper!$I$4:$I$494,Returns_Helper!$C$4:$C$494)</f>
        <v>0.372053444865089</v>
      </c>
      <c r="E26" s="36" t="n">
        <f aca="false">CORREL(Returns_Helper!$I$4:$I$494,Returns_Helper!$D$4:$D$494)</f>
        <v>0.113409020222499</v>
      </c>
      <c r="F26" s="36" t="n">
        <f aca="false">CORREL(Returns_Helper!$I$4:$I$494,Returns_Helper!$E$4:$E$494)</f>
        <v>0.332359426281947</v>
      </c>
      <c r="G26" s="36" t="n">
        <f aca="false">CORREL(Returns_Helper!$I$4:$I$494,Returns_Helper!$F$4:$F$494)</f>
        <v>0.24055805988658</v>
      </c>
      <c r="H26" s="36" t="n">
        <f aca="false">CORREL(Returns_Helper!$I$4:$I$494,Returns_Helper!$G$4:$G$494)</f>
        <v>0.420071705613232</v>
      </c>
      <c r="I26" s="36" t="n">
        <f aca="false">CORREL(Returns_Helper!$I$4:$I$494,Returns_Helper!$H$4:$H$494)</f>
        <v>0.283971466303007</v>
      </c>
      <c r="J26" s="36" t="n">
        <f aca="false">CORREL(Returns_Helper!$I$4:$I$494,Returns_Helper!$I$4:$I$494)</f>
        <v>1</v>
      </c>
      <c r="K26" s="36" t="n">
        <f aca="false">CORREL(Returns_Helper!$I$4:$I$494,Returns_Helper!$J$4:$J$494)</f>
        <v>0.125111106163972</v>
      </c>
    </row>
    <row r="27" customFormat="false" ht="15" hidden="false" customHeight="false" outlineLevel="0" collapsed="false">
      <c r="B27" s="14" t="s">
        <v>88</v>
      </c>
      <c r="C27" s="36" t="n">
        <f aca="false">CORREL(Returns_Helper!$J$4:$J$494,Returns_Helper!$B$4:$B$494)</f>
        <v>0.0812253507616728</v>
      </c>
      <c r="D27" s="36" t="n">
        <f aca="false">CORREL(Returns_Helper!$J$4:$J$494,Returns_Helper!$C$4:$C$494)</f>
        <v>0.196014480997651</v>
      </c>
      <c r="E27" s="36" t="n">
        <f aca="false">CORREL(Returns_Helper!$J$4:$J$494,Returns_Helper!$D$4:$D$494)</f>
        <v>0.265202406504205</v>
      </c>
      <c r="F27" s="36" t="n">
        <f aca="false">CORREL(Returns_Helper!$J$4:$J$494,Returns_Helper!$E$4:$E$494)</f>
        <v>0.188718102032355</v>
      </c>
      <c r="G27" s="36" t="n">
        <f aca="false">CORREL(Returns_Helper!$J$4:$J$494,Returns_Helper!$F$4:$F$494)</f>
        <v>0.0391416181154199</v>
      </c>
      <c r="H27" s="36" t="n">
        <f aca="false">CORREL(Returns_Helper!$J$4:$J$494,Returns_Helper!$G$4:$G$494)</f>
        <v>0.171561123120686</v>
      </c>
      <c r="I27" s="36" t="n">
        <f aca="false">CORREL(Returns_Helper!$J$4:$J$494,Returns_Helper!$H$4:$H$494)</f>
        <v>0.372696087853726</v>
      </c>
      <c r="J27" s="36" t="n">
        <f aca="false">CORREL(Returns_Helper!$J$4:$J$494,Returns_Helper!$I$4:$I$494)</f>
        <v>0.125111106163972</v>
      </c>
      <c r="K27" s="36" t="n">
        <f aca="false">CORREL(Returns_Helper!$J$4:$J$494,Returns_Helper!$J$4:$J$494)</f>
        <v>1</v>
      </c>
    </row>
    <row r="28" customFormat="false" ht="15" hidden="false" customHeight="false" outlineLevel="0" collapsed="false">
      <c r="B28" s="14" t="s">
        <v>164</v>
      </c>
      <c r="C28" s="37" t="n">
        <f aca="false">(SUM(C19:K27)-9)/(9*(9-1))</f>
        <v>0.232669996365189</v>
      </c>
    </row>
    <row r="31" customFormat="false" ht="15" hidden="false" customHeight="false" outlineLevel="0" collapsed="false">
      <c r="B31" s="12" t="s">
        <v>166</v>
      </c>
    </row>
    <row r="32" customFormat="false" ht="33.75" hidden="false" customHeight="true" outlineLevel="0" collapsed="false">
      <c r="C32" s="3" t="s">
        <v>80</v>
      </c>
      <c r="D32" s="3" t="s">
        <v>81</v>
      </c>
      <c r="E32" s="3" t="s">
        <v>82</v>
      </c>
      <c r="F32" s="3" t="s">
        <v>83</v>
      </c>
      <c r="G32" s="3" t="s">
        <v>84</v>
      </c>
      <c r="H32" s="3" t="s">
        <v>85</v>
      </c>
      <c r="I32" s="3" t="s">
        <v>86</v>
      </c>
      <c r="J32" s="3" t="s">
        <v>87</v>
      </c>
      <c r="K32" s="3" t="s">
        <v>88</v>
      </c>
    </row>
    <row r="33" customFormat="false" ht="15" hidden="false" customHeight="false" outlineLevel="0" collapsed="false">
      <c r="B33" s="14" t="s">
        <v>80</v>
      </c>
      <c r="C33" s="36" t="n">
        <f aca="false">CORREL(Returns_Helper!$K$4:$K$494,Returns_Helper!$K$4:$K$494)</f>
        <v>1</v>
      </c>
      <c r="D33" s="36" t="n">
        <f aca="false">CORREL(Returns_Helper!$K$4:$K$494,Returns_Helper!$L$4:$L$494)</f>
        <v>0.719241080938826</v>
      </c>
      <c r="E33" s="36" t="n">
        <f aca="false">CORREL(Returns_Helper!$K$4:$K$494,Returns_Helper!$M$4:$M$494)</f>
        <v>0.503850011015068</v>
      </c>
      <c r="F33" s="36" t="n">
        <f aca="false">CORREL(Returns_Helper!$K$4:$K$494,Returns_Helper!$N$4:$N$494)</f>
        <v>0.879541213039508</v>
      </c>
      <c r="G33" s="36" t="n">
        <f aca="false">CORREL(Returns_Helper!$K$4:$K$494,Returns_Helper!$O$4:$O$494)</f>
        <v>0.753461945003227</v>
      </c>
      <c r="H33" s="36" t="n">
        <f aca="false">CORREL(Returns_Helper!$K$4:$K$494,Returns_Helper!$P$4:$P$494)</f>
        <v>0.819447751950303</v>
      </c>
      <c r="I33" s="36" t="n">
        <f aca="false">CORREL(Returns_Helper!$K$4:$K$494,Returns_Helper!$Q$4:$Q$494)</f>
        <v>0.697179441756975</v>
      </c>
      <c r="J33" s="36" t="n">
        <f aca="false">CORREL(Returns_Helper!$K$4:$K$494,Returns_Helper!$R$4:$R$494)</f>
        <v>0.84590939066207</v>
      </c>
      <c r="K33" s="36" t="n">
        <f aca="false">CORREL(Returns_Helper!$K$4:$K$494,Returns_Helper!$S$4:$S$494)</f>
        <v>0.64689205518798</v>
      </c>
    </row>
    <row r="34" customFormat="false" ht="15" hidden="false" customHeight="false" outlineLevel="0" collapsed="false">
      <c r="B34" s="14" t="s">
        <v>81</v>
      </c>
      <c r="C34" s="36" t="n">
        <f aca="false">CORREL(Returns_Helper!$L$4:$L$494,Returns_Helper!$K$4:$K$494)</f>
        <v>0.719241080938826</v>
      </c>
      <c r="D34" s="36" t="n">
        <f aca="false">CORREL(Returns_Helper!$L$4:$L$494,Returns_Helper!$L$4:$L$494)</f>
        <v>1</v>
      </c>
      <c r="E34" s="36" t="n">
        <f aca="false">CORREL(Returns_Helper!$L$4:$L$494,Returns_Helper!$M$4:$M$494)</f>
        <v>0.556345613305227</v>
      </c>
      <c r="F34" s="36" t="n">
        <f aca="false">CORREL(Returns_Helper!$L$4:$L$494,Returns_Helper!$N$4:$N$494)</f>
        <v>0.774671334581829</v>
      </c>
      <c r="G34" s="36" t="n">
        <f aca="false">CORREL(Returns_Helper!$L$4:$L$494,Returns_Helper!$O$4:$O$494)</f>
        <v>0.833320139406475</v>
      </c>
      <c r="H34" s="36" t="n">
        <f aca="false">CORREL(Returns_Helper!$L$4:$L$494,Returns_Helper!$P$4:$P$494)</f>
        <v>0.818914856059684</v>
      </c>
      <c r="I34" s="36" t="n">
        <f aca="false">CORREL(Returns_Helper!$L$4:$L$494,Returns_Helper!$Q$4:$Q$494)</f>
        <v>0.846707337897822</v>
      </c>
      <c r="J34" s="36" t="n">
        <f aca="false">CORREL(Returns_Helper!$L$4:$L$494,Returns_Helper!$R$4:$R$494)</f>
        <v>0.810265523222954</v>
      </c>
      <c r="K34" s="36" t="n">
        <f aca="false">CORREL(Returns_Helper!$L$4:$L$494,Returns_Helper!$S$4:$S$494)</f>
        <v>0.801548625934735</v>
      </c>
    </row>
    <row r="35" customFormat="false" ht="15" hidden="false" customHeight="false" outlineLevel="0" collapsed="false">
      <c r="B35" s="14" t="s">
        <v>82</v>
      </c>
      <c r="C35" s="36" t="n">
        <f aca="false">CORREL(Returns_Helper!$M$4:$M$494,Returns_Helper!$K$4:$K$494)</f>
        <v>0.503850011015068</v>
      </c>
      <c r="D35" s="36" t="n">
        <f aca="false">CORREL(Returns_Helper!$M$4:$M$494,Returns_Helper!$L$4:$L$494)</f>
        <v>0.556345613305227</v>
      </c>
      <c r="E35" s="36" t="n">
        <f aca="false">CORREL(Returns_Helper!$M$4:$M$494,Returns_Helper!$M$4:$M$494)</f>
        <v>1</v>
      </c>
      <c r="F35" s="36" t="n">
        <f aca="false">CORREL(Returns_Helper!$M$4:$M$494,Returns_Helper!$N$4:$N$494)</f>
        <v>0.482129285766569</v>
      </c>
      <c r="G35" s="36" t="n">
        <f aca="false">CORREL(Returns_Helper!$M$4:$M$494,Returns_Helper!$O$4:$O$494)</f>
        <v>0.54021552486294</v>
      </c>
      <c r="H35" s="36" t="n">
        <f aca="false">CORREL(Returns_Helper!$M$4:$M$494,Returns_Helper!$P$4:$P$494)</f>
        <v>0.591668024527692</v>
      </c>
      <c r="I35" s="36" t="n">
        <f aca="false">CORREL(Returns_Helper!$M$4:$M$494,Returns_Helper!$Q$4:$Q$494)</f>
        <v>0.638820305441754</v>
      </c>
      <c r="J35" s="36" t="n">
        <f aca="false">CORREL(Returns_Helper!$M$4:$M$494,Returns_Helper!$R$4:$R$494)</f>
        <v>0.559959942320408</v>
      </c>
      <c r="K35" s="36" t="n">
        <f aca="false">CORREL(Returns_Helper!$M$4:$M$494,Returns_Helper!$S$4:$S$494)</f>
        <v>0.494020279609959</v>
      </c>
    </row>
    <row r="36" customFormat="false" ht="15" hidden="false" customHeight="false" outlineLevel="0" collapsed="false">
      <c r="B36" s="14" t="s">
        <v>83</v>
      </c>
      <c r="C36" s="36" t="n">
        <f aca="false">CORREL(Returns_Helper!$N$4:$N$494,Returns_Helper!$K$4:$K$494)</f>
        <v>0.879541213039508</v>
      </c>
      <c r="D36" s="36" t="n">
        <f aca="false">CORREL(Returns_Helper!$N$4:$N$494,Returns_Helper!$L$4:$L$494)</f>
        <v>0.774671334581829</v>
      </c>
      <c r="E36" s="36" t="n">
        <f aca="false">CORREL(Returns_Helper!$N$4:$N$494,Returns_Helper!$M$4:$M$494)</f>
        <v>0.482129285766569</v>
      </c>
      <c r="F36" s="36" t="n">
        <f aca="false">CORREL(Returns_Helper!$N$4:$N$494,Returns_Helper!$N$4:$N$494)</f>
        <v>1</v>
      </c>
      <c r="G36" s="36" t="n">
        <f aca="false">CORREL(Returns_Helper!$N$4:$N$494,Returns_Helper!$O$4:$O$494)</f>
        <v>0.776469804778887</v>
      </c>
      <c r="H36" s="36" t="n">
        <f aca="false">CORREL(Returns_Helper!$N$4:$N$494,Returns_Helper!$P$4:$P$494)</f>
        <v>0.858792763822754</v>
      </c>
      <c r="I36" s="36" t="n">
        <f aca="false">CORREL(Returns_Helper!$N$4:$N$494,Returns_Helper!$Q$4:$Q$494)</f>
        <v>0.712583794242155</v>
      </c>
      <c r="J36" s="36" t="n">
        <f aca="false">CORREL(Returns_Helper!$N$4:$N$494,Returns_Helper!$R$4:$R$494)</f>
        <v>0.8655646868651</v>
      </c>
      <c r="K36" s="36" t="n">
        <f aca="false">CORREL(Returns_Helper!$N$4:$N$494,Returns_Helper!$S$4:$S$494)</f>
        <v>0.599403058986511</v>
      </c>
    </row>
    <row r="37" customFormat="false" ht="15" hidden="false" customHeight="false" outlineLevel="0" collapsed="false">
      <c r="B37" s="14" t="s">
        <v>84</v>
      </c>
      <c r="C37" s="36" t="n">
        <f aca="false">CORREL(Returns_Helper!$O$4:$O$494,Returns_Helper!$K$4:$K$494)</f>
        <v>0.753461945003227</v>
      </c>
      <c r="D37" s="36" t="n">
        <f aca="false">CORREL(Returns_Helper!$O$4:$O$494,Returns_Helper!$L$4:$L$494)</f>
        <v>0.833320139406475</v>
      </c>
      <c r="E37" s="36" t="n">
        <f aca="false">CORREL(Returns_Helper!$O$4:$O$494,Returns_Helper!$M$4:$M$494)</f>
        <v>0.54021552486294</v>
      </c>
      <c r="F37" s="36" t="n">
        <f aca="false">CORREL(Returns_Helper!$O$4:$O$494,Returns_Helper!$N$4:$N$494)</f>
        <v>0.776469804778887</v>
      </c>
      <c r="G37" s="36" t="n">
        <f aca="false">CORREL(Returns_Helper!$O$4:$O$494,Returns_Helper!$O$4:$O$494)</f>
        <v>1</v>
      </c>
      <c r="H37" s="36" t="n">
        <f aca="false">CORREL(Returns_Helper!$O$4:$O$494,Returns_Helper!$P$4:$P$494)</f>
        <v>0.748035642450978</v>
      </c>
      <c r="I37" s="36" t="n">
        <f aca="false">CORREL(Returns_Helper!$O$4:$O$494,Returns_Helper!$Q$4:$Q$494)</f>
        <v>0.786285617308675</v>
      </c>
      <c r="J37" s="36" t="n">
        <f aca="false">CORREL(Returns_Helper!$O$4:$O$494,Returns_Helper!$R$4:$R$494)</f>
        <v>0.835223882542271</v>
      </c>
      <c r="K37" s="36" t="n">
        <f aca="false">CORREL(Returns_Helper!$O$4:$O$494,Returns_Helper!$S$4:$S$494)</f>
        <v>0.718445801938773</v>
      </c>
    </row>
    <row r="38" customFormat="false" ht="15" hidden="false" customHeight="false" outlineLevel="0" collapsed="false">
      <c r="B38" s="14" t="s">
        <v>85</v>
      </c>
      <c r="C38" s="36" t="n">
        <f aca="false">CORREL(Returns_Helper!$P$4:$P$494,Returns_Helper!$K$4:$K$494)</f>
        <v>0.819447751950303</v>
      </c>
      <c r="D38" s="36" t="n">
        <f aca="false">CORREL(Returns_Helper!$P$4:$P$494,Returns_Helper!$L$4:$L$494)</f>
        <v>0.818914856059684</v>
      </c>
      <c r="E38" s="36" t="n">
        <f aca="false">CORREL(Returns_Helper!$P$4:$P$494,Returns_Helper!$M$4:$M$494)</f>
        <v>0.591668024527692</v>
      </c>
      <c r="F38" s="36" t="n">
        <f aca="false">CORREL(Returns_Helper!$P$4:$P$494,Returns_Helper!$N$4:$N$494)</f>
        <v>0.858792763822754</v>
      </c>
      <c r="G38" s="36" t="n">
        <f aca="false">CORREL(Returns_Helper!$P$4:$P$494,Returns_Helper!$O$4:$O$494)</f>
        <v>0.748035642450978</v>
      </c>
      <c r="H38" s="36" t="n">
        <f aca="false">CORREL(Returns_Helper!$P$4:$P$494,Returns_Helper!$P$4:$P$494)</f>
        <v>1</v>
      </c>
      <c r="I38" s="36" t="n">
        <f aca="false">CORREL(Returns_Helper!$P$4:$P$494,Returns_Helper!$Q$4:$Q$494)</f>
        <v>0.745886004937812</v>
      </c>
      <c r="J38" s="36" t="n">
        <f aca="false">CORREL(Returns_Helper!$P$4:$P$494,Returns_Helper!$R$4:$R$494)</f>
        <v>0.837118255197031</v>
      </c>
      <c r="K38" s="36" t="n">
        <f aca="false">CORREL(Returns_Helper!$P$4:$P$494,Returns_Helper!$S$4:$S$494)</f>
        <v>0.61953554864302</v>
      </c>
    </row>
    <row r="39" customFormat="false" ht="15" hidden="false" customHeight="false" outlineLevel="0" collapsed="false">
      <c r="B39" s="14" t="s">
        <v>86</v>
      </c>
      <c r="C39" s="36" t="n">
        <f aca="false">CORREL(Returns_Helper!$Q$4:$Q$494,Returns_Helper!$K$4:$K$494)</f>
        <v>0.697179441756975</v>
      </c>
      <c r="D39" s="36" t="n">
        <f aca="false">CORREL(Returns_Helper!$Q$4:$Q$494,Returns_Helper!$L$4:$L$494)</f>
        <v>0.846707337897822</v>
      </c>
      <c r="E39" s="36" t="n">
        <f aca="false">CORREL(Returns_Helper!$Q$4:$Q$494,Returns_Helper!$M$4:$M$494)</f>
        <v>0.638820305441754</v>
      </c>
      <c r="F39" s="36" t="n">
        <f aca="false">CORREL(Returns_Helper!$Q$4:$Q$494,Returns_Helper!$N$4:$N$494)</f>
        <v>0.712583794242155</v>
      </c>
      <c r="G39" s="36" t="n">
        <f aca="false">CORREL(Returns_Helper!$Q$4:$Q$494,Returns_Helper!$O$4:$O$494)</f>
        <v>0.786285617308675</v>
      </c>
      <c r="H39" s="36" t="n">
        <f aca="false">CORREL(Returns_Helper!$Q$4:$Q$494,Returns_Helper!$P$4:$P$494)</f>
        <v>0.745886004937812</v>
      </c>
      <c r="I39" s="36" t="n">
        <f aca="false">CORREL(Returns_Helper!$Q$4:$Q$494,Returns_Helper!$Q$4:$Q$494)</f>
        <v>1</v>
      </c>
      <c r="J39" s="36" t="n">
        <f aca="false">CORREL(Returns_Helper!$Q$4:$Q$494,Returns_Helper!$R$4:$R$494)</f>
        <v>0.80884740682308</v>
      </c>
      <c r="K39" s="36" t="n">
        <f aca="false">CORREL(Returns_Helper!$Q$4:$Q$494,Returns_Helper!$S$4:$S$494)</f>
        <v>0.837491853579024</v>
      </c>
    </row>
    <row r="40" customFormat="false" ht="15" hidden="false" customHeight="false" outlineLevel="0" collapsed="false">
      <c r="B40" s="14" t="s">
        <v>87</v>
      </c>
      <c r="C40" s="36" t="n">
        <f aca="false">CORREL(Returns_Helper!$R$4:$R$494,Returns_Helper!$K$4:$K$494)</f>
        <v>0.84590939066207</v>
      </c>
      <c r="D40" s="36" t="n">
        <f aca="false">CORREL(Returns_Helper!$R$4:$R$494,Returns_Helper!$L$4:$L$494)</f>
        <v>0.810265523222954</v>
      </c>
      <c r="E40" s="36" t="n">
        <f aca="false">CORREL(Returns_Helper!$R$4:$R$494,Returns_Helper!$M$4:$M$494)</f>
        <v>0.559959942320408</v>
      </c>
      <c r="F40" s="36" t="n">
        <f aca="false">CORREL(Returns_Helper!$R$4:$R$494,Returns_Helper!$N$4:$N$494)</f>
        <v>0.8655646868651</v>
      </c>
      <c r="G40" s="36" t="n">
        <f aca="false">CORREL(Returns_Helper!$R$4:$R$494,Returns_Helper!$O$4:$O$494)</f>
        <v>0.835223882542271</v>
      </c>
      <c r="H40" s="36" t="n">
        <f aca="false">CORREL(Returns_Helper!$R$4:$R$494,Returns_Helper!$P$4:$P$494)</f>
        <v>0.837118255197031</v>
      </c>
      <c r="I40" s="36" t="n">
        <f aca="false">CORREL(Returns_Helper!$R$4:$R$494,Returns_Helper!$Q$4:$Q$494)</f>
        <v>0.80884740682308</v>
      </c>
      <c r="J40" s="36" t="n">
        <f aca="false">CORREL(Returns_Helper!$R$4:$R$494,Returns_Helper!$R$4:$R$494)</f>
        <v>1</v>
      </c>
      <c r="K40" s="36" t="n">
        <f aca="false">CORREL(Returns_Helper!$R$4:$R$494,Returns_Helper!$S$4:$S$494)</f>
        <v>0.703849733513258</v>
      </c>
    </row>
    <row r="41" customFormat="false" ht="15" hidden="false" customHeight="false" outlineLevel="0" collapsed="false">
      <c r="B41" s="14" t="s">
        <v>88</v>
      </c>
      <c r="C41" s="36" t="n">
        <f aca="false">CORREL(Returns_Helper!$S$4:$S$494,Returns_Helper!$K$4:$K$494)</f>
        <v>0.64689205518798</v>
      </c>
      <c r="D41" s="36" t="n">
        <f aca="false">CORREL(Returns_Helper!$S$4:$S$494,Returns_Helper!$L$4:$L$494)</f>
        <v>0.801548625934735</v>
      </c>
      <c r="E41" s="36" t="n">
        <f aca="false">CORREL(Returns_Helper!$S$4:$S$494,Returns_Helper!$M$4:$M$494)</f>
        <v>0.494020279609959</v>
      </c>
      <c r="F41" s="36" t="n">
        <f aca="false">CORREL(Returns_Helper!$S$4:$S$494,Returns_Helper!$N$4:$N$494)</f>
        <v>0.599403058986511</v>
      </c>
      <c r="G41" s="36" t="n">
        <f aca="false">CORREL(Returns_Helper!$S$4:$S$494,Returns_Helper!$O$4:$O$494)</f>
        <v>0.718445801938773</v>
      </c>
      <c r="H41" s="36" t="n">
        <f aca="false">CORREL(Returns_Helper!$S$4:$S$494,Returns_Helper!$P$4:$P$494)</f>
        <v>0.61953554864302</v>
      </c>
      <c r="I41" s="36" t="n">
        <f aca="false">CORREL(Returns_Helper!$S$4:$S$494,Returns_Helper!$Q$4:$Q$494)</f>
        <v>0.837491853579024</v>
      </c>
      <c r="J41" s="36" t="n">
        <f aca="false">CORREL(Returns_Helper!$S$4:$S$494,Returns_Helper!$R$4:$R$494)</f>
        <v>0.703849733513258</v>
      </c>
      <c r="K41" s="36" t="n">
        <f aca="false">CORREL(Returns_Helper!$S$4:$S$494,Returns_Helper!$S$4:$S$494)</f>
        <v>1</v>
      </c>
    </row>
    <row r="42" customFormat="false" ht="15" hidden="false" customHeight="false" outlineLevel="0" collapsed="false">
      <c r="B42" s="14" t="s">
        <v>164</v>
      </c>
      <c r="C42" s="37" t="n">
        <f aca="false">(SUM(C33:K41)-9)/(9*(9-1))</f>
        <v>0.724101209392259</v>
      </c>
    </row>
  </sheetData>
  <conditionalFormatting sqref="C5:K13">
    <cfRule type="colorScale" priority="2">
      <colorScale>
        <cfvo type="num" val="0"/>
        <cfvo type="num" val="0.35"/>
        <cfvo type="num" val="0.7"/>
        <color rgb="FFF3F7FD"/>
        <color rgb="FF9EC1EE"/>
        <color rgb="FF2A78D6"/>
      </colorScale>
    </cfRule>
  </conditionalFormatting>
  <conditionalFormatting sqref="C19:K27">
    <cfRule type="colorScale" priority="3">
      <colorScale>
        <cfvo type="num" val="0"/>
        <cfvo type="num" val="0.35"/>
        <cfvo type="num" val="0.7"/>
        <color rgb="FFF3F7FD"/>
        <color rgb="FF9EC1EE"/>
        <color rgb="FF2A78D6"/>
      </colorScale>
    </cfRule>
  </conditionalFormatting>
  <conditionalFormatting sqref="C33:K41">
    <cfRule type="colorScale" priority="4">
      <colorScale>
        <cfvo type="num" val="0"/>
        <cfvo type="num" val="0.35"/>
        <cfvo type="num" val="0.7"/>
        <color rgb="FFF3F7FD"/>
        <color rgb="FF9EC1EE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12" min="3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9" min="18" style="0" width="14"/>
    <col collapsed="false" customWidth="true" hidden="false" outlineLevel="0" max="20" min="20" style="0" width="11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6" customFormat="false" ht="48" hidden="false" customHeight="true" outlineLevel="0" collapsed="false">
      <c r="B6" s="3" t="s">
        <v>169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86</v>
      </c>
      <c r="J6" s="3" t="s">
        <v>87</v>
      </c>
      <c r="K6" s="3" t="s">
        <v>88</v>
      </c>
      <c r="L6" s="3" t="s">
        <v>170</v>
      </c>
      <c r="M6" s="3" t="s">
        <v>171</v>
      </c>
      <c r="N6" s="3" t="s">
        <v>152</v>
      </c>
      <c r="O6" s="3" t="s">
        <v>26</v>
      </c>
      <c r="P6" s="3" t="s">
        <v>153</v>
      </c>
      <c r="Q6" s="3" t="s">
        <v>12</v>
      </c>
      <c r="R6" s="3" t="s">
        <v>11</v>
      </c>
      <c r="S6" s="3" t="s">
        <v>172</v>
      </c>
      <c r="T6" s="3" t="s">
        <v>173</v>
      </c>
    </row>
    <row r="7" customFormat="false" ht="15" hidden="false" customHeight="false" outlineLevel="0" collapsed="false">
      <c r="B7" s="14" t="s">
        <v>174</v>
      </c>
      <c r="C7" s="32" t="n">
        <f aca="false">1/9</f>
        <v>0.111111111111111</v>
      </c>
      <c r="D7" s="32" t="n">
        <f aca="false">1/9</f>
        <v>0.111111111111111</v>
      </c>
      <c r="E7" s="32" t="n">
        <f aca="false">1/9</f>
        <v>0.111111111111111</v>
      </c>
      <c r="F7" s="32" t="n">
        <f aca="false">1/9</f>
        <v>0.111111111111111</v>
      </c>
      <c r="G7" s="32" t="n">
        <f aca="false">1/9</f>
        <v>0.111111111111111</v>
      </c>
      <c r="H7" s="32" t="n">
        <f aca="false">1/9</f>
        <v>0.111111111111111</v>
      </c>
      <c r="I7" s="32" t="n">
        <f aca="false">1/9</f>
        <v>0.111111111111111</v>
      </c>
      <c r="J7" s="32" t="n">
        <f aca="false">1/9</f>
        <v>0.111111111111111</v>
      </c>
      <c r="K7" s="32" t="n">
        <f aca="false">1/9</f>
        <v>0.111111111111111</v>
      </c>
      <c r="L7" s="32" t="n">
        <f aca="false">SUM(C7:K7)</f>
        <v>1</v>
      </c>
      <c r="M7" s="38" t="n">
        <f aca="false">SUMPRODUCT(MMULT(C7:K7,$C$15:$K$23),C7:K7)</f>
        <v>0.000556994920245961</v>
      </c>
      <c r="N7" s="29" t="n">
        <f aca="false">SQRT(M7)</f>
        <v>0.0236007398241233</v>
      </c>
      <c r="O7" s="32" t="n">
        <f aca="false">N7/$N$7-1</f>
        <v>0</v>
      </c>
      <c r="P7" s="26" t="n">
        <f aca="false">PERCENTILE(Returns!$K$4:$K$494,Inputs!$C$5)</f>
        <v>-0.0255950792039459</v>
      </c>
      <c r="Q7" s="26" t="n">
        <f aca="false">AVERAGEIF(Returns!$K$4:$K$494,"&lt;="&amp;P7)</f>
        <v>-0.0608115591806127</v>
      </c>
      <c r="R7" s="31" t="n">
        <f aca="false">P7*Inputs!$C$4</f>
        <v>-25595.0792039459</v>
      </c>
      <c r="S7" s="31" t="n">
        <f aca="false">Q7*Inputs!$C$4</f>
        <v>-60811.5591806127</v>
      </c>
      <c r="T7" s="32" t="n">
        <f aca="false">MAX(C7:K7)</f>
        <v>0.111111111111111</v>
      </c>
    </row>
    <row r="8" customFormat="false" ht="15" hidden="false" customHeight="false" outlineLevel="0" collapsed="false">
      <c r="B8" s="14" t="s">
        <v>175</v>
      </c>
      <c r="C8" s="16" t="n">
        <v>0.156910956798551</v>
      </c>
      <c r="D8" s="16" t="n">
        <v>0.130222636059093</v>
      </c>
      <c r="E8" s="16" t="n">
        <v>0.448644617595115</v>
      </c>
      <c r="F8" s="16" t="n">
        <v>0</v>
      </c>
      <c r="G8" s="16" t="n">
        <v>0</v>
      </c>
      <c r="H8" s="16" t="n">
        <v>0</v>
      </c>
      <c r="I8" s="16" t="n">
        <v>9.14287363266292E-018</v>
      </c>
      <c r="J8" s="16" t="n">
        <v>0.098974790217775</v>
      </c>
      <c r="K8" s="16" t="n">
        <v>0.165246999329466</v>
      </c>
      <c r="L8" s="32" t="n">
        <f aca="false">SUM(C8:K8)</f>
        <v>1</v>
      </c>
      <c r="M8" s="38" t="n">
        <f aca="false">SUMPRODUCT(MMULT(C8:K8,$C$15:$K$23),C8:K8)</f>
        <v>0.000391331889458936</v>
      </c>
      <c r="N8" s="29" t="n">
        <f aca="false">SQRT(M8)</f>
        <v>0.0197821103388626</v>
      </c>
      <c r="O8" s="32" t="n">
        <f aca="false">N8/$N$7-1</f>
        <v>-0.161801261897625</v>
      </c>
      <c r="P8" s="26" t="n">
        <f aca="false">PERCENTILE(Returns!$L$4:$L$494,Inputs!$C$5)</f>
        <v>-0.0202704948558134</v>
      </c>
      <c r="Q8" s="26" t="n">
        <f aca="false">AVERAGEIF(Returns!$L$4:$L$494,"&lt;="&amp;P8)</f>
        <v>-0.0481104200052748</v>
      </c>
      <c r="R8" s="31" t="n">
        <f aca="false">P8*Inputs!$C$4</f>
        <v>-20270.4948558134</v>
      </c>
      <c r="S8" s="31" t="n">
        <f aca="false">Q8*Inputs!$C$4</f>
        <v>-48110.4200052748</v>
      </c>
      <c r="T8" s="32" t="n">
        <f aca="false">MAX(C8:K8)</f>
        <v>0.448644617595115</v>
      </c>
    </row>
    <row r="9" customFormat="false" ht="15" hidden="false" customHeight="false" outlineLevel="0" collapsed="false">
      <c r="B9" s="14" t="s">
        <v>176</v>
      </c>
      <c r="C9" s="16" t="n">
        <v>0.184333608409001</v>
      </c>
      <c r="D9" s="16" t="n">
        <v>0.14697298159445</v>
      </c>
      <c r="E9" s="16" t="n">
        <v>0.3</v>
      </c>
      <c r="F9" s="16" t="n">
        <v>6.05797963876276E-018</v>
      </c>
      <c r="G9" s="16" t="n">
        <v>0.00162195754588825</v>
      </c>
      <c r="H9" s="16" t="n">
        <v>1.09676712703851E-017</v>
      </c>
      <c r="I9" s="16" t="n">
        <v>2.18161805894818E-017</v>
      </c>
      <c r="J9" s="16" t="n">
        <v>0.137141066677576</v>
      </c>
      <c r="K9" s="16" t="n">
        <v>0.229930385773085</v>
      </c>
      <c r="L9" s="32" t="n">
        <f aca="false">SUM(C9:K9)</f>
        <v>1</v>
      </c>
      <c r="M9" s="38" t="n">
        <f aca="false">SUMPRODUCT(MMULT(C9:K9,$C$15:$K$23),C9:K9)</f>
        <v>0.00040588327903701</v>
      </c>
      <c r="N9" s="29" t="n">
        <f aca="false">SQRT(M9)</f>
        <v>0.020146545089345</v>
      </c>
      <c r="O9" s="32" t="n">
        <f aca="false">N9/$N$7-1</f>
        <v>-0.146359595526225</v>
      </c>
      <c r="P9" s="26" t="n">
        <f aca="false">PERCENTILE(Returns!$M$4:$M$494,Inputs!$C$5)</f>
        <v>-0.0215817311182492</v>
      </c>
      <c r="Q9" s="26" t="n">
        <f aca="false">AVERAGEIF(Returns!$M$4:$M$494,"&lt;="&amp;P9)</f>
        <v>-0.0489766754066319</v>
      </c>
      <c r="R9" s="31" t="n">
        <f aca="false">P9*Inputs!$C$4</f>
        <v>-21581.7311182492</v>
      </c>
      <c r="S9" s="31" t="n">
        <f aca="false">Q9*Inputs!$C$4</f>
        <v>-48976.6754066319</v>
      </c>
      <c r="T9" s="32" t="n">
        <f aca="false">MAX(C9:K9)</f>
        <v>0.3</v>
      </c>
    </row>
    <row r="10" customFormat="false" ht="15" hidden="false" customHeight="false" outlineLevel="0" collapsed="false">
      <c r="B10" s="14" t="s">
        <v>177</v>
      </c>
      <c r="C10" s="39" t="n">
        <v>0.177780476065388</v>
      </c>
      <c r="D10" s="39" t="n">
        <v>0.137821680270635</v>
      </c>
      <c r="E10" s="39" t="n">
        <v>0.501920371728835</v>
      </c>
      <c r="F10" s="39" t="n">
        <v>2.01475256833908E-017</v>
      </c>
      <c r="G10" s="39" t="n">
        <v>5.45489218031769E-018</v>
      </c>
      <c r="H10" s="39" t="n">
        <v>0</v>
      </c>
      <c r="I10" s="39" t="n">
        <v>0</v>
      </c>
      <c r="J10" s="39" t="n">
        <v>0.0353713649955134</v>
      </c>
      <c r="K10" s="39" t="n">
        <v>0.147106106939629</v>
      </c>
      <c r="L10" s="32" t="n">
        <f aca="false">SUM(C10:K10)</f>
        <v>1</v>
      </c>
      <c r="M10" s="38" t="n">
        <f aca="false">SUMPRODUCT(MMULT(C10:K10,$C$15:$K$23),C10:K10)</f>
        <v>0.00039441713045905</v>
      </c>
      <c r="N10" s="29" t="n">
        <f aca="false">SQRT(M10)</f>
        <v>0.0198599378261628</v>
      </c>
      <c r="O10" s="32" t="n">
        <f aca="false">N10/$N$7-1</f>
        <v>-0.158503590389016</v>
      </c>
      <c r="P10" s="26" t="n">
        <f aca="false">PERCENTILE(Returns!$N$4:$N$494,Inputs!$C$5)</f>
        <v>-0.0204591505465858</v>
      </c>
      <c r="Q10" s="26" t="n">
        <f aca="false">AVERAGEIF(Returns!$N$4:$N$494,"&lt;="&amp;P10)</f>
        <v>-0.047821640485102</v>
      </c>
      <c r="R10" s="31" t="n">
        <f aca="false">P10*Inputs!$C$4</f>
        <v>-20459.1505465858</v>
      </c>
      <c r="S10" s="31" t="n">
        <f aca="false">Q10*Inputs!$C$4</f>
        <v>-47821.640485102</v>
      </c>
      <c r="T10" s="32" t="n">
        <f aca="false">MAX(C10:K10)</f>
        <v>0.501920371728835</v>
      </c>
    </row>
    <row r="11" customFormat="false" ht="15" hidden="false" customHeight="false" outlineLevel="0" collapsed="false">
      <c r="B11" s="14" t="s">
        <v>178</v>
      </c>
      <c r="C11" s="39" t="n">
        <v>0.134091014834743</v>
      </c>
      <c r="D11" s="39" t="n">
        <v>0.0847138478413727</v>
      </c>
      <c r="E11" s="39" t="n">
        <v>0.297972820248206</v>
      </c>
      <c r="F11" s="39" t="n">
        <v>0.0637074120484444</v>
      </c>
      <c r="G11" s="39" t="n">
        <v>0.0112826306038772</v>
      </c>
      <c r="H11" s="39" t="n">
        <v>0.0230331856530504</v>
      </c>
      <c r="I11" s="39" t="n">
        <v>0.0447164992874368</v>
      </c>
      <c r="J11" s="39" t="n">
        <v>0.153461647395377</v>
      </c>
      <c r="K11" s="39" t="n">
        <v>0.187020942087492</v>
      </c>
      <c r="L11" s="32" t="n">
        <f aca="false">SUM(C11:K11)</f>
        <v>1</v>
      </c>
    </row>
    <row r="12" customFormat="false" ht="15" hidden="false" customHeight="false" outlineLevel="0" collapsed="false">
      <c r="B12" s="4" t="s">
        <v>179</v>
      </c>
      <c r="C12" s="21" t="str">
        <f aca="false">IF(T9&lt;=Inputs!$C$11+0.000001,"OK","Check")</f>
        <v>OK</v>
      </c>
    </row>
    <row r="14" customFormat="false" ht="33.75" hidden="false" customHeight="true" outlineLevel="0" collapsed="false">
      <c r="B14" s="12" t="s">
        <v>180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  <c r="I14" s="3" t="s">
        <v>86</v>
      </c>
      <c r="J14" s="3" t="s">
        <v>87</v>
      </c>
      <c r="K14" s="3" t="s">
        <v>88</v>
      </c>
    </row>
    <row r="15" customFormat="false" ht="15" hidden="false" customHeight="false" outlineLevel="0" collapsed="false">
      <c r="B15" s="14" t="s">
        <v>80</v>
      </c>
      <c r="C15" s="40" t="n">
        <f aca="false">_xlfn.COVARIANCE.S(Returns!$B$4:$B$494,Returns!$B$4:$B$494)</f>
        <v>0.000902761055746629</v>
      </c>
      <c r="D15" s="40" t="n">
        <f aca="false">_xlfn.COVARIANCE.S(Returns!$B$4:$B$494,Returns!$C$4:$C$494)</f>
        <v>0.000454034246378149</v>
      </c>
      <c r="E15" s="40" t="n">
        <f aca="false">_xlfn.COVARIANCE.S(Returns!$B$4:$B$494,Returns!$D$4:$D$494)</f>
        <v>0.000196407581384687</v>
      </c>
      <c r="F15" s="40" t="n">
        <f aca="false">_xlfn.COVARIANCE.S(Returns!$B$4:$B$494,Returns!$E$4:$E$494)</f>
        <v>0.000681590658375582</v>
      </c>
      <c r="G15" s="40" t="n">
        <f aca="false">_xlfn.COVARIANCE.S(Returns!$B$4:$B$494,Returns!$F$4:$F$494)</f>
        <v>0.000556265606121212</v>
      </c>
      <c r="H15" s="40" t="n">
        <f aca="false">_xlfn.COVARIANCE.S(Returns!$B$4:$B$494,Returns!$G$4:$G$494)</f>
        <v>0.000578336529718106</v>
      </c>
      <c r="I15" s="40" t="n">
        <f aca="false">_xlfn.COVARIANCE.S(Returns!$B$4:$B$494,Returns!$H$4:$H$494)</f>
        <v>0.00049902761322695</v>
      </c>
      <c r="J15" s="40" t="n">
        <f aca="false">_xlfn.COVARIANCE.S(Returns!$B$4:$B$494,Returns!$I$4:$I$494)</f>
        <v>0.000509914821324806</v>
      </c>
      <c r="K15" s="40" t="n">
        <f aca="false">_xlfn.COVARIANCE.S(Returns!$B$4:$B$494,Returns!$J$4:$J$494)</f>
        <v>0.000314482903760109</v>
      </c>
    </row>
    <row r="16" customFormat="false" ht="15" hidden="false" customHeight="false" outlineLevel="0" collapsed="false">
      <c r="B16" s="14" t="s">
        <v>81</v>
      </c>
      <c r="C16" s="40" t="n">
        <f aca="false">_xlfn.COVARIANCE.S(Returns!$C$4:$C$494,Returns!$B$4:$B$494)</f>
        <v>0.000454034246378149</v>
      </c>
      <c r="D16" s="40" t="n">
        <f aca="false">_xlfn.COVARIANCE.S(Returns!$C$4:$C$494,Returns!$C$4:$C$494)</f>
        <v>0.000859739178067239</v>
      </c>
      <c r="E16" s="40" t="n">
        <f aca="false">_xlfn.COVARIANCE.S(Returns!$C$4:$C$494,Returns!$D$4:$D$494)</f>
        <v>0.000200452867265548</v>
      </c>
      <c r="F16" s="40" t="n">
        <f aca="false">_xlfn.COVARIANCE.S(Returns!$C$4:$C$494,Returns!$E$4:$E$494)</f>
        <v>0.000671319796459403</v>
      </c>
      <c r="G16" s="40" t="n">
        <f aca="false">_xlfn.COVARIANCE.S(Returns!$C$4:$C$494,Returns!$F$4:$F$494)</f>
        <v>0.000519052100332031</v>
      </c>
      <c r="H16" s="40" t="n">
        <f aca="false">_xlfn.COVARIANCE.S(Returns!$C$4:$C$494,Returns!$G$4:$G$494)</f>
        <v>0.000581646647322307</v>
      </c>
      <c r="I16" s="40" t="n">
        <f aca="false">_xlfn.COVARIANCE.S(Returns!$C$4:$C$494,Returns!$H$4:$H$494)</f>
        <v>0.000614607056878523</v>
      </c>
      <c r="J16" s="40" t="n">
        <f aca="false">_xlfn.COVARIANCE.S(Returns!$C$4:$C$494,Returns!$I$4:$I$494)</f>
        <v>0.000499788338299077</v>
      </c>
      <c r="K16" s="40" t="n">
        <f aca="false">_xlfn.COVARIANCE.S(Returns!$C$4:$C$494,Returns!$J$4:$J$494)</f>
        <v>0.000415940283084593</v>
      </c>
    </row>
    <row r="17" customFormat="false" ht="15" hidden="false" customHeight="false" outlineLevel="0" collapsed="false">
      <c r="B17" s="14" t="s">
        <v>82</v>
      </c>
      <c r="C17" s="40" t="n">
        <f aca="false">_xlfn.COVARIANCE.S(Returns!$D$4:$D$494,Returns!$B$4:$B$494)</f>
        <v>0.000196407581384687</v>
      </c>
      <c r="D17" s="40" t="n">
        <f aca="false">_xlfn.COVARIANCE.S(Returns!$D$4:$D$494,Returns!$C$4:$C$494)</f>
        <v>0.000200452867265548</v>
      </c>
      <c r="E17" s="40" t="n">
        <f aca="false">_xlfn.COVARIANCE.S(Returns!$D$4:$D$494,Returns!$D$4:$D$494)</f>
        <v>0.000597829350553387</v>
      </c>
      <c r="F17" s="40" t="n">
        <f aca="false">_xlfn.COVARIANCE.S(Returns!$D$4:$D$494,Returns!$E$4:$E$494)</f>
        <v>0.000220282089845672</v>
      </c>
      <c r="G17" s="40" t="n">
        <f aca="false">_xlfn.COVARIANCE.S(Returns!$D$4:$D$494,Returns!$F$4:$F$494)</f>
        <v>0.000286997189120999</v>
      </c>
      <c r="H17" s="40" t="n">
        <f aca="false">_xlfn.COVARIANCE.S(Returns!$D$4:$D$494,Returns!$G$4:$G$494)</f>
        <v>0.000245935680396679</v>
      </c>
      <c r="I17" s="40" t="n">
        <f aca="false">_xlfn.COVARIANCE.S(Returns!$D$4:$D$494,Returns!$H$4:$H$494)</f>
        <v>0.000306333902997026</v>
      </c>
      <c r="J17" s="40" t="n">
        <f aca="false">_xlfn.COVARIANCE.S(Returns!$D$4:$D$494,Returns!$I$4:$I$494)</f>
        <v>0.000232301428774822</v>
      </c>
      <c r="K17" s="40" t="n">
        <f aca="false">_xlfn.COVARIANCE.S(Returns!$D$4:$D$494,Returns!$J$4:$J$494)</f>
        <v>0.000261457169195821</v>
      </c>
    </row>
    <row r="18" customFormat="false" ht="15" hidden="false" customHeight="false" outlineLevel="0" collapsed="false">
      <c r="B18" s="14" t="s">
        <v>83</v>
      </c>
      <c r="C18" s="40" t="n">
        <f aca="false">_xlfn.COVARIANCE.S(Returns!$E$4:$E$494,Returns!$B$4:$B$494)</f>
        <v>0.000681590658375582</v>
      </c>
      <c r="D18" s="40" t="n">
        <f aca="false">_xlfn.COVARIANCE.S(Returns!$E$4:$E$494,Returns!$C$4:$C$494)</f>
        <v>0.000671319796459403</v>
      </c>
      <c r="E18" s="40" t="n">
        <f aca="false">_xlfn.COVARIANCE.S(Returns!$E$4:$E$494,Returns!$D$4:$D$494)</f>
        <v>0.000220282089845672</v>
      </c>
      <c r="F18" s="40" t="n">
        <f aca="false">_xlfn.COVARIANCE.S(Returns!$E$4:$E$494,Returns!$E$4:$E$494)</f>
        <v>0.00138693049166817</v>
      </c>
      <c r="G18" s="40" t="n">
        <f aca="false">_xlfn.COVARIANCE.S(Returns!$E$4:$E$494,Returns!$F$4:$F$494)</f>
        <v>0.00072268694410941</v>
      </c>
      <c r="H18" s="40" t="n">
        <f aca="false">_xlfn.COVARIANCE.S(Returns!$E$4:$E$494,Returns!$G$4:$G$494)</f>
        <v>0.000821729892498668</v>
      </c>
      <c r="I18" s="40" t="n">
        <f aca="false">_xlfn.COVARIANCE.S(Returns!$E$4:$E$494,Returns!$H$4:$H$494)</f>
        <v>0.000739753945903248</v>
      </c>
      <c r="J18" s="40" t="n">
        <f aca="false">_xlfn.COVARIANCE.S(Returns!$E$4:$E$494,Returns!$I$4:$I$494)</f>
        <v>0.000680499856124757</v>
      </c>
      <c r="K18" s="40" t="n">
        <f aca="false">_xlfn.COVARIANCE.S(Returns!$E$4:$E$494,Returns!$J$4:$J$494)</f>
        <v>0.000446106224633405</v>
      </c>
    </row>
    <row r="19" customFormat="false" ht="15" hidden="false" customHeight="false" outlineLevel="0" collapsed="false">
      <c r="B19" s="14" t="s">
        <v>84</v>
      </c>
      <c r="C19" s="40" t="n">
        <f aca="false">_xlfn.COVARIANCE.S(Returns!$F$4:$F$494,Returns!$B$4:$B$494)</f>
        <v>0.000556265606121212</v>
      </c>
      <c r="D19" s="40" t="n">
        <f aca="false">_xlfn.COVARIANCE.S(Returns!$F$4:$F$494,Returns!$C$4:$C$494)</f>
        <v>0.000519052100332031</v>
      </c>
      <c r="E19" s="40" t="n">
        <f aca="false">_xlfn.COVARIANCE.S(Returns!$F$4:$F$494,Returns!$D$4:$D$494)</f>
        <v>0.000286997189120999</v>
      </c>
      <c r="F19" s="40" t="n">
        <f aca="false">_xlfn.COVARIANCE.S(Returns!$F$4:$F$494,Returns!$E$4:$E$494)</f>
        <v>0.00072268694410941</v>
      </c>
      <c r="G19" s="40" t="n">
        <f aca="false">_xlfn.COVARIANCE.S(Returns!$F$4:$F$494,Returns!$F$4:$F$494)</f>
        <v>0.00194807409687356</v>
      </c>
      <c r="H19" s="40" t="n">
        <f aca="false">_xlfn.COVARIANCE.S(Returns!$F$4:$F$494,Returns!$G$4:$G$494)</f>
        <v>0.000631985736166464</v>
      </c>
      <c r="I19" s="40" t="n">
        <f aca="false">_xlfn.COVARIANCE.S(Returns!$F$4:$F$494,Returns!$H$4:$H$494)</f>
        <v>0.000554475839254125</v>
      </c>
      <c r="J19" s="40" t="n">
        <f aca="false">_xlfn.COVARIANCE.S(Returns!$F$4:$F$494,Returns!$I$4:$I$494)</f>
        <v>0.00058743758181853</v>
      </c>
      <c r="K19" s="40" t="n">
        <f aca="false">_xlfn.COVARIANCE.S(Returns!$F$4:$F$494,Returns!$J$4:$J$494)</f>
        <v>0.000376478365612228</v>
      </c>
    </row>
    <row r="20" customFormat="false" ht="15" hidden="false" customHeight="false" outlineLevel="0" collapsed="false">
      <c r="B20" s="14" t="s">
        <v>85</v>
      </c>
      <c r="C20" s="40" t="n">
        <f aca="false">_xlfn.COVARIANCE.S(Returns!$G$4:$G$494,Returns!$B$4:$B$494)</f>
        <v>0.000578336529718106</v>
      </c>
      <c r="D20" s="40" t="n">
        <f aca="false">_xlfn.COVARIANCE.S(Returns!$G$4:$G$494,Returns!$C$4:$C$494)</f>
        <v>0.000581646647322307</v>
      </c>
      <c r="E20" s="40" t="n">
        <f aca="false">_xlfn.COVARIANCE.S(Returns!$G$4:$G$494,Returns!$D$4:$D$494)</f>
        <v>0.000245935680396679</v>
      </c>
      <c r="F20" s="40" t="n">
        <f aca="false">_xlfn.COVARIANCE.S(Returns!$G$4:$G$494,Returns!$E$4:$E$494)</f>
        <v>0.000821729892498668</v>
      </c>
      <c r="G20" s="40" t="n">
        <f aca="false">_xlfn.COVARIANCE.S(Returns!$G$4:$G$494,Returns!$F$4:$F$494)</f>
        <v>0.000631985736166464</v>
      </c>
      <c r="H20" s="40" t="n">
        <f aca="false">_xlfn.COVARIANCE.S(Returns!$G$4:$G$494,Returns!$G$4:$G$494)</f>
        <v>0.00112558351009669</v>
      </c>
      <c r="I20" s="40" t="n">
        <f aca="false">_xlfn.COVARIANCE.S(Returns!$G$4:$G$494,Returns!$H$4:$H$494)</f>
        <v>0.00068801821259083</v>
      </c>
      <c r="J20" s="40" t="n">
        <f aca="false">_xlfn.COVARIANCE.S(Returns!$G$4:$G$494,Returns!$I$4:$I$494)</f>
        <v>0.000614111895916731</v>
      </c>
      <c r="K20" s="40" t="n">
        <f aca="false">_xlfn.COVARIANCE.S(Returns!$G$4:$G$494,Returns!$J$4:$J$494)</f>
        <v>0.000384126555124615</v>
      </c>
    </row>
    <row r="21" customFormat="false" ht="15" hidden="false" customHeight="false" outlineLevel="0" collapsed="false">
      <c r="B21" s="14" t="s">
        <v>86</v>
      </c>
      <c r="C21" s="40" t="n">
        <f aca="false">_xlfn.COVARIANCE.S(Returns!$H$4:$H$494,Returns!$B$4:$B$494)</f>
        <v>0.00049902761322695</v>
      </c>
      <c r="D21" s="40" t="n">
        <f aca="false">_xlfn.COVARIANCE.S(Returns!$H$4:$H$494,Returns!$C$4:$C$494)</f>
        <v>0.000614607056878523</v>
      </c>
      <c r="E21" s="40" t="n">
        <f aca="false">_xlfn.COVARIANCE.S(Returns!$H$4:$H$494,Returns!$D$4:$D$494)</f>
        <v>0.000306333902997026</v>
      </c>
      <c r="F21" s="40" t="n">
        <f aca="false">_xlfn.COVARIANCE.S(Returns!$H$4:$H$494,Returns!$E$4:$E$494)</f>
        <v>0.000739753945903248</v>
      </c>
      <c r="G21" s="40" t="n">
        <f aca="false">_xlfn.COVARIANCE.S(Returns!$H$4:$H$494,Returns!$F$4:$F$494)</f>
        <v>0.000554475839254125</v>
      </c>
      <c r="H21" s="40" t="n">
        <f aca="false">_xlfn.COVARIANCE.S(Returns!$H$4:$H$494,Returns!$G$4:$G$494)</f>
        <v>0.00068801821259083</v>
      </c>
      <c r="I21" s="40" t="n">
        <f aca="false">_xlfn.COVARIANCE.S(Returns!$H$4:$H$494,Returns!$H$4:$H$494)</f>
        <v>0.00127712499961109</v>
      </c>
      <c r="J21" s="40" t="n">
        <f aca="false">_xlfn.COVARIANCE.S(Returns!$H$4:$H$494,Returns!$I$4:$I$494)</f>
        <v>0.000591073769290563</v>
      </c>
      <c r="K21" s="40" t="n">
        <f aca="false">_xlfn.COVARIANCE.S(Returns!$H$4:$H$494,Returns!$J$4:$J$494)</f>
        <v>0.000639580240384195</v>
      </c>
    </row>
    <row r="22" customFormat="false" ht="15" hidden="false" customHeight="false" outlineLevel="0" collapsed="false">
      <c r="B22" s="14" t="s">
        <v>87</v>
      </c>
      <c r="C22" s="40" t="n">
        <f aca="false">_xlfn.COVARIANCE.S(Returns!$I$4:$I$494,Returns!$B$4:$B$494)</f>
        <v>0.000509914821324806</v>
      </c>
      <c r="D22" s="40" t="n">
        <f aca="false">_xlfn.COVARIANCE.S(Returns!$I$4:$I$494,Returns!$C$4:$C$494)</f>
        <v>0.000499788338299077</v>
      </c>
      <c r="E22" s="40" t="n">
        <f aca="false">_xlfn.COVARIANCE.S(Returns!$I$4:$I$494,Returns!$D$4:$D$494)</f>
        <v>0.000232301428774822</v>
      </c>
      <c r="F22" s="40" t="n">
        <f aca="false">_xlfn.COVARIANCE.S(Returns!$I$4:$I$494,Returns!$E$4:$E$494)</f>
        <v>0.000680499856124757</v>
      </c>
      <c r="G22" s="40" t="n">
        <f aca="false">_xlfn.COVARIANCE.S(Returns!$I$4:$I$494,Returns!$F$4:$F$494)</f>
        <v>0.00058743758181853</v>
      </c>
      <c r="H22" s="40" t="n">
        <f aca="false">_xlfn.COVARIANCE.S(Returns!$I$4:$I$494,Returns!$G$4:$G$494)</f>
        <v>0.000614111895916731</v>
      </c>
      <c r="I22" s="40" t="n">
        <f aca="false">_xlfn.COVARIANCE.S(Returns!$I$4:$I$494,Returns!$H$4:$H$494)</f>
        <v>0.000591073769290563</v>
      </c>
      <c r="J22" s="40" t="n">
        <f aca="false">_xlfn.COVARIANCE.S(Returns!$I$4:$I$494,Returns!$I$4:$I$494)</f>
        <v>0.000833571735703082</v>
      </c>
      <c r="K22" s="40" t="n">
        <f aca="false">_xlfn.COVARIANCE.S(Returns!$I$4:$I$494,Returns!$J$4:$J$494)</f>
        <v>0.000360148907220139</v>
      </c>
    </row>
    <row r="23" customFormat="false" ht="15" hidden="false" customHeight="false" outlineLevel="0" collapsed="false">
      <c r="B23" s="14" t="s">
        <v>88</v>
      </c>
      <c r="C23" s="40" t="n">
        <f aca="false">_xlfn.COVARIANCE.S(Returns!$J$4:$J$494,Returns!$B$4:$B$494)</f>
        <v>0.000314482903760109</v>
      </c>
      <c r="D23" s="40" t="n">
        <f aca="false">_xlfn.COVARIANCE.S(Returns!$J$4:$J$494,Returns!$C$4:$C$494)</f>
        <v>0.000415940283084593</v>
      </c>
      <c r="E23" s="40" t="n">
        <f aca="false">_xlfn.COVARIANCE.S(Returns!$J$4:$J$494,Returns!$D$4:$D$494)</f>
        <v>0.000261457169195821</v>
      </c>
      <c r="F23" s="40" t="n">
        <f aca="false">_xlfn.COVARIANCE.S(Returns!$J$4:$J$494,Returns!$E$4:$E$494)</f>
        <v>0.000446106224633405</v>
      </c>
      <c r="G23" s="40" t="n">
        <f aca="false">_xlfn.COVARIANCE.S(Returns!$J$4:$J$494,Returns!$F$4:$F$494)</f>
        <v>0.000376478365612228</v>
      </c>
      <c r="H23" s="40" t="n">
        <f aca="false">_xlfn.COVARIANCE.S(Returns!$J$4:$J$494,Returns!$G$4:$G$494)</f>
        <v>0.000384126555124615</v>
      </c>
      <c r="I23" s="40" t="n">
        <f aca="false">_xlfn.COVARIANCE.S(Returns!$J$4:$J$494,Returns!$H$4:$H$494)</f>
        <v>0.000639580240384195</v>
      </c>
      <c r="J23" s="40" t="n">
        <f aca="false">_xlfn.COVARIANCE.S(Returns!$J$4:$J$494,Returns!$I$4:$I$494)</f>
        <v>0.000360148907220139</v>
      </c>
      <c r="K23" s="40" t="n">
        <f aca="false">_xlfn.COVARIANCE.S(Returns!$J$4:$J$494,Returns!$J$4:$J$494)</f>
        <v>0.000816197167782995</v>
      </c>
    </row>
    <row r="26" customFormat="false" ht="15" hidden="false" customHeight="false" outlineLevel="0" collapsed="false">
      <c r="B26" s="12" t="s">
        <v>181</v>
      </c>
    </row>
    <row r="27" customFormat="false" ht="15" hidden="false" customHeight="false" outlineLevel="0" collapsed="false">
      <c r="B27" s="4" t="s">
        <v>182</v>
      </c>
    </row>
    <row r="28" customFormat="false" ht="15" hidden="false" customHeight="false" outlineLevel="0" collapsed="false">
      <c r="B28" s="4" t="s">
        <v>183</v>
      </c>
    </row>
    <row r="29" customFormat="false" ht="15" hidden="false" customHeight="false" outlineLevel="0" collapsed="false">
      <c r="B29" s="4" t="s">
        <v>184</v>
      </c>
    </row>
    <row r="30" customFormat="false" ht="15" hidden="false" customHeight="false" outlineLevel="0" collapsed="false">
      <c r="B30" s="4" t="s">
        <v>185</v>
      </c>
    </row>
    <row r="31" customFormat="false" ht="15" hidden="false" customHeight="false" outlineLevel="0" collapsed="false">
      <c r="B31" s="4" t="s">
        <v>186</v>
      </c>
    </row>
    <row r="33" customFormat="false" ht="15" hidden="false" customHeight="false" outlineLevel="0" collapsed="false">
      <c r="B33" s="12" t="s">
        <v>187</v>
      </c>
    </row>
    <row r="34" customFormat="false" ht="15" hidden="false" customHeight="false" outlineLevel="0" collapsed="false">
      <c r="B34" s="4" t="s">
        <v>188</v>
      </c>
      <c r="C34" s="27" t="n">
        <f aca="false">MATCH(Inputs!$C$9,Returns!$A$4:$A$494,1)</f>
        <v>245</v>
      </c>
    </row>
    <row r="36" customFormat="false" ht="33.75" hidden="false" customHeight="true" outlineLevel="0" collapsed="false">
      <c r="B36" s="3" t="s">
        <v>189</v>
      </c>
      <c r="C36" s="3" t="s">
        <v>190</v>
      </c>
      <c r="D36" s="3" t="s">
        <v>191</v>
      </c>
      <c r="E36" s="3" t="s">
        <v>192</v>
      </c>
    </row>
    <row r="37" customFormat="false" ht="15" hidden="false" customHeight="false" outlineLevel="0" collapsed="false">
      <c r="B37" s="4" t="s">
        <v>174</v>
      </c>
      <c r="C37" s="26" t="n">
        <f aca="false">STDEV(INDEX(Returns!$K$4:$K$494,1):INDEX(Returns!$K$4:$K$494,$C$34))</f>
        <v>0.0300528562628451</v>
      </c>
      <c r="D37" s="26" t="n">
        <f aca="false">STDEV(INDEX(Returns!$K$4:$K$494,$C$34+1):INDEX(Returns!$K$4:$K$494,COUNT(Returns!$A$4:$A$494)))</f>
        <v>0.0146141254586943</v>
      </c>
      <c r="E37" s="26" t="n">
        <f aca="false">PERCENTILE(INDEX(Returns!$K$4:$K$494,$C$34+1):INDEX(Returns!$K$4:$K$494,COUNT(Returns!$A$4:$A$494)),Inputs!$C$5)</f>
        <v>-0.0233568374578051</v>
      </c>
    </row>
    <row r="38" customFormat="false" ht="15" hidden="false" customHeight="false" outlineLevel="0" collapsed="false">
      <c r="B38" s="4" t="s">
        <v>193</v>
      </c>
      <c r="C38" s="26" t="n">
        <f aca="false">STDEV(INDEX(Returns!$N$4:$N$494,1):INDEX(Returns!$N$4:$N$494,$C$34))</f>
        <v>0.0248891378237714</v>
      </c>
      <c r="D38" s="26" t="n">
        <f aca="false">STDEV(INDEX(Returns!$N$4:$N$494,$C$34+1):INDEX(Returns!$N$4:$N$494,COUNT(Returns!$A$4:$A$494)))</f>
        <v>0.0130729926805322</v>
      </c>
      <c r="E38" s="26" t="n">
        <f aca="false">PERCENTILE(INDEX(Returns!$N$4:$N$494,$C$34+1):INDEX(Returns!$N$4:$N$494,COUNT(Returns!$A$4:$A$494)),Inputs!$C$5)</f>
        <v>-0.0202608153088955</v>
      </c>
    </row>
    <row r="39" customFormat="false" ht="15" hidden="false" customHeight="false" outlineLevel="0" collapsed="false">
      <c r="B39" s="4" t="s">
        <v>194</v>
      </c>
      <c r="D39" s="32" t="n">
        <f aca="false">D38/D37-1</f>
        <v>-0.105455012174215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B4" s="4" t="s">
        <v>197</v>
      </c>
      <c r="C4" s="27" t="n">
        <f aca="false">Inputs!$C$10</f>
        <v>245</v>
      </c>
    </row>
    <row r="5" customFormat="false" ht="15" hidden="false" customHeight="false" outlineLevel="0" collapsed="false">
      <c r="B5" s="4" t="s">
        <v>198</v>
      </c>
      <c r="C5" s="25" t="n">
        <f aca="false">Inputs!$C$9</f>
        <v>44069</v>
      </c>
    </row>
    <row r="6" customFormat="false" ht="15" hidden="false" customHeight="false" outlineLevel="0" collapsed="false">
      <c r="B6" s="4" t="s">
        <v>199</v>
      </c>
      <c r="C6" s="27" t="n">
        <f aca="false">MATCH(C5,Returns!$A$4:$A$494,1)</f>
        <v>245</v>
      </c>
    </row>
    <row r="7" customFormat="false" ht="15" hidden="false" customHeight="false" outlineLevel="0" collapsed="false">
      <c r="B7" s="4" t="s">
        <v>200</v>
      </c>
      <c r="C7" s="27" t="n">
        <f aca="false">COUNT(Returns!$A$4:$A$494)</f>
        <v>491</v>
      </c>
    </row>
    <row r="9" customFormat="false" ht="15" hidden="false" customHeight="false" outlineLevel="0" collapsed="false">
      <c r="B9" s="4" t="s">
        <v>201</v>
      </c>
      <c r="C9" s="25" t="n">
        <f aca="false">INDEX(Returns!$A$4:$A$494,C6-C4+1)</f>
        <v>43710</v>
      </c>
    </row>
    <row r="10" customFormat="false" ht="15" hidden="false" customHeight="false" outlineLevel="0" collapsed="false">
      <c r="B10" s="4" t="s">
        <v>202</v>
      </c>
      <c r="C10" s="25" t="n">
        <f aca="false">INDEX(Returns!$A$4:$A$494,C6)</f>
        <v>44069</v>
      </c>
    </row>
    <row r="11" customFormat="false" ht="15" hidden="false" customHeight="false" outlineLevel="0" collapsed="false">
      <c r="B11" s="4" t="s">
        <v>203</v>
      </c>
      <c r="C11" s="25" t="n">
        <f aca="false">INDEX(Returns!$A$4:$A$494,C7-C4+1)</f>
        <v>44071</v>
      </c>
    </row>
    <row r="12" customFormat="false" ht="15" hidden="false" customHeight="false" outlineLevel="0" collapsed="false">
      <c r="B12" s="4" t="s">
        <v>204</v>
      </c>
      <c r="C12" s="25" t="n">
        <f aca="false">INDEX(Returns!$A$4:$A$494,C7)</f>
        <v>44435</v>
      </c>
    </row>
    <row r="14" customFormat="false" ht="15" hidden="false" customHeight="false" outlineLevel="0" collapsed="false">
      <c r="B14" s="4" t="s">
        <v>205</v>
      </c>
      <c r="C14" s="26" t="n">
        <f aca="false">PERCENTILE(INDEX(Returns!$K$4:$K$494,C6-C4+1):INDEX(Returns!$K$4:$K$494,C6),Inputs!$C$5)</f>
        <v>-0.0378295671796079</v>
      </c>
    </row>
    <row r="15" customFormat="false" ht="15" hidden="false" customHeight="false" outlineLevel="0" collapsed="false">
      <c r="B15" s="4" t="s">
        <v>206</v>
      </c>
      <c r="C15" s="26" t="n">
        <f aca="false">PERCENTILE(INDEX(Returns!$K$4:$K$494,C7-C4+1):INDEX(Returns!$K$4:$K$494,C7),Inputs!$C$5)</f>
        <v>-0.0234208672649037</v>
      </c>
    </row>
    <row r="16" customFormat="false" ht="15" hidden="false" customHeight="false" outlineLevel="0" collapsed="false">
      <c r="B16" s="4" t="s">
        <v>207</v>
      </c>
      <c r="C16" s="31" t="n">
        <f aca="false">C14*Inputs!$C$4</f>
        <v>-37829.5671796079</v>
      </c>
    </row>
    <row r="18" customFormat="false" ht="15" hidden="false" customHeight="false" outlineLevel="0" collapsed="false">
      <c r="B18" s="4" t="s">
        <v>208</v>
      </c>
      <c r="C18" s="27" t="n">
        <f aca="false">COUNTIF(INDEX(Returns!$K$4:$K$494,C7-C4+1):INDEX(Returns!$K$4:$K$494,C7),"&lt;"&amp;C14)</f>
        <v>3</v>
      </c>
    </row>
    <row r="19" customFormat="false" ht="15" hidden="false" customHeight="false" outlineLevel="0" collapsed="false">
      <c r="B19" s="4" t="s">
        <v>209</v>
      </c>
      <c r="C19" s="41" t="n">
        <f aca="false">C4*Inputs!$C$5</f>
        <v>12.25</v>
      </c>
    </row>
    <row r="20" customFormat="false" ht="15" hidden="false" customHeight="false" outlineLevel="0" collapsed="false">
      <c r="B20" s="4" t="s">
        <v>210</v>
      </c>
      <c r="C20" s="32" t="n">
        <f aca="false">C18/C4</f>
        <v>0.0122448979591837</v>
      </c>
    </row>
    <row r="21" customFormat="false" ht="15" hidden="false" customHeight="false" outlineLevel="0" collapsed="false">
      <c r="B21" s="4" t="s">
        <v>211</v>
      </c>
      <c r="C21" s="30" t="n">
        <f aca="false">Inputs!$C$5</f>
        <v>0.05</v>
      </c>
    </row>
    <row r="23" customFormat="false" ht="15" hidden="false" customHeight="false" outlineLevel="0" collapsed="false">
      <c r="B23" s="4" t="s">
        <v>212</v>
      </c>
      <c r="C23" s="36" t="n">
        <f aca="false">IF(C18=0,-2*C4*LN(1-Inputs!$C$5),-2*((C4-C18)*LN(1-Inputs!$C$5)+C18*LN(Inputs!$C$5))+2*((C4-C18)*LN(1-C18/C4)+C18*LN(C18/C4)))</f>
        <v>10.4213581498271</v>
      </c>
    </row>
    <row r="24" customFormat="false" ht="15" hidden="false" customHeight="false" outlineLevel="0" collapsed="false">
      <c r="B24" s="4" t="s">
        <v>213</v>
      </c>
      <c r="C24" s="42" t="n">
        <f aca="false">CHIDIST(C23,1)</f>
        <v>0.00124566253505739</v>
      </c>
    </row>
    <row r="25" customFormat="false" ht="15" hidden="false" customHeight="false" outlineLevel="0" collapsed="false">
      <c r="B25" s="4" t="s">
        <v>214</v>
      </c>
      <c r="C25" s="4" t="str">
        <f aca="false">IF(C24&lt;0.05,"Reject: observed violations differ from the expected rate","Do not reject: consistent with the expected rate")</f>
        <v>Reject: observed violations differ from the expected rate</v>
      </c>
    </row>
    <row r="27" customFormat="false" ht="15" hidden="false" customHeight="false" outlineLevel="0" collapsed="false">
      <c r="B27" s="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2026-10-08T13:03:45Z</dcterms:created>
  <dc:creator>openpyxl</dc:creator>
  <dc:description/>
  <dc:language>en-US</dc:language>
  <cp:lastModifiedBy/>
  <dcterms:modified xsi:type="dcterms:W3CDTF">2026-10-08T13:03:47Z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